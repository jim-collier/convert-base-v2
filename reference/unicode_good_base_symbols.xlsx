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3435" windowHeight="10755" tabRatio="141" firstSheet="0" activeTab="0" autoFilterDateGrouping="1"/>
  </bookViews>
  <sheets>
    <sheet xmlns:r="http://schemas.openxmlformats.org/officeDocument/2006/relationships" name="unicode_printable.csv" sheetId="1" state="visible" r:id="rId1"/>
  </sheets>
  <definedNames>
    <definedName name="_xlnm._FilterDatabase" localSheetId="0" hidden="1">'unicode_printable.csv'!$A$1:$AA$1</definedName>
  </definedNames>
  <calcPr calcId="145621" fullCalcOnLoad="1" iterate="1"/>
</workbook>
</file>

<file path=xl/styles.xml><?xml version="1.0" encoding="utf-8"?>
<styleSheet xmlns="http://schemas.openxmlformats.org/spreadsheetml/2006/main">
  <numFmts count="3">
    <numFmt numFmtId="164" formatCode="yyyy/mm/dd\ h:mm:ss"/>
    <numFmt numFmtId="165" formatCode="yyyy\-mm\-dd\ hh:mm:ss"/>
    <numFmt numFmtId="166" formatCode="YYYY-MM-DD HH:MM:SS"/>
  </numFmts>
  <fonts count="13">
    <font>
      <name val="Sans"/>
      <color rgb="FF000000"/>
      <sz val="10"/>
    </font>
    <font>
      <name val="DejaVu Sans"/>
      <family val="2"/>
      <color rgb="FF000000"/>
      <sz val="10"/>
    </font>
    <font>
      <name val="Sans"/>
      <color rgb="FF000000"/>
      <sz val="15"/>
    </font>
    <font>
      <name val="Georgia"/>
      <family val="1"/>
      <color rgb="FF000000"/>
      <sz val="12"/>
    </font>
    <font>
      <name val="Georgia"/>
      <family val="1"/>
      <color rgb="FF000000"/>
      <sz val="10"/>
    </font>
    <font>
      <name val="Tahoma"/>
      <family val="2"/>
      <color rgb="FF000000"/>
      <sz val="10"/>
    </font>
    <font>
      <name val="Cambria"/>
      <family val="1"/>
      <color rgb="FF000000"/>
      <sz val="11"/>
      <scheme val="major"/>
    </font>
    <font>
      <name val="Noto Sans"/>
      <family val="2"/>
      <color rgb="FF000000"/>
      <sz val="10"/>
    </font>
    <font>
      <name val="DejaVu Sans Mono"/>
      <family val="3"/>
      <color rgb="FF000000"/>
      <sz val="10"/>
    </font>
    <font>
      <name val="Noto Serif"/>
      <family val="1"/>
      <color rgb="FF000000"/>
      <sz val="10"/>
    </font>
    <font>
      <name val="Tahoma"/>
      <family val="2"/>
      <sz val="10"/>
    </font>
    <font>
      <name val="Georgia"/>
      <family val="1"/>
      <color rgb="FF000000"/>
      <sz val="8"/>
    </font>
    <font>
      <name val="Verdana"/>
      <family val="2"/>
      <color rgb="FF000000"/>
      <sz val="8"/>
    </font>
  </fonts>
  <fills count="3">
    <fill>
      <patternFill/>
    </fill>
    <fill>
      <patternFill patternType="gray125"/>
    </fill>
    <fill>
      <patternFill>
        <fgColor rgb="FF22222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right" vertical="top" wrapText="1"/>
    </xf>
    <xf numFmtId="0" fontId="2" fillId="2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right" wrapText="1"/>
    </xf>
    <xf numFmtId="0" fontId="2" fillId="2" borderId="0" applyAlignment="1" pivotButton="0" quotePrefix="0" xfId="0">
      <alignment horizontal="left" wrapText="1"/>
    </xf>
    <xf numFmtId="49" fontId="3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right" wrapText="1"/>
    </xf>
    <xf numFmtId="0" fontId="5" fillId="2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right" vertical="top" wrapText="1"/>
    </xf>
    <xf numFmtId="9" fontId="5" fillId="2" borderId="0" applyAlignment="1" pivotButton="0" quotePrefix="0" xfId="0">
      <alignment horizontal="right" wrapText="1"/>
    </xf>
    <xf numFmtId="0" fontId="5" fillId="0" borderId="0" applyAlignment="1" pivotButton="0" quotePrefix="0" xfId="0">
      <alignment vertical="top" wrapText="1"/>
    </xf>
    <xf numFmtId="49" fontId="5" fillId="2" borderId="0" applyAlignment="1" pivotButton="0" quotePrefix="0" xfId="0">
      <alignment horizontal="left" vertical="top" wrapText="1"/>
    </xf>
    <xf numFmtId="3" fontId="5" fillId="2" borderId="0" applyAlignment="1" pivotButton="0" quotePrefix="0" xfId="0">
      <alignment horizontal="right" vertical="top" wrapText="1"/>
    </xf>
    <xf numFmtId="9" fontId="5" fillId="2" borderId="0" applyAlignment="1" pivotButton="0" quotePrefix="0" xfId="0">
      <alignment horizontal="right" vertical="top" wrapText="1"/>
    </xf>
    <xf numFmtId="9" fontId="5" fillId="0" borderId="0" applyAlignment="1" pivotButton="0" quotePrefix="0" xfId="0">
      <alignment horizontal="right" vertical="top" wrapText="1"/>
    </xf>
    <xf numFmtId="9" fontId="5" fillId="0" borderId="0" applyAlignment="1" pivotButton="0" quotePrefix="0" xfId="0">
      <alignment vertical="top" wrapText="1"/>
    </xf>
    <xf numFmtId="49" fontId="6" fillId="2" borderId="0" applyAlignment="1" pivotButton="0" quotePrefix="0" xfId="0">
      <alignment horizontal="left" vertical="top" wrapText="1"/>
    </xf>
    <xf numFmtId="49" fontId="8" fillId="2" borderId="0" applyAlignment="1" pivotButton="0" quotePrefix="0" xfId="0">
      <alignment horizontal="left" vertical="top" wrapText="1"/>
    </xf>
    <xf numFmtId="49" fontId="9" fillId="2" borderId="0" applyAlignment="1" pivotButton="0" quotePrefix="0" xfId="0">
      <alignment horizontal="left" vertical="top" wrapText="1"/>
    </xf>
    <xf numFmtId="49" fontId="7" fillId="2" borderId="0" applyAlignment="1" pivotButton="0" quotePrefix="0" xfId="0">
      <alignment horizontal="left" vertical="top" wrapText="1"/>
    </xf>
    <xf numFmtId="49" fontId="10" fillId="2" borderId="0" applyAlignment="1" pivotButton="0" quotePrefix="0" xfId="0">
      <alignment horizontal="left" vertical="top" wrapText="1"/>
    </xf>
    <xf numFmtId="49" fontId="11" fillId="2" borderId="0" applyAlignment="1" pivotButton="0" quotePrefix="0" xfId="0">
      <alignment horizontal="left" vertical="top" wrapText="1"/>
    </xf>
    <xf numFmtId="49" fontId="12" fillId="2" borderId="0" applyAlignment="1" pivotButton="0" quotePrefix="0" xfId="0">
      <alignment horizontal="left" vertical="top" wrapText="1"/>
    </xf>
    <xf numFmtId="49" fontId="10" fillId="2" borderId="0" applyAlignment="1" pivotButton="0" quotePrefix="0" xfId="0">
      <alignment horizontal="left" wrapText="1"/>
    </xf>
    <xf numFmtId="49" fontId="3" fillId="2" borderId="0" applyAlignment="1" pivotButton="0" quotePrefix="0" xfId="0">
      <alignment horizontal="left" wrapText="1"/>
    </xf>
    <xf numFmtId="49" fontId="6" fillId="2" borderId="0" applyAlignment="1" pivotButton="0" quotePrefix="0" xfId="0">
      <alignment horizontal="left" wrapText="1"/>
    </xf>
    <xf numFmtId="49" fontId="7" fillId="2" borderId="0" applyAlignment="1" pivotButton="0" quotePrefix="1" xfId="0">
      <alignment horizontal="left" wrapText="1"/>
    </xf>
    <xf numFmtId="49" fontId="8" fillId="2" borderId="0" applyAlignment="1" pivotButton="0" quotePrefix="0" xfId="0">
      <alignment horizontal="left" wrapText="1"/>
    </xf>
    <xf numFmtId="49" fontId="9" fillId="2" borderId="0" applyAlignment="1" pivotButton="0" quotePrefix="0" xfId="0">
      <alignment horizontal="left" wrapText="1"/>
    </xf>
    <xf numFmtId="49" fontId="12" fillId="2" borderId="0" applyAlignment="1" pivotButton="0" quotePrefix="0" xfId="0">
      <alignment horizontal="left" wrapText="1"/>
    </xf>
    <xf numFmtId="49" fontId="11" fillId="2" borderId="0" applyAlignment="1" pivotButton="0" quotePrefix="0" xfId="0">
      <alignment horizontal="left" wrapText="1"/>
    </xf>
    <xf numFmtId="49" fontId="10" fillId="0" borderId="0" applyAlignment="1" pivotButton="0" quotePrefix="0" xfId="0">
      <alignment vertical="top" wrapText="1"/>
    </xf>
    <xf numFmtId="49" fontId="4" fillId="0" borderId="0" applyAlignment="1" pivotButton="0" quotePrefix="0" xfId="0">
      <alignment vertical="top" wrapText="1"/>
    </xf>
    <xf numFmtId="49" fontId="6" fillId="0" borderId="0" applyAlignment="1" pivotButton="0" quotePrefix="0" xfId="0">
      <alignment vertical="top" wrapText="1"/>
    </xf>
    <xf numFmtId="49" fontId="7" fillId="0" borderId="0" applyAlignment="1" pivotButton="0" quotePrefix="0" xfId="0">
      <alignment vertical="top" wrapText="1"/>
    </xf>
    <xf numFmtId="49" fontId="8" fillId="0" borderId="0" applyAlignment="1" pivotButton="0" quotePrefix="0" xfId="0">
      <alignment vertical="top" wrapText="1"/>
    </xf>
    <xf numFmtId="49" fontId="9" fillId="0" borderId="0" applyAlignment="1" pivotButton="0" quotePrefix="0" xfId="0">
      <alignment vertical="top" wrapText="1"/>
    </xf>
    <xf numFmtId="49" fontId="12" fillId="0" borderId="0" applyAlignment="1" pivotButton="0" quotePrefix="0" xfId="0">
      <alignment vertical="top" wrapText="1"/>
    </xf>
    <xf numFmtId="49" fontId="11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3" fillId="0" borderId="0" applyAlignment="1" pivotButton="0" quotePrefix="0" xfId="0">
      <alignment vertical="top" wrapText="1"/>
    </xf>
    <xf numFmtId="49" fontId="5" fillId="2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2" borderId="0" applyAlignment="1" pivotButton="0" quotePrefix="0" xfId="0">
      <alignment horizontal="center" wrapText="1"/>
    </xf>
    <xf numFmtId="49" fontId="5" fillId="0" borderId="0" applyAlignment="1" pivotButton="0" quotePrefix="0" xfId="0">
      <alignment horizontal="center" vertical="top" wrapText="1"/>
    </xf>
    <xf numFmtId="49" fontId="5" fillId="2" borderId="0" applyAlignment="1" pivotButton="0" quotePrefix="0" xfId="0">
      <alignment horizontal="center" vertical="top" wrapText="1"/>
    </xf>
    <xf numFmtId="164" fontId="1" fillId="2" borderId="0" applyAlignment="1" pivotButton="0" quotePrefix="0" xfId="0">
      <alignment horizontal="left" wrapText="1"/>
    </xf>
    <xf numFmtId="164" fontId="1" fillId="2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3" fontId="5" fillId="2" borderId="0" applyAlignment="1" pivotButton="0" quotePrefix="0" xfId="0">
      <alignment horizontal="right" wrapText="1"/>
    </xf>
    <xf numFmtId="3" fontId="5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left" vertical="top" wrapText="1"/>
    </xf>
    <xf numFmtId="166" fontId="0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U65536"/>
  <sheetViews>
    <sheetView tabSelected="1" workbookViewId="0">
      <pane xSplit="3" ySplit="1" topLeftCell="D14" activePane="bottomRight" state="frozen"/>
      <selection pane="topRight" activeCell="A1" sqref="A1"/>
      <selection pane="bottomLeft" activeCell="A1" sqref="A1"/>
      <selection pane="bottomRight" activeCell="P19" sqref="P19"/>
    </sheetView>
  </sheetViews>
  <sheetFormatPr baseColWidth="8" defaultColWidth="67.42578125" defaultRowHeight="18.75"/>
  <cols>
    <col width="11.5703125" bestFit="1" customWidth="1" style="15" min="1" max="1"/>
    <col width="9.85546875" customWidth="1" style="15" min="2" max="2"/>
    <col width="15.5703125" customWidth="1" style="15" min="3" max="3"/>
    <col width="8.85546875" customWidth="1" style="16" min="4" max="4"/>
    <col width="11" customWidth="1" style="15" min="5" max="5"/>
    <col width="7" customWidth="1" style="11" min="6" max="6"/>
    <col width="7.140625" customWidth="1" style="11" min="7" max="8"/>
    <col width="7.140625" customWidth="1" style="49" min="9" max="9"/>
    <col width="6.85546875" customWidth="1" style="17" min="10" max="13"/>
    <col width="29" customWidth="1" style="24" min="14" max="14"/>
    <col width="53.42578125" customWidth="1" style="7" min="15" max="15"/>
    <col width="53.42578125" customWidth="1" style="20" min="16" max="16"/>
    <col width="53.42578125" customWidth="1" style="23" min="17" max="17"/>
    <col width="53.42578125" customWidth="1" style="21" min="18" max="18"/>
    <col width="53.42578125" customWidth="1" style="22" min="19" max="19"/>
    <col width="53.42578125" customWidth="1" style="26" min="20" max="20"/>
    <col width="53.42578125" customWidth="1" style="25" min="21" max="21"/>
    <col width="6.85546875" customWidth="1" style="11" min="22" max="25"/>
    <col width="6.85546875" customWidth="1" style="2" min="26" max="26"/>
    <col width="20" customWidth="1" style="51" min="27" max="27"/>
    <col width="12.85546875" customWidth="1" style="1" min="28" max="34"/>
    <col width="12.85546875" customWidth="1" style="3" min="35" max="255"/>
    <col width="67.42578125" customWidth="1" style="9" min="256" max="260"/>
    <col width="67.42578125" customWidth="1" style="9" min="261" max="16384"/>
  </cols>
  <sheetData>
    <row r="1" ht="111" customFormat="1" customHeight="1" s="8">
      <c r="A1" s="45" t="inlineStr">
        <is>
          <t xml:space="preserve">Custom super group
</t>
        </is>
      </c>
      <c r="B1" s="45" t="inlineStr">
        <is>
          <t xml:space="preserve">Unicode row range
[py: range]
</t>
        </is>
      </c>
      <c r="C1" s="45" t="inlineStr">
        <is>
          <t xml:space="preserve">Unicode block name
</t>
        </is>
      </c>
      <c r="D1" s="53" t="inlineStr">
        <is>
          <t xml:space="preserve">Sort- able dec Uni- code range start
</t>
        </is>
      </c>
      <c r="E1" s="45" t="inlineStr">
        <is>
          <t xml:space="preserve">Unicode block range
</t>
        </is>
      </c>
      <c r="F1" s="10" t="inlineStr">
        <is>
          <t xml:space="preserve">UTF-8 bytes
</t>
        </is>
      </c>
      <c r="G1" s="10" t="inlineStr">
        <is>
          <t xml:space="preserve">Base rank; effic- iency
</t>
        </is>
      </c>
      <c r="H1" s="10" t="inlineStr">
        <is>
          <t xml:space="preserve">Base rank; exotic but read- able
</t>
        </is>
      </c>
      <c r="I1" s="47" t="inlineStr">
        <is>
          <t xml:space="preserve">Use for posit- ional base symbs?
</t>
        </is>
      </c>
      <c r="J1" s="13" t="inlineStr">
        <is>
          <t xml:space="preserve">% Used bin-to-text symbs
</t>
        </is>
      </c>
      <c r="K1" s="13" t="inlineStr">
        <is>
          <t xml:space="preserve">% Used inter- med- iate
</t>
        </is>
      </c>
      <c r="L1" s="13" t="inlineStr">
        <is>
          <t xml:space="preserve">% Used mach- ine vis- ion selec- tion
</t>
        </is>
      </c>
      <c r="M1" s="13" t="inlineStr">
        <is>
          <t xml:space="preserve">% Used hand- ref- ined
</t>
        </is>
      </c>
      <c r="N1" s="27" t="inlineStr">
        <is>
          <t xml:space="preserve">Comments
</t>
        </is>
      </c>
      <c r="O1" s="28" t="inlineStr">
        <is>
          <t xml:space="preserve">Original printable non-space characters; single-spaced (font: Georgia)
[py: orig]
</t>
        </is>
      </c>
      <c r="P1" s="29" t="inlineStr">
        <is>
          <t xml:space="preserve">For binary-to-text encoding where beauty and fitting into terminal cells isn't important. Still avoid right-to-left langs, composed characters, and diacritics. Get as many 1 and 2 Byte symbols as possible for UTF-8 encoding efficiency. See 'filter_clipboard_unicode_1_junk.bash'. Font: Cambria. [py: filter_junk]
</t>
        </is>
      </c>
      <c r="Q1" s="30" t="inlineStr">
        <is>
          <t xml:space="preserve">Intermediate cleanup of visually messy diacritics, ligatures, other composite characters, etc. Also all ASCII punctuation. 'See 'filter_clipboard_unicode_2_messy.bash'. Font: Noto Sans
[py: filter_messy]
</t>
        </is>
      </c>
      <c r="R1" s="31" t="inlineStr">
        <is>
          <t xml:space="preserve">Final machine-vision selection for positional notation. See 'filter_clipboard_unicode_3_visual.bash'. Font: DejaVu Sans Mono [py: filter_visual]
</t>
        </is>
      </c>
      <c r="S1" s="32" t="inlineStr">
        <is>
          <t xml:space="preserve">Hand-refined. Only the most legible, unique, and pleasing symbols, in original code-point order. Follow guide on symbol selection. Font: Noto Serif
</t>
        </is>
      </c>
      <c r="T1" s="33" t="inlineStr">
        <is>
          <t xml:space="preserve">OLD: Good symbols for a base in code point order (Font: Verdana)
</t>
        </is>
      </c>
      <c r="U1" s="34" t="inlineStr">
        <is>
          <t xml:space="preserve">OLD: Manual and AI-assisted re-ordering of code points (not a good idea). Font: Georgia.
</t>
        </is>
      </c>
      <c r="V1" s="10" t="inlineStr">
        <is>
          <t xml:space="preserve">Count: Orig
</t>
        </is>
      </c>
      <c r="W1" s="10" t="inlineStr">
        <is>
          <t xml:space="preserve">Count: Bin-to-text symbs
</t>
        </is>
      </c>
      <c r="X1" s="10" t="inlineStr">
        <is>
          <t xml:space="preserve">Count: inter- med- iate
</t>
        </is>
      </c>
      <c r="Y1" s="10" t="inlineStr">
        <is>
          <t xml:space="preserve">Count: Mach- ine vis- ion selec- tion
</t>
        </is>
      </c>
      <c r="Z1" s="5" t="inlineStr">
        <is>
          <t xml:space="preserve">Count: Hand- ref- ined
</t>
        </is>
      </c>
      <c r="AA1" s="50" t="inlineStr">
        <is>
          <t xml:space="preserve">Date updated by script
[py: updated]
</t>
        </is>
      </c>
      <c r="AB1" s="4" t="n"/>
      <c r="AC1" s="4" t="n"/>
      <c r="AD1" s="4" t="n"/>
      <c r="AE1" s="4" t="n"/>
      <c r="AF1" s="4" t="n"/>
      <c r="AG1" s="4" t="n"/>
      <c r="AH1" s="4" t="n"/>
      <c r="AI1" s="6" t="n"/>
      <c r="AJ1" s="6" t="n"/>
      <c r="AK1" s="6" t="n"/>
      <c r="AL1" s="6" t="n"/>
      <c r="AM1" s="6" t="n"/>
      <c r="AN1" s="6" t="n"/>
      <c r="AO1" s="6" t="n"/>
      <c r="AP1" s="6" t="n"/>
      <c r="AQ1" s="6" t="n"/>
      <c r="AR1" s="6" t="n"/>
      <c r="AS1" s="6" t="n"/>
      <c r="AT1" s="6" t="n"/>
      <c r="AU1" s="6" t="n"/>
      <c r="AV1" s="6" t="n"/>
      <c r="AW1" s="6" t="n"/>
      <c r="AX1" s="6" t="n"/>
      <c r="AY1" s="6" t="n"/>
      <c r="AZ1" s="6" t="n"/>
      <c r="BA1" s="6" t="n"/>
      <c r="BB1" s="6" t="n"/>
      <c r="BC1" s="6" t="n"/>
      <c r="BD1" s="6" t="n"/>
      <c r="BE1" s="6" t="n"/>
      <c r="BF1" s="6" t="n"/>
      <c r="BG1" s="6" t="n"/>
      <c r="BH1" s="6" t="n"/>
      <c r="BI1" s="6" t="n"/>
      <c r="BJ1" s="6" t="n"/>
      <c r="BK1" s="6" t="n"/>
      <c r="BL1" s="6" t="n"/>
      <c r="BM1" s="6" t="n"/>
      <c r="BN1" s="6" t="n"/>
      <c r="BO1" s="6" t="n"/>
      <c r="BP1" s="6" t="n"/>
      <c r="BQ1" s="6" t="n"/>
      <c r="BR1" s="6" t="n"/>
      <c r="BS1" s="6" t="n"/>
      <c r="BT1" s="6" t="n"/>
      <c r="BU1" s="6" t="n"/>
      <c r="BV1" s="6" t="n"/>
      <c r="BW1" s="6" t="n"/>
      <c r="BX1" s="6" t="n"/>
      <c r="BY1" s="6" t="n"/>
      <c r="BZ1" s="6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  <c r="CO1" s="6" t="n"/>
      <c r="CP1" s="6" t="n"/>
      <c r="CQ1" s="6" t="n"/>
      <c r="CR1" s="6" t="n"/>
      <c r="CS1" s="6" t="n"/>
      <c r="CT1" s="6" t="n"/>
      <c r="CU1" s="6" t="n"/>
      <c r="CV1" s="6" t="n"/>
      <c r="CW1" s="6" t="n"/>
      <c r="CX1" s="6" t="n"/>
      <c r="CY1" s="6" t="n"/>
      <c r="CZ1" s="6" t="n"/>
      <c r="DA1" s="6" t="n"/>
      <c r="DB1" s="6" t="n"/>
      <c r="DC1" s="6" t="n"/>
      <c r="DD1" s="6" t="n"/>
      <c r="DE1" s="6" t="n"/>
      <c r="DF1" s="6" t="n"/>
      <c r="DG1" s="6" t="n"/>
      <c r="DH1" s="6" t="n"/>
      <c r="DI1" s="6" t="n"/>
      <c r="DJ1" s="6" t="n"/>
      <c r="DK1" s="6" t="n"/>
      <c r="DL1" s="6" t="n"/>
      <c r="DM1" s="6" t="n"/>
      <c r="DN1" s="6" t="n"/>
      <c r="DO1" s="6" t="n"/>
      <c r="DP1" s="6" t="n"/>
      <c r="DQ1" s="6" t="n"/>
      <c r="DR1" s="6" t="n"/>
      <c r="DS1" s="6" t="n"/>
      <c r="DT1" s="6" t="n"/>
      <c r="DU1" s="6" t="n"/>
      <c r="DV1" s="6" t="n"/>
      <c r="DW1" s="6" t="n"/>
      <c r="DX1" s="6" t="n"/>
      <c r="DY1" s="6" t="n"/>
      <c r="DZ1" s="6" t="n"/>
      <c r="EA1" s="6" t="n"/>
      <c r="EB1" s="6" t="n"/>
      <c r="EC1" s="6" t="n"/>
      <c r="ED1" s="6" t="n"/>
      <c r="EE1" s="6" t="n"/>
      <c r="EF1" s="6" t="n"/>
      <c r="EG1" s="6" t="n"/>
      <c r="EH1" s="6" t="n"/>
      <c r="EI1" s="6" t="n"/>
      <c r="EJ1" s="6" t="n"/>
      <c r="EK1" s="6" t="n"/>
      <c r="EL1" s="6" t="n"/>
      <c r="EM1" s="6" t="n"/>
      <c r="EN1" s="6" t="n"/>
      <c r="EO1" s="6" t="n"/>
      <c r="EP1" s="6" t="n"/>
      <c r="EQ1" s="6" t="n"/>
      <c r="ER1" s="6" t="n"/>
      <c r="ES1" s="6" t="n"/>
      <c r="ET1" s="6" t="n"/>
      <c r="EU1" s="6" t="n"/>
      <c r="EV1" s="6" t="n"/>
      <c r="EW1" s="6" t="n"/>
      <c r="EX1" s="6" t="n"/>
      <c r="EY1" s="6" t="n"/>
      <c r="EZ1" s="6" t="n"/>
      <c r="FA1" s="6" t="n"/>
      <c r="FB1" s="6" t="n"/>
      <c r="FC1" s="6" t="n"/>
      <c r="FD1" s="6" t="n"/>
      <c r="FE1" s="6" t="n"/>
      <c r="FF1" s="6" t="n"/>
      <c r="FG1" s="6" t="n"/>
      <c r="FH1" s="6" t="n"/>
      <c r="FI1" s="6" t="n"/>
      <c r="FJ1" s="6" t="n"/>
      <c r="FK1" s="6" t="n"/>
      <c r="FL1" s="6" t="n"/>
      <c r="FM1" s="6" t="n"/>
      <c r="FN1" s="6" t="n"/>
      <c r="FO1" s="6" t="n"/>
      <c r="FP1" s="6" t="n"/>
      <c r="FQ1" s="6" t="n"/>
      <c r="FR1" s="6" t="n"/>
      <c r="FS1" s="6" t="n"/>
      <c r="FT1" s="6" t="n"/>
      <c r="FU1" s="6" t="n"/>
      <c r="FV1" s="6" t="n"/>
      <c r="FW1" s="6" t="n"/>
      <c r="FX1" s="6" t="n"/>
      <c r="FY1" s="6" t="n"/>
      <c r="FZ1" s="6" t="n"/>
      <c r="GA1" s="6" t="n"/>
      <c r="GB1" s="6" t="n"/>
      <c r="GC1" s="6" t="n"/>
      <c r="GD1" s="6" t="n"/>
      <c r="GE1" s="6" t="n"/>
      <c r="GF1" s="6" t="n"/>
      <c r="GG1" s="6" t="n"/>
      <c r="GH1" s="6" t="n"/>
      <c r="GI1" s="6" t="n"/>
      <c r="GJ1" s="6" t="n"/>
      <c r="GK1" s="6" t="n"/>
      <c r="GL1" s="6" t="n"/>
      <c r="GM1" s="6" t="n"/>
      <c r="GN1" s="6" t="n"/>
      <c r="GO1" s="6" t="n"/>
      <c r="GP1" s="6" t="n"/>
      <c r="GQ1" s="6" t="n"/>
      <c r="GR1" s="6" t="n"/>
      <c r="GS1" s="6" t="n"/>
      <c r="GT1" s="6" t="n"/>
      <c r="GU1" s="6" t="n"/>
      <c r="GV1" s="6" t="n"/>
      <c r="GW1" s="6" t="n"/>
      <c r="GX1" s="6" t="n"/>
      <c r="GY1" s="6" t="n"/>
      <c r="GZ1" s="6" t="n"/>
      <c r="HA1" s="6" t="n"/>
      <c r="HB1" s="6" t="n"/>
      <c r="HC1" s="6" t="n"/>
      <c r="HD1" s="6" t="n"/>
      <c r="HE1" s="6" t="n"/>
      <c r="HF1" s="6" t="n"/>
      <c r="HG1" s="6" t="n"/>
      <c r="HH1" s="6" t="n"/>
      <c r="HI1" s="6" t="n"/>
      <c r="HJ1" s="6" t="n"/>
      <c r="HK1" s="6" t="n"/>
      <c r="HL1" s="6" t="n"/>
      <c r="HM1" s="6" t="n"/>
      <c r="HN1" s="6" t="n"/>
      <c r="HO1" s="6" t="n"/>
      <c r="HP1" s="6" t="n"/>
      <c r="HQ1" s="6" t="n"/>
      <c r="HR1" s="6" t="n"/>
      <c r="HS1" s="6" t="n"/>
      <c r="HT1" s="6" t="n"/>
      <c r="HU1" s="6" t="n"/>
      <c r="HV1" s="6" t="n"/>
      <c r="HW1" s="6" t="n"/>
      <c r="HX1" s="6" t="n"/>
      <c r="HY1" s="6" t="n"/>
      <c r="HZ1" s="6" t="n"/>
      <c r="IA1" s="6" t="n"/>
      <c r="IB1" s="6" t="n"/>
      <c r="IC1" s="6" t="n"/>
      <c r="ID1" s="6" t="n"/>
      <c r="IE1" s="6" t="n"/>
      <c r="IF1" s="6" t="n"/>
      <c r="IG1" s="6" t="n"/>
      <c r="IH1" s="6" t="n"/>
      <c r="II1" s="6" t="n"/>
      <c r="IJ1" s="6" t="n"/>
      <c r="IK1" s="6" t="n"/>
      <c r="IL1" s="6" t="n"/>
      <c r="IM1" s="6" t="n"/>
      <c r="IN1" s="6" t="n"/>
      <c r="IO1" s="6" t="n"/>
      <c r="IP1" s="6" t="n"/>
      <c r="IQ1" s="6" t="n"/>
      <c r="IR1" s="6" t="n"/>
      <c r="IS1" s="6" t="n"/>
      <c r="IT1" s="6" t="n"/>
      <c r="IU1" s="6" t="n"/>
    </row>
    <row r="2" ht="49.5" customHeight="1">
      <c r="A2" s="46" t="inlineStr">
        <is>
          <t>Latin 1B</t>
        </is>
      </c>
      <c r="B2" s="46" t="inlineStr">
        <is>
          <t>U+0021-U+007E</t>
        </is>
      </c>
      <c r="C2" s="46" t="inlineStr">
        <is>
          <t>Basic Latin</t>
        </is>
      </c>
      <c r="D2" s="54">
        <f>HEX2DEC(MID(B2,3,FIND("-",E2)-3))</f>
        <v/>
      </c>
      <c r="E2" s="46" t="inlineStr">
        <is>
          <t>U+0000-U+007F</t>
        </is>
      </c>
      <c r="F2" s="14" t="n">
        <v>1</v>
      </c>
      <c r="G2" s="14" t="n">
        <v>5</v>
      </c>
      <c r="H2" s="14" t="n">
        <v>1</v>
      </c>
      <c r="I2" s="48" t="inlineStr">
        <is>
          <t>y</t>
        </is>
      </c>
      <c r="J2" s="19">
        <f>ROUNDDOWN(W2,0)/$V2</f>
        <v/>
      </c>
      <c r="K2" s="19">
        <f>ROUNDDOWN(X2,0)/$V2</f>
        <v/>
      </c>
      <c r="L2" s="19">
        <f>ROUNDDOWN(Y2,0)/$V2</f>
        <v/>
      </c>
      <c r="M2" s="19">
        <f>ROUNDDOWN(Z2,0)/$V2</f>
        <v/>
      </c>
      <c r="N2" s="35" t="inlineStr">
        <is>
          <t>Printable 7-bit ASCII, excluding U+0020=Space.</t>
        </is>
      </c>
      <c r="O2" s="36" t="inlineStr">
        <is>
          <t>! " # $ % &amp; ' ( ) * + , - . / 0 1 2 3 4 5 6 7 8 9 : ; &lt; = &gt; ? @ A B C D E F G H I J K L M N O P Q R S T U V W X Y Z [ \ ] ^ _ ` a b c d e f g h i j k l m n o p q r s t u v w x y z { | } ~</t>
        </is>
      </c>
      <c r="P2" s="37" t="inlineStr">
        <is>
          <t>! ( ) + , - . 0 1 2 3 4 5 6 7 8 9 : ; = @ A B C D E F G H I J K L M N O P Q R S T U V W X Y Z [ ] _ a b c d e f g h i j k l m n o p q r s t u v w x y z { }</t>
        </is>
      </c>
      <c r="Q2" s="38" t="inlineStr">
        <is>
          <t>0 1 2 3 4 5 6 7 8 9 A B C D E F G H I J K L M N O P Q R S T U V W X Y Z a b c d e f g h i j k l m n o p q r s t u v w x y z</t>
        </is>
      </c>
      <c r="R2" s="39" t="inlineStr">
        <is>
          <t>0 1 2 3 4 5 6 7 8 9 A B C D E F G H I J K L M N O P Q R S T U V W X Y Z a b c d e f g h i j k l m n o p q r s t u v w x y z</t>
        </is>
      </c>
      <c r="S2" s="40" t="n"/>
      <c r="T2" s="41" t="inlineStr">
        <is>
          <t>0 1 2 3 4 5 6 7 8 9 A B C D E F G H I J K L M N O P Q R S T U V W X Y Z a b c d e f g h i j k l m n o p q r s t u v w x y z</t>
        </is>
      </c>
      <c r="U2" s="42" t="inlineStr">
        <is>
          <t>0 1 2 3 4 5 6 7 8 9 A B C D E F G H I J K L M N O P Q R S T U V W X Y Z a b c d e f g h i j k l m n o p q r s t u v w x y z</t>
        </is>
      </c>
      <c r="V2" s="14">
        <f>(LEN(O2)+1)/2</f>
        <v/>
      </c>
      <c r="W2" s="14">
        <f>ROUNDDOWN((LEN(P2)+1)/2,0)</f>
        <v/>
      </c>
      <c r="X2" s="14">
        <f>ROUNDDOWN((LEN(Q2)+1)/2,0)</f>
        <v/>
      </c>
      <c r="Y2" s="14">
        <f>ROUNDDOWN((LEN(R2)+1)/2,0)</f>
        <v/>
      </c>
      <c r="Z2" s="14">
        <f>ROUNDDOWN((LEN(S2)+1)/2,0)</f>
        <v/>
      </c>
      <c r="AA2" s="56" t="n">
        <v>46150.55820392965</v>
      </c>
    </row>
    <row r="3" ht="45" customHeight="1">
      <c r="A3" s="46" t="inlineStr">
        <is>
          <t>Latin 2B</t>
        </is>
      </c>
      <c r="B3" s="46" t="inlineStr">
        <is>
          <t>U+00A1-U+00FF</t>
        </is>
      </c>
      <c r="C3" s="46" t="inlineStr">
        <is>
          <t>Latin-1 Supplement</t>
        </is>
      </c>
      <c r="D3" s="54">
        <f>HEX2DEC(MID(B3,3,FIND("-",E3)-3))</f>
        <v/>
      </c>
      <c r="E3" s="46" t="inlineStr">
        <is>
          <t>U+00A0-U+00FF</t>
        </is>
      </c>
      <c r="F3" s="14" t="n">
        <v>2</v>
      </c>
      <c r="G3" s="14" t="n">
        <v>4</v>
      </c>
      <c r="H3" s="14" t="n">
        <v>2</v>
      </c>
      <c r="I3" s="48" t="inlineStr">
        <is>
          <t>y</t>
        </is>
      </c>
      <c r="J3" s="19">
        <f>ROUNDDOWN(W3,0)/$V3</f>
        <v/>
      </c>
      <c r="K3" s="19">
        <f>ROUNDDOWN(X3,0)/$V3</f>
        <v/>
      </c>
      <c r="L3" s="19">
        <f>ROUNDDOWN(Y3,0)/$V3</f>
        <v/>
      </c>
      <c r="M3" s="19">
        <f>ROUNDDOWN(Z3,0)/$V3</f>
        <v/>
      </c>
      <c r="N3" s="24" t="inlineStr">
        <is>
          <t>Excludes U+00A0=Non-Breaking Space, and U+00AD=Soft Hyphen.</t>
        </is>
      </c>
      <c r="O3" s="36" t="inlineStr">
        <is>
          <t>¡ ¢ £ ¤ ¥ ¦ § ¨ © ª « ¬ ® ¯ ° ± ² ³ ´ µ ¶ · ¸ ¹ º » ¼ ½ ¾ ¿ À Á Â Ã Ä Å Æ Ç È É Ê Ë Ì Í Î Ï Ð Ñ Ò Ó Ô Õ Ö × Ø Ù Ú Û Ü Ý Þ ß à á â ã ä å æ ç è é ê ë ì í î ï ð ñ ò ó ô õ ö ÷ ø ù ú û ü ý þ ÿ</t>
        </is>
      </c>
      <c r="P3" s="37" t="inlineStr">
        <is>
          <t>¡ ¢ £ ¤ ¥ ¦ § © ª « ¬ ® ° ± ² ³ µ ¶ · ¹ º » ¼ ½ ¾ ¿ À Á Â Ã Ä Å Æ Ç È É Ê Ë Ì Í Î Ï Ð Ñ Ò Ó Ô Õ Ö × Ø Ù Ú Û Ü Ý Þ ß à á â ã ä å æ ç è é ê ë ì í î ï ð ñ ò ó ô õ ö ÷ ø ù ú û ü ý þ ÿ</t>
        </is>
      </c>
      <c r="Q3" s="38" t="inlineStr">
        <is>
          <t>¡ ¢ £ ¤ ¥ ¦ § © « ® ° µ ¶ » ¿ ß ð þ</t>
        </is>
      </c>
      <c r="R3" s="39" t="inlineStr">
        <is>
          <t>¡ ¢ £ ¤ ¥ § © « ® ° µ ¶ » ¿ ß ð</t>
        </is>
      </c>
      <c r="S3" s="40" t="n"/>
      <c r="T3" s="41" t="inlineStr">
        <is>
          <t>¡ ¢ £ ¤ ¥ ¦ § © ª « ¬ ® ¯ ° ± ² ³ µ ¶ · ¹ º » ¼ ½ ¾ ¿ À Á Â Ã Ä Å Æ Ç È É Ê Ë Ì Í Î Ï Ð Ñ Ò Ó Ô Õ Ö × Ø Ù Ú Û Ü Ý Þ ß à á â ã ä å æ ç è é ê ë ì í î ï ð ñ ò ó ô õ ö ÷ ø ù ú û ü ý þ ÿ</t>
        </is>
      </c>
      <c r="U3" s="42" t="inlineStr">
        <is>
          <t>Â Ê Î Ô Û Ã Ñ Õ Ä Ë Ï Ö Ü Á É Í Ó Ú Ý Ø À È Ì Ò Ù Å Ç Æ Ð Þ â ê î ô û ã ñ õ ä ë ï ö ü ÿ á é í ó ú ý ø à è ì ò ù å ç ß æ ð þ µ ª º ¹ ² ³ ¼ ½ ¾ © ® ¢ £ ¤ ¥ ¦ ¬ ¯ ° ± × ÷ ¡ § « ¶ · » ¿</t>
        </is>
      </c>
      <c r="V3" s="14">
        <f>(LEN(O3)+1)/2</f>
        <v/>
      </c>
      <c r="W3" s="14">
        <f>ROUNDDOWN((LEN(P3)+1)/2,0)</f>
        <v/>
      </c>
      <c r="X3" s="14">
        <f>ROUNDDOWN((LEN(Q3)+1)/2,0)</f>
        <v/>
      </c>
      <c r="Y3" s="14">
        <f>ROUNDDOWN((LEN(R3)+1)/2,0)</f>
        <v/>
      </c>
      <c r="Z3" s="14">
        <f>ROUNDDOWN((LEN(S3)+1)/2,0)</f>
        <v/>
      </c>
      <c r="AA3" s="56" t="n">
        <v>46150.55820437898</v>
      </c>
    </row>
    <row r="4" ht="60" customHeight="1">
      <c r="A4" s="46" t="inlineStr">
        <is>
          <t>Latin 2B</t>
        </is>
      </c>
      <c r="B4" s="46" t="inlineStr">
        <is>
          <t>U+0100-U+017F</t>
        </is>
      </c>
      <c r="C4" s="46" t="inlineStr">
        <is>
          <t>Latin Extended-A</t>
        </is>
      </c>
      <c r="D4" s="54">
        <f>HEX2DEC(MID(B4,3,FIND("-",E4)-3))</f>
        <v/>
      </c>
      <c r="E4" s="46" t="inlineStr">
        <is>
          <t>U+0100-U+017F</t>
        </is>
      </c>
      <c r="F4" s="14" t="n">
        <v>2</v>
      </c>
      <c r="G4" s="14" t="n">
        <v>4</v>
      </c>
      <c r="H4" s="14" t="n">
        <v>3</v>
      </c>
      <c r="I4" s="48" t="inlineStr">
        <is>
          <t>y</t>
        </is>
      </c>
      <c r="J4" s="19">
        <f>ROUNDDOWN(W4,0)/$V4</f>
        <v/>
      </c>
      <c r="K4" s="19">
        <f>ROUNDDOWN(X4,0)/$V4</f>
        <v/>
      </c>
      <c r="L4" s="19">
        <f>ROUNDDOWN(Y4,0)/$V4</f>
        <v/>
      </c>
      <c r="M4" s="19">
        <f>ROUNDDOWN(Z4,0)/$V4</f>
        <v/>
      </c>
      <c r="O4" s="36" t="inlineStr">
        <is>
          <t>Ā ā Ă ă Ą ą Ć ć Ĉ ĉ Ċ ċ Č č Ď ď Đ đ Ē ē Ĕ ĕ Ė ė Ę ę Ě ě Ĝ ĝ Ğ ğ Ġ ġ Ģ ģ Ĥ ĥ Ħ ħ Ĩ ĩ Ī ī Ĭ ĭ Į į İ ı Ĳ ĳ Ĵ ĵ Ķ ķ ĸ Ĺ ĺ Ļ ļ Ľ ľ Ŀ ŀ Ł ł Ń ń Ņ ņ Ň ň ŉ Ŋ ŋ Ō ō Ŏ ŏ Ő ő Œ œ Ŕ ŕ Ŗ ŗ Ř ř Ś ś Ŝ ŝ Ş ş Š š Ţ ţ Ť ť Ŧ ŧ Ũ ũ Ū ū Ŭ ŭ Ů ů Ű ű Ų ų Ŵ ŵ Ŷ ŷ Ÿ Ź ź Ż ż Ž ž ſ</t>
        </is>
      </c>
      <c r="P4" s="37" t="inlineStr">
        <is>
          <t>Ā ā Ă ă Ą ą Ć ć Ĉ ĉ Ċ ċ Č č Ď ď Đ đ Ē ē Ĕ ĕ Ė ė Ę ę Ě ě Ĝ ĝ Ğ ğ Ġ ġ Ģ ģ Ĥ ĥ Ħ ħ Ĩ ĩ Ī ī Ĭ ĭ Į į İ ı Ĳ ĳ Ĵ ĵ Ķ ķ ĸ Ĺ ĺ Ļ ļ Ľ ľ Ŀ ŀ Ł ł Ń ń Ņ ņ Ň ň ŉ Ŋ ŋ Ō ō Ŏ ŏ Ő ő Œ œ Ŕ ŕ Ŗ ŗ Ř ř Ś ś Ŝ ŝ Ş ş Š š Ţ ţ Ť ť Ŧ ŧ Ũ ũ Ū ū Ŭ ŭ Ů ů Ű ű Ų ų Ŵ ŵ Ŷ ŷ Ÿ Ź ź Ż ż Ž ž ſ</t>
        </is>
      </c>
      <c r="Q4" s="38" t="inlineStr">
        <is>
          <t>ı ĸ ŋ</t>
        </is>
      </c>
      <c r="R4" s="39" t="inlineStr">
        <is>
          <t>ĸ ŋ</t>
        </is>
      </c>
      <c r="S4" s="40" t="n"/>
      <c r="T4" s="41" t="inlineStr">
        <is>
          <t>Ā ā Ă ă Ą ą Ć ć Ĉ ĉ Ċ ċ Č č Ď ď Đ đ Ē ē Ĕ ĕ Ė ė Ę ę Ě ě Ĝ ĝ Ğ ğ Ġ ġ Ģ ģ Ĥ ĥ Ħ ħ Ĩ ĩ Ī ī Ĭ ĭ Į į İ ı Ĳ ĳ Ĵ ĵ Ķ ķ ĸ Ĺ ĺ Ļ ļ Ľ ľ Ŀ ŀ Ł ł Ń ń Ņ ņ Ň ň ŉ Ŋ ŋ Ō ō Ŏ ŏ Ő ő Œ œ Ŕ ŕ Ŗ ŗ Ř ř Ś ś Ŝ ŝ Ş ş Š š Ţ ţ Ť ť Ŧ ŧ Ũ ũ Ū ū Ŭ ŭ Ů ů Ű ű Ų ų Ŵ ŵ Ŷ ŷ Ÿ Ź ź Ż ż Ž ž ſ</t>
        </is>
      </c>
      <c r="U4" s="42" t="inlineStr">
        <is>
          <t>Ŋ ı ŋ ĸ ſ ŉ Ĉ Ĝ Ĥ Ĵ Ŝ Ŵ Ŷ ĉ ĝ ĥ ĵ ŝ ŵ ŷ Ĩ Ũ ĩ ũ Ÿ Ć Ĺ Ń Ŕ Ś Ź ć ĺ ń ŕ ś ź Ő Ű ő ű Ā Ē Ī Ō Ū ā ē ī ō ū Č Ď Ě Ľ Ň Ř Š Ť Ž č ď ě ľ ň ř š ť ž Đ Ħ Ł Ŧ đ ħ ł ŧ Ă Ĕ Ğ Ĭ Ŏ Ŭ ă ĕ ğ ĭ ŏ ŭ Ċ Ė Ġ İ Ż ċ ė ġ ż Ů ů Ģ Ķ Ļ Ņ Ŗ Ş Ţ ģ ķ ļ ņ ŗ ş ţ Ą Ę Į Ų ą ę į ų Ŀ ŀ Ĳ ĳ Œ œ</t>
        </is>
      </c>
      <c r="V4" s="14">
        <f>(LEN(O4)+1)/2</f>
        <v/>
      </c>
      <c r="W4" s="14">
        <f>ROUNDDOWN((LEN(P4)+1)/2,0)</f>
        <v/>
      </c>
      <c r="X4" s="14">
        <f>ROUNDDOWN((LEN(Q4)+1)/2,0)</f>
        <v/>
      </c>
      <c r="Y4" s="14">
        <f>ROUNDDOWN((LEN(R4)+1)/2,0)</f>
        <v/>
      </c>
      <c r="Z4" s="14">
        <f>ROUNDDOWN((LEN(S4)+1)/2,0)</f>
        <v/>
      </c>
      <c r="AA4" s="56" t="n">
        <v>46150.5582045746</v>
      </c>
    </row>
    <row r="5" ht="105" customHeight="1">
      <c r="A5" s="46" t="inlineStr">
        <is>
          <t>Latin 2B</t>
        </is>
      </c>
      <c r="B5" s="46" t="inlineStr">
        <is>
          <t>U+0180-U+024F</t>
        </is>
      </c>
      <c r="C5" s="46" t="inlineStr">
        <is>
          <t>Latin Extended-B</t>
        </is>
      </c>
      <c r="D5" s="54">
        <f>HEX2DEC(MID(B5,3,FIND("-",E5)-3))</f>
        <v/>
      </c>
      <c r="E5" s="46" t="inlineStr">
        <is>
          <t>U+0180-U+024F</t>
        </is>
      </c>
      <c r="F5" s="14" t="n">
        <v>2</v>
      </c>
      <c r="G5" s="14" t="n">
        <v>4</v>
      </c>
      <c r="H5" s="14" t="n">
        <v>3</v>
      </c>
      <c r="I5" s="48" t="inlineStr">
        <is>
          <t>y</t>
        </is>
      </c>
      <c r="J5" s="19">
        <f>ROUNDDOWN(W5,0)/$V5</f>
        <v/>
      </c>
      <c r="K5" s="19">
        <f>ROUNDDOWN(X5,0)/$V5</f>
        <v/>
      </c>
      <c r="L5" s="19">
        <f>ROUNDDOWN(Y5,0)/$V5</f>
        <v/>
      </c>
      <c r="M5" s="19">
        <f>ROUNDDOWN(Z5,0)/$V5</f>
        <v/>
      </c>
      <c r="O5" s="36" t="inlineStr">
        <is>
          <t>ƀ Ɓ Ƃ ƃ Ƅ ƅ Ɔ Ƈ ƈ Ɖ Ɗ Ƌ ƌ ƍ Ǝ Ə Ɛ Ƒ ƒ Ɠ Ɣ ƕ Ɩ Ɨ Ƙ ƙ ƚ ƛ Ɯ Ɲ ƞ Ɵ Ơ ơ Ƣ ƣ Ƥ ƥ Ʀ Ƨ ƨ Ʃ ƪ ƫ Ƭ ƭ Ʈ Ư ư Ʊ Ʋ Ƴ ƴ Ƶ ƶ Ʒ Ƹ ƹ ƺ ƻ Ƽ ƽ ƾ ƿ ǀ ǁ ǂ ǃ Ǆ ǅ ǆ Ǉ ǈ ǉ Ǌ ǋ ǌ Ǎ ǎ Ǐ ǐ Ǒ ǒ Ǔ ǔ Ǖ ǖ Ǘ ǘ Ǚ ǚ Ǜ ǜ ǝ Ǟ ǟ Ǡ ǡ Ǣ ǣ Ǥ ǥ Ǧ ǧ Ǩ ǩ Ǫ ǫ Ǭ ǭ Ǯ ǯ ǰ Ǳ ǲ ǳ Ǵ ǵ Ƕ Ƿ Ǹ ǹ Ǻ ǻ Ǽ ǽ Ǿ ǿ Ȁ ȁ Ȃ ȃ Ȅ ȅ Ȇ ȇ Ȉ ȉ Ȋ ȋ Ȍ ȍ Ȏ ȏ Ȑ ȑ Ȓ ȓ Ȕ ȕ Ȗ ȗ Ș ș Ț ț Ȝ ȝ Ȟ ȟ Ƞ ȡ Ȣ ȣ Ȥ ȥ Ȧ ȧ Ȩ ȩ Ȫ ȫ Ȭ ȭ Ȯ ȯ Ȱ ȱ Ȳ ȳ ȴ ȵ ȶ ȷ ȸ ȹ Ⱥ Ȼ ȼ Ƚ Ⱦ ȿ ɀ Ɂ ɂ Ƀ Ʉ Ʌ Ɇ ɇ Ɉ ɉ Ɋ ɋ Ɍ ɍ Ɏ ɏ</t>
        </is>
      </c>
      <c r="P5" s="37" t="inlineStr">
        <is>
          <t>ƀ Ɓ Ƃ ƃ Ƅ ƅ Ɔ Ƈ ƈ Ɖ Ɗ Ƌ ƌ ƍ Ǝ Ə Ɛ Ƒ ƒ Ɠ Ɣ ƕ Ɩ Ɨ Ƙ ƙ ƚ ƛ Ɯ Ɲ ƞ Ɵ Ơ ơ Ƣ ƣ Ƥ ƥ Ʀ Ƨ ƨ Ʃ ƪ ƫ Ƭ ƭ Ʈ Ư ư Ʊ Ʋ Ƴ ƴ Ƶ ƶ Ʒ Ƹ ƹ ƺ ƻ Ƽ ƽ ƾ ƿ ǀ ǁ ǂ ǃ Ǆ ǅ ǆ Ǉ ǈ ǉ Ǌ ǋ ǌ Ǎ ǎ Ǐ ǐ Ǒ ǒ Ǔ ǔ Ǖ ǖ Ǘ ǘ Ǚ ǚ Ǜ ǜ ǝ Ǟ ǟ Ǡ ǡ Ǣ ǣ Ǥ ǥ Ǧ ǧ Ǩ ǩ Ǫ ǫ Ǭ ǭ Ǯ ǯ ǰ Ǳ ǲ ǳ Ǵ ǵ Ƕ Ƿ Ǹ ǹ Ǻ ǻ Ǽ ǽ Ǿ ǿ Ȁ ȁ Ȃ ȃ Ȅ ȅ Ȇ ȇ Ȉ ȉ Ȋ ȋ Ȍ ȍ Ȏ ȏ Ȑ ȑ Ȓ ȓ Ȕ ȕ Ȗ ȗ Ș ș Ț ț Ȝ ȝ Ȟ ȟ Ƞ ȡ Ȣ ȣ Ȥ ȥ Ȧ ȧ Ȩ ȩ Ȫ ȫ Ȭ ȭ Ȯ ȯ Ȱ ȱ Ȳ ȳ ȴ ȵ ȶ ȷ ȸ ȹ Ⱥ Ȼ ȼ Ƚ Ⱦ ȿ ɀ Ɂ ɂ Ƀ Ʉ Ʌ Ɇ ɇ Ɉ ɉ Ɋ ɋ Ɍ ɍ Ɏ ɏ</t>
        </is>
      </c>
      <c r="Q5" s="38" t="inlineStr">
        <is>
          <t>ƅ ƍ ƕ ƨ ƪ ƹ ƽ ƿ ǀ ǁ ǂ ǃ ǝ ȝ ȷ ɂ</t>
        </is>
      </c>
      <c r="R5" s="39" t="inlineStr">
        <is>
          <t>ƅ ƕ ƨ ƪ ƹ ǂ ǃ ǝ ȝ ȷ ɂ</t>
        </is>
      </c>
      <c r="S5" s="40" t="n"/>
      <c r="T5" s="41" t="inlineStr">
        <is>
          <t>ƀ Ɓ Ƃ ƃ Ƅ ƅ Ɔ Ƈ ƈ Ɖ Ɗ Ƌ ƌ ƍ Ǝ Ə Ɛ Ƒ ƒ Ɠ Ɣ ƕ Ɩ Ɨ Ƙ ƙ ƚ ƛ Ɯ Ɲ ƞ Ɵ Ơ ơ Ƣ ƣ Ƥ ƥ Ʀ Ƨ ƨ Ʃ ƪ ƫ Ƭ ƭ Ʈ Ư ư Ʊ Ʋ Ƴ ƴ Ƶ ƶ Ʒ Ƹ ƹ ƺ ƻ Ƽ ƽ ƾ ƿ ǀ ǁ ǂ ǃ Ǆ ǅ ǆ Ǉ ǈ ǉ Ǌ ǋ ǌ Ǎ ǎ Ǐ ǐ Ǒ ǒ Ǔ ǔ Ǖ ǖ Ǘ ǘ Ǚ ǚ Ǜ ǜ ǝ Ǟ ǟ Ǡ ǡ Ǣ ǣ Ǥ ǥ Ǧ ǧ Ǩ ǩ Ǫ ǫ Ǭ ǭ Ǯ ǯ ǰ Ǳ ǲ ǳ Ǵ ǵ Ƕ Ƿ Ǹ ǹ Ǻ ǻ Ǽ ǽ Ǿ ǿ Ȁ ȁ Ȃ ȃ Ȅ ȅ Ȇ ȇ Ȉ ȉ Ȋ ȋ Ȍ ȍ Ȏ ȏ Ȑ ȑ Ȓ ȓ Ȕ ȕ Ȗ ȗ Ș ș Ț ț Ȝ ȝ Ȟ ȟ Ƞ ȡ Ȣ ȣ Ȥ ȥ Ȧ ȧ Ȩ ȩ Ȫ ȫ Ȭ ȭ Ȯ ȯ Ȱ ȱ Ȳ ȳ ȴ ȵ ȶ ȷ ȸ ȹ Ⱥ Ȼ ȼ Ƚ Ⱦ ȿ ɀ Ɂ ɂ Ƀ Ʉ Ʌ Ɇ ɇ Ɉ ɉ Ɋ ɋ Ɍ ɍ Ɏ ɏ</t>
        </is>
      </c>
      <c r="U5" s="42" t="inlineStr">
        <is>
          <t>Ɖ Ǳ Ʃ Ʒ Ƹ Ɣ Ɂ Ƕ Ɩ Ǉ Ǌ Ɔ Ɛ Ƣ Ȣ Ǝ Ə Ƅ Ɯ Ƨ Ƽ Ʌ Ʊ Ʉ Ƿ Ȝ ǳ ȷ ȸ ƹ ɂ ƕ ǉ ǌ ƣ ȣ ȹ ƅ ƍ ƨ ƽ ǝ ȝ ǂ ǀ ǁ ƪ ǃ ƿ Ʀ Ɵ Ȭ ȭ Ǘ ǘ Ǚ ǚ Ǜ ǜ Ǟ Ȫ Ǖ ǟ ȫ ǖ Ǵ Ǽ ǵ ǽ Ǻ ǻ Ǿ ǿ Ǡ Ȱ ǡ ȱ Ȳ Ǣ ȳ ǣ Ǭ ǭ Ǎ Ǧ Ȟ Ǐ Ǩ Ǒ Ǔ Ǆ Ǯ ǎ ǧ ȟ ǐ ǰ ǩ ǒ ǔ ǆ ǯ ǅ Ⱦ Ⱥ Ƀ Ȼ Ɇ Ǥ Ɨ Ɉ Ɍ Ɏ Ƶ ƀ ȼ ɇ ǥ ɉ ɍ ɏ ƶ ƛ ƾ ƻ Ɓ Ƈ Ɗ Ƒ Ɠ Ƙ Ƥ Ƭ Ʋ Ƴ Ȥ ƈ ƒ ƙ ƥ ƭ ƴ ȥ Ɋ ɋ Ɲ ƫ Ʈ Ƚ ƚ Ƃ Ƌ ƃ ƌ Ȁ Ȅ Ȉ Ȍ Ȑ Ȕ ȁ ȅ ȉ ȍ ȑ ȕ Ǹ ǹ Ȃ Ȇ Ȋ Ȏ Ȓ Ȗ ȃ ȇ ȋ ȏ ȓ ȗ Ȧ Ȯ ȧ ȯ Ȩ ȩ Ǫ ǫ Ș Ț ș ț Ơ Ư ơ ư ȡ ȴ ȵ ȶ Ƞ ƞ ǈ ǋ ǲ ȿ ɀ ƺ</t>
        </is>
      </c>
      <c r="V5" s="14">
        <f>(LEN(O5)+1)/2</f>
        <v/>
      </c>
      <c r="W5" s="14">
        <f>ROUNDDOWN((LEN(P5)+1)/2,0)</f>
        <v/>
      </c>
      <c r="X5" s="14">
        <f>ROUNDDOWN((LEN(Q5)+1)/2,0)</f>
        <v/>
      </c>
      <c r="Y5" s="14">
        <f>ROUNDDOWN((LEN(R5)+1)/2,0)</f>
        <v/>
      </c>
      <c r="Z5" s="14">
        <f>ROUNDDOWN((LEN(S5)+1)/2,0)</f>
        <v/>
      </c>
      <c r="AA5" s="56" t="n">
        <v>46150.55820493762</v>
      </c>
    </row>
    <row r="6" ht="45" customHeight="1">
      <c r="A6" s="46" t="inlineStr">
        <is>
          <t>Phonetic</t>
        </is>
      </c>
      <c r="B6" s="46" t="inlineStr">
        <is>
          <t>U+0250-U+02AF</t>
        </is>
      </c>
      <c r="C6" s="46" t="inlineStr">
        <is>
          <t>IPA Extensions</t>
        </is>
      </c>
      <c r="D6" s="54">
        <f>HEX2DEC(MID(B6,3,FIND("-",E6)-3))</f>
        <v/>
      </c>
      <c r="E6" s="46" t="inlineStr">
        <is>
          <t>U+0250-U+02AF</t>
        </is>
      </c>
      <c r="F6" s="14" t="n">
        <v>2</v>
      </c>
      <c r="G6" s="14" t="n">
        <v>4</v>
      </c>
      <c r="H6" s="14" t="n">
        <v>4</v>
      </c>
      <c r="I6" s="48" t="inlineStr">
        <is>
          <t>y</t>
        </is>
      </c>
      <c r="J6" s="19">
        <f>ROUNDDOWN(W6,0)/$V6</f>
        <v/>
      </c>
      <c r="K6" s="19">
        <f>ROUNDDOWN(X6,0)/$V6</f>
        <v/>
      </c>
      <c r="L6" s="19">
        <f>ROUNDDOWN(Y6,0)/$V6</f>
        <v/>
      </c>
      <c r="M6" s="19">
        <f>ROUNDDOWN(Z6,0)/$V6</f>
        <v/>
      </c>
      <c r="O6" s="36" t="inlineStr">
        <is>
          <t>ɐ ɑ ɒ ɓ ɔ ɕ ɖ ɗ ɘ ə ɚ ɛ ɜ ɝ ɞ ɟ ɠ ɡ ɢ ɣ ɤ ɥ ɦ ɧ ɨ ɩ ɪ ɫ ɬ ɭ ɮ ɯ ɰ ɱ ɲ ɳ ɴ ɵ ɶ ɷ ɸ ɹ ɺ ɻ ɼ ɽ ɾ ɿ ʀ ʁ ʂ ʃ ʄ ʅ ʆ ʇ ʈ ʉ ʊ ʋ ʌ ʍ ʎ ʏ ʐ ʑ ʒ ʓ ʔ ʕ ʖ ʗ ʘ ʙ ʚ ʛ ʜ ʝ ʞ ʟ ʠ ʡ ʢ ʣ ʤ ʥ ʦ ʧ ʨ ʩ ʪ ʫ ʬ ʭ ʮ ʯ</t>
        </is>
      </c>
      <c r="P6" s="37" t="inlineStr">
        <is>
          <t>ɐ ɑ ɒ ɓ ɔ ɕ ɖ ɗ ɘ ə ɚ ɛ ɜ ɝ ɞ ɟ ɠ ɡ ɢ ɣ ɤ ɥ ɦ ɧ ɨ ɩ ɪ ɫ ɬ ɭ ɮ ɯ ɰ ɱ ɲ ɳ ɴ ɵ ɶ ɷ ɸ ɹ ɺ ɻ ɼ ɽ ɾ ɿ ʀ ʁ ʂ ʃ ʄ ʅ ʆ ʇ ʈ ʉ ʊ ʋ ʌ ʍ ʎ ʏ ʐ ʑ ʒ ʓ ʔ ʕ ʖ ʗ ʘ ʙ ʚ ʛ ʜ ʝ ʞ ʟ ʠ ʡ ʢ ʣ ʤ ʥ ʦ ʧ ʨ ʩ ʪ ʫ ʬ ʭ ʮ ʯ</t>
        </is>
      </c>
      <c r="Q6" s="38" t="inlineStr">
        <is>
          <t>ɐ ɑ ɒ ɘ ə ɛ ɜ ɞ ɡ ɢ ɣ ɤ ɥ ɩ ɪ ɮ ɯ ɴ ɷ ɸ ɹ ʀ ʁ ʃ ʅ ʇ ʉ ʊ ʌ ʍ ʎ ʏ ʒ ʔ ʕ ʖ ʗ ʘ ʙ ʚ ʜ ʞ ʟ ʬ ʭ</t>
        </is>
      </c>
      <c r="R6" s="39" t="inlineStr">
        <is>
          <t>ɐ ɒ ɘ ə ɛ ɜ ɞ ɢ ɤ ɥ ɮ ɴ ɷ ɸ ɹ ʀ ʁ ʃ ʅ ʇ ʉ ʊ ʌ ʍ ʎ ʒ ʔ ʕ ʖ ʗ ʘ ʙ ʚ ʜ ʞ ʟ ʬ</t>
        </is>
      </c>
      <c r="S6" s="40" t="n"/>
      <c r="T6" s="41" t="inlineStr">
        <is>
          <t>ɐ ɑ ɒ ɓ ɔ ɕ ɖ ɗ ɘ ə ɚ ɛ ɜ ɝ ɞ ɟ ɠ ɡ ɢ ɣ ɤ ɥ ɦ ɧ ɨ ɩ ɪ ɫ ɬ ɭ ɮ ɯ ɰ ɱ ɲ ɳ ɴ ɵ ɶ ɷ ɸ ɹ ɺ ɻ ɼ ɽ ɾ ɿ ʀ ʁ ʂ ʃ ʄ ʅ ʆ ʇ ʈ ʉ ʊ ʋ ʌ ʍ ʎ ʏ ʐ ʑ ʒ ʓ ʔ ʕ ʖ ʗ ʘ ʙ ʚ ʛ ʜ ʝ ʞ ʟ ʠ ʡ ʢ ʣ ʤ ʥ ʦ ʧ ʨ ʩ ʪ ʫ ʬ ʭ ʮ ʯ</t>
        </is>
      </c>
      <c r="U6" s="42" t="inlineStr">
        <is>
          <t>ɐ ɑ ɒ ɓ ɔ ɕ ɖ ɗ ɘ ə ɚ ɛ ɜ ɝ ɞ ɟ ɠ ɡ ɢ ɣ ɤ ɥ ɦ ɧ ɨ ɩ ɪ ɫ ɬ ɭ ɮ ɯ ɰ ɱ ɲ ɳ ɴ ɵ ɶ ɷ ɸ ɹ ɺ ɻ ɼ ɽ ɾ ɿ ʀ ʁ ʂ ʃ ʄ ʅ ʆ ʇ ʈ ʉ ʊ ʋ ʌ ʍ ʎ ʏ ʐ ʑ ʒ ʓ ʔ ʕ ʖ ʗ ʘ ʙ ʚ ʛ ʜ ʝ ʞ ʟ ʠ ʡ ʢ ʣ ʤ ʥ ʦ ʧ ʨ ʩ ʪ ʫ ʬ ʭ ʮ ʯ</t>
        </is>
      </c>
      <c r="V6" s="14">
        <f>(LEN(O6)+1)/2</f>
        <v/>
      </c>
      <c r="W6" s="14">
        <f>ROUNDDOWN((LEN(P6)+1)/2,0)</f>
        <v/>
      </c>
      <c r="X6" s="14">
        <f>ROUNDDOWN((LEN(Q6)+1)/2,0)</f>
        <v/>
      </c>
      <c r="Y6" s="14">
        <f>ROUNDDOWN((LEN(R6)+1)/2,0)</f>
        <v/>
      </c>
      <c r="Z6" s="14">
        <f>ROUNDDOWN((LEN(S6)+1)/2,0)</f>
        <v/>
      </c>
      <c r="AA6" s="56" t="n">
        <v>46150.55820571179</v>
      </c>
    </row>
    <row r="7" ht="25.5" customHeight="1">
      <c r="A7" s="46" t="inlineStr">
        <is>
          <t>z-Punc 2B</t>
        </is>
      </c>
      <c r="B7" s="46" t="inlineStr">
        <is>
          <t>U+02B0-U+02FF</t>
        </is>
      </c>
      <c r="C7" s="46" t="inlineStr">
        <is>
          <t>Spacing Modifier Letters</t>
        </is>
      </c>
      <c r="D7" s="54">
        <f>HEX2DEC(MID(B7,3,FIND("-",E7)-3))</f>
        <v/>
      </c>
      <c r="E7" s="46" t="inlineStr">
        <is>
          <t>U+02B0-U+02FF</t>
        </is>
      </c>
      <c r="F7" s="14" t="n">
        <v>2</v>
      </c>
      <c r="G7" s="14" t="n">
        <v>0</v>
      </c>
      <c r="H7" s="14" t="n">
        <v>0</v>
      </c>
      <c r="I7" s="48" t="inlineStr">
        <is>
          <t>n</t>
        </is>
      </c>
      <c r="J7" s="19">
        <f>ROUNDDOWN(W7,0)/$V7</f>
        <v/>
      </c>
      <c r="K7" s="19">
        <f>ROUNDDOWN(X7,0)/$V7</f>
        <v/>
      </c>
      <c r="L7" s="19">
        <f>ROUNDDOWN(Y7,0)/$V7</f>
        <v/>
      </c>
      <c r="M7" s="19">
        <f>ROUNDDOWN(Z7,0)/$V7</f>
        <v/>
      </c>
      <c r="N7" s="24" t="inlineStr">
        <is>
          <t>Not good for base symbols.</t>
        </is>
      </c>
      <c r="O7" s="36" t="inlineStr">
        <is>
          <t>ʰ ʱ ʲ ʳ ʴ ʵ ʶ ʷ ʸ ʹ ʺ ʻ ʼ ʽ ʾ ʿ ˀ ˁ ˂ ˃ ˄ ˅ ˆ ˇ ˈ ˉ ˊ ˋ ˌ ˍ ˎ ˏ ː ˑ ˒ ˓ ˔ ˕ ˖ ˗ ˘ ˙ ˚ ˛ ˜ ˝ ˞ ˟ ˠ ˡ ˢ ˣ ˤ ˥ ˦ ˧ ˨ ˩ ˪ ˫ ˬ ˭ ˮ ˯ ˰ ˱ ˲ ˳ ˴ ˵ ˶ ˷ ˸ ˹ ˺ ˻ ˼ ˽ ˾ ˿</t>
        </is>
      </c>
      <c r="P7" s="37" t="inlineStr">
        <is>
          <t>˂ ˃ ˄ ˅ ˒ ˓ ˔ ˕ ˖ ˗ ˟ ˥ ˦ ˧ ˨ ˩</t>
        </is>
      </c>
      <c r="Q7" s="38" t="inlineStr">
        <is>
          <t>˂ ˒ ˔ ˖ ˗ ˟ ˥ ˦ ˧ ˨ ˩</t>
        </is>
      </c>
      <c r="R7" s="43" t="inlineStr">
        <is>
          <t>˔ ˖ ˥ ˦ ˧ ˨ ˩</t>
        </is>
      </c>
      <c r="S7" s="40" t="n"/>
      <c r="V7" s="14">
        <f>(LEN(O7)+1)/2</f>
        <v/>
      </c>
      <c r="W7" s="14">
        <f>ROUNDDOWN((LEN(P7)+1)/2,0)</f>
        <v/>
      </c>
      <c r="X7" s="14">
        <f>ROUNDDOWN((LEN(Q7)+1)/2,0)</f>
        <v/>
      </c>
      <c r="Y7" s="14">
        <f>ROUNDDOWN((LEN(R7)+1)/2,0)</f>
        <v/>
      </c>
      <c r="Z7" s="14">
        <f>ROUNDDOWN((LEN(S7)+1)/2,0)</f>
        <v/>
      </c>
      <c r="AA7" s="56" t="n">
        <v>46150.55820605015</v>
      </c>
    </row>
    <row r="8" ht="25.5" customHeight="1">
      <c r="A8" s="46" t="inlineStr">
        <is>
          <t>z-Comb 2B</t>
        </is>
      </c>
      <c r="B8" s="46" t="inlineStr">
        <is>
          <t>U+0300-U+036F</t>
        </is>
      </c>
      <c r="C8" s="46" t="inlineStr">
        <is>
          <t>Combining Diacritical Marks</t>
        </is>
      </c>
      <c r="D8" s="54">
        <f>HEX2DEC(MID(B8,3,FIND("-",E8)-3))</f>
        <v/>
      </c>
      <c r="E8" s="46" t="inlineStr">
        <is>
          <t>U+0300-U+036F</t>
        </is>
      </c>
      <c r="F8" s="14" t="n">
        <v>2</v>
      </c>
      <c r="G8" s="14" t="n">
        <v>0</v>
      </c>
      <c r="H8" s="14" t="n">
        <v>0</v>
      </c>
      <c r="I8" s="48" t="inlineStr">
        <is>
          <t>n</t>
        </is>
      </c>
      <c r="J8" s="19">
        <f>ROUNDDOWN(W8,0)/$V8</f>
        <v/>
      </c>
      <c r="K8" s="19">
        <f>ROUNDDOWN(X8,0)/$V8</f>
        <v/>
      </c>
      <c r="L8" s="19">
        <f>ROUNDDOWN(Y8,0)/$V8</f>
        <v/>
      </c>
      <c r="M8" s="19">
        <f>ROUNDDOWN(Z8,0)/$V8</f>
        <v/>
      </c>
      <c r="N8" s="35" t="inlineStr">
        <is>
          <t>Not good for base symbols.</t>
        </is>
      </c>
      <c r="O8" s="36" t="inlineStr">
        <is>
          <t>̀ ́ ̂ ̃ ̄ ̅ ̆ ̇ ̈ ̉ ̊ ̋ ̌ ̍ ̎ ̏ ̐ ̑ ̒ ̓ ̔ ̕ ̖ ̗ ̘ ̙ ̚ ̛ ̜ ̝ ̞ ̟ ̠ ̡ ̢ ̣ ̤ ̥ ̦ ̧ ̨ ̩ ̪ ̫ ̬ ̭ ̮ ̯ ̰ ̱ ̲ ̳ ̴ ̵ ̶ ̷ ̸ ̹ ̺ ̻ ̼ ̽ ̾ ̿ ̀ ́ ͂ ̓ ̈́ ͅ ͆ ͇ ͈ ͉ ͊ ͋ ͌ ͍ ͎ ͏ ͐ ͑ ͒ ͓ ͔ ͕ ͖ ͗ ͘ ͙ ͚ ͛ ͜ ͝ ͞ ͟ ͠ ͡ ͢ ͣ ͤ ͥ ͦ ͧ ͨ ͩ ͪ ͫ ͬ ͭ ͮ ͯ</t>
        </is>
      </c>
      <c r="P8" s="37" t="inlineStr"/>
      <c r="Q8" s="38" t="inlineStr"/>
      <c r="R8" t="inlineStr"/>
      <c r="V8" s="14">
        <f>(LEN(O8)+1)/2</f>
        <v/>
      </c>
      <c r="W8" s="14">
        <f>ROUNDDOWN((LEN(P8)+1)/2,0)</f>
        <v/>
      </c>
      <c r="X8" s="14">
        <f>ROUNDDOWN((LEN(Q8)+1)/2,0)</f>
        <v/>
      </c>
      <c r="Y8" s="14">
        <f>ROUNDDOWN((LEN(R8)+1)/2,0)</f>
        <v/>
      </c>
      <c r="Z8" s="14">
        <f>ROUNDDOWN((LEN(S8)+1)/2,0)</f>
        <v/>
      </c>
      <c r="AA8" s="56" t="n">
        <v>46150.55820605103</v>
      </c>
    </row>
    <row r="9" ht="60" customHeight="1">
      <c r="A9" s="46" t="inlineStr">
        <is>
          <t>Greek 2B</t>
        </is>
      </c>
      <c r="B9" s="46" t="inlineStr">
        <is>
          <t>U+0370-U+03FF</t>
        </is>
      </c>
      <c r="C9" s="46" t="inlineStr">
        <is>
          <t>Greek and Coptic</t>
        </is>
      </c>
      <c r="D9" s="54">
        <f>HEX2DEC(MID(B9,3,FIND("-",E9)-3))</f>
        <v/>
      </c>
      <c r="E9" s="46" t="inlineStr">
        <is>
          <t>U+0370-U+03FF</t>
        </is>
      </c>
      <c r="F9" s="14" t="n">
        <v>2</v>
      </c>
      <c r="G9" s="14" t="n">
        <v>4</v>
      </c>
      <c r="H9" s="14" t="n">
        <v>3</v>
      </c>
      <c r="I9" s="48" t="inlineStr">
        <is>
          <t>y</t>
        </is>
      </c>
      <c r="J9" s="19">
        <f>ROUNDDOWN(W9,0)/$V9</f>
        <v/>
      </c>
      <c r="K9" s="19">
        <f>ROUNDDOWN(X9,0)/$V9</f>
        <v/>
      </c>
      <c r="L9" s="19">
        <f>ROUNDDOWN(Y9,0)/$V9</f>
        <v/>
      </c>
      <c r="M9" s="19">
        <f>ROUNDDOWN(Z9,0)/$V9</f>
        <v/>
      </c>
      <c r="O9" s="36" t="inlineStr">
        <is>
          <t>Ͱ ͱ Ͳ ͳ ʹ ͵ Ͷ ͷ ͺ ͻ ͼ ͽ ; Ϳ ΄ ΅ Ά · Έ Ή Ί Ό Ύ Ώ ΐ Α Β Γ Δ Ε Ζ Η Θ Ι Κ Λ Μ Ν Ξ Ο Π Ρ Σ Τ Υ Φ Χ Ψ Ω Ϊ Ϋ ά έ ή ί ΰ α β γ δ ε ζ η θ ι κ λ μ ν ξ ο π ρ ς σ τ υ φ χ ψ ω ϊ ϋ ό ύ ώ Ϗ ϐ ϑ ϒ ϓ ϔ ϕ ϖ ϗ Ϙ ϙ Ϛ ϛ Ϝ ϝ Ϟ ϟ Ϡ ϡ Ϣ ϣ Ϥ ϥ Ϧ ϧ Ϩ ϩ Ϫ ϫ Ϭ ϭ Ϯ ϯ ϰ ϱ ϲ ϳ ϴ ϵ ϶ Ϸ ϸ Ϲ Ϻ ϻ ϼ Ͻ Ͼ Ͽ</t>
        </is>
      </c>
      <c r="P9" s="37" t="inlineStr">
        <is>
          <t>Ͱ ͱ Ͳ ͳ Ͷ ͷ ͻ ͼ ͽ ; Ϳ Ά · Έ Ή Ί Ό Ύ Ώ ΐ Α Β Γ Δ Ε Ζ Η Θ Ι Κ Λ Μ Ν Ξ Ο Π Ρ Σ Τ Υ Φ Χ Ψ Ω Ϊ Ϋ ά έ ή ί ΰ α β γ δ ε ζ η θ ι κ λ μ ν ξ ο π ρ ς σ τ υ φ χ ψ ω ϊ ϋ ό ύ ώ Ϗ ϐ ϑ ϒ ϓ ϔ ϕ ϖ ϗ Ϙ ϙ Ϛ ϛ Ϝ ϝ Ϟ ϟ Ϡ ϡ Ϣ ϣ Ϥ ϥ Ϧ ϧ Ϩ ϩ Ϫ ϫ Ϭ ϭ Ϯ ϯ ϰ ϱ ϲ ϳ ϴ ϵ ϶ Ϸ ϸ Ϲ Ϻ ϻ ϼ Ͻ Ͼ Ͽ</t>
        </is>
      </c>
      <c r="Q9" s="38" t="inlineStr">
        <is>
          <t>ͱ ͳ ͷ ͻ ͼ ͽ α β γ δ ε ζ η θ ι κ λ μ ν ξ π ρ ς σ τ υ φ χ ψ ω ϐ ϑ ϕ ϖ ϗ ϙ ϛ ϝ ϟ ϡ ϣ ϥ ϧ ϩ ϫ ϭ ϯ ϰ ϱ ϲ ϳ ϵ ϸ ϻ</t>
        </is>
      </c>
      <c r="R9" s="39" t="inlineStr">
        <is>
          <t>ͱ ͳ ͷ ͻ ͼ ͽ β δ ε ζ η θ κ λ μ ξ π ς τ φ χ ψ ω ϐ ϑ ϕ ϖ ϗ ϙ ϛ ϝ ϟ ϡ ϣ ϥ ϧ ϩ ϫ ϯ ϰ ϵ ϻ</t>
        </is>
      </c>
      <c r="S9" s="40" t="n"/>
      <c r="T9" s="41" t="inlineStr">
        <is>
          <t>Ͱ ͱ Ͳ ͳ Ͷ ͷ ͻ ͼ ͽ Ϳ Ά Έ Ή Ί Ό Ύ Ώ ΐ Α Β Γ Δ Ε Ζ Η Θ Ι Κ Λ Μ Ν Ξ Ο Π Ρ Σ Τ Υ Φ Χ Ψ Ω Ϊ Ϋ ά έ ή ί ΰ α β γ δ ε ζ η θ ι κ λ μ ν ξ ο π ρ ς σ τ υ φ χ ψ ω ϊ ϋ ό ύ ώ Ϗ ϐ ϑ ϒ ϓ ϔ ϕ ϖ ϗ Ϙ ϙ Ϛ ϛ Ϝ ϝ Ϟ ϟ Ϡ ϡ Ϣ ϣ Ϥ ϥ Ϧ ϧ Ϩ ϩ Ϫ ϫ Ϭ ϭ Ϯ ϯ ϰ ϱ ϲ ϳ ϴ ϵ ϶ Ϸ ϸ Ϲ Ϻ ϻ ϼ Ͻ Ͼ Ͽ</t>
        </is>
      </c>
      <c r="U9" s="42" t="inlineStr">
        <is>
          <t>Ά Έ Ή Ί Ό Ύ Ώ Ϊ Ϋ Ͱ Ͳ Ͷ Ϳ Α Β Γ Δ Ε Ζ Η Θ Ι Κ Λ Μ Ν Ξ Ο Π Ρ Σ Τ Υ Φ Χ Ψ Ω Ϙ Ϛ Ϝ Ϟ Ϡ Ϣ Ϥ Ϧ Ϩ Ϫ Ϭ Ϯ Ϸ Ϻ Ϗ ϒ ϓ ϔ ϴ Ϲ Ͻ Ͼ Ͽ ΐ ΰ ά έ ή ί ό ύ ώ ϊ ϋ ͱ ͳ ͷ α β γ δ ε ζ η θ ι κ λ μ ν ξ ο π ρ ς σ τ υ φ χ ψ ω ϙ ϛ ϝ ϟ ϡ ϣ ϥ ϧ ϩ ϫ ϭ ϯ ϳ ϸ ϻ ͻ ͼ ͽ ϐ ϑ ϕ ϖ ϗ ϰ ϱ ϲ ϵ ϶ ϼ</t>
        </is>
      </c>
      <c r="V9" s="14">
        <f>(LEN(O9)+1)/2</f>
        <v/>
      </c>
      <c r="W9" s="14">
        <f>ROUNDDOWN((LEN(P9)+1)/2,0)</f>
        <v/>
      </c>
      <c r="X9" s="14">
        <f>ROUNDDOWN((LEN(Q9)+1)/2,0)</f>
        <v/>
      </c>
      <c r="Y9" s="14">
        <f>ROUNDDOWN((LEN(R9)+1)/2,0)</f>
        <v/>
      </c>
      <c r="Z9" s="14">
        <f>ROUNDDOWN((LEN(S9)+1)/2,0)</f>
        <v/>
      </c>
      <c r="AA9" s="56" t="n">
        <v>46150.55820682039</v>
      </c>
    </row>
    <row r="10" ht="120" customHeight="1">
      <c r="A10" s="46" t="inlineStr">
        <is>
          <t>Cyrillic 2B</t>
        </is>
      </c>
      <c r="B10" s="46" t="inlineStr">
        <is>
          <t>U+0400-U+04FF</t>
        </is>
      </c>
      <c r="C10" s="46" t="inlineStr">
        <is>
          <t>Cyrillic</t>
        </is>
      </c>
      <c r="D10" s="54">
        <f>HEX2DEC(MID(B10,3,FIND("-",E10)-3))</f>
        <v/>
      </c>
      <c r="E10" s="46" t="inlineStr">
        <is>
          <t>U+0400-U+04FF</t>
        </is>
      </c>
      <c r="F10" s="14" t="n">
        <v>2</v>
      </c>
      <c r="G10" s="14" t="n">
        <v>4</v>
      </c>
      <c r="H10" s="14" t="n">
        <v>3</v>
      </c>
      <c r="I10" s="48" t="inlineStr">
        <is>
          <t>y</t>
        </is>
      </c>
      <c r="J10" s="19">
        <f>ROUNDDOWN(W10,0)/$V10</f>
        <v/>
      </c>
      <c r="K10" s="19">
        <f>ROUNDDOWN(X10,0)/$V10</f>
        <v/>
      </c>
      <c r="L10" s="19">
        <f>ROUNDDOWN(Y10,0)/$V10</f>
        <v/>
      </c>
      <c r="M10" s="19">
        <f>ROUNDDOWN(Z10,0)/$V10</f>
        <v/>
      </c>
      <c r="O10" s="36" t="inlineStr">
        <is>
          <t>Ѐ Ё Ђ Ѓ Є Ѕ І Ї Ј Љ Њ Ћ Ќ Ѝ Ў Џ А Б В Г Д Е Ж З И Й К Л М Н О П Р С Т У Ф Х Ц Ч Ш Щ Ъ Ы Ь Э Ю Я а б в г д е ж з и й к л м н о п р с т у ф х ц ч ш щ ъ ы ь э ю я ѐ ё ђ ѓ є ѕ і ї ј љ њ ћ ќ ѝ ў џ Ѡ ѡ Ѣ ѣ Ѥ ѥ Ѧ ѧ Ѩ ѩ Ѫ ѫ Ѭ ѭ Ѯ ѯ Ѱ ѱ Ѳ ѳ Ѵ ѵ Ѷ ѷ Ѹ ѹ Ѻ ѻ Ѽ ѽ Ѿ ѿ Ҁ ҁ ҂ ҃ ҄ ҅ ҆ ҇ ҈ ҉ Ҋ ҋ Ҍ ҍ Ҏ ҏ Ґ ґ Ғ ғ Ҕ ҕ Җ җ Ҙ ҙ Қ қ Ҝ ҝ Ҟ ҟ Ҡ ҡ Ң ң Ҥ ҥ Ҧ ҧ Ҩ ҩ Ҫ ҫ Ҭ ҭ Ү ү Ұ ұ Ҳ ҳ Ҵ ҵ Ҷ ҷ Ҹ ҹ Һ һ Ҽ ҽ Ҿ ҿ Ӏ Ӂ ӂ Ӄ ӄ Ӆ ӆ Ӈ ӈ Ӊ ӊ Ӌ ӌ Ӎ ӎ ӏ Ӑ ӑ Ӓ ӓ Ӕ ӕ Ӗ ӗ Ә ә Ӛ ӛ Ӝ ӝ Ӟ ӟ Ӡ ӡ Ӣ ӣ Ӥ ӥ Ӧ ӧ Ө ө Ӫ ӫ Ӭ ӭ Ӯ ӯ Ӱ ӱ Ӳ ӳ Ӵ ӵ Ӷ ӷ Ӹ ӹ Ӻ ӻ Ӽ ӽ Ӿ ӿ</t>
        </is>
      </c>
      <c r="P10" s="37" t="inlineStr">
        <is>
          <t>Ѐ Ё Ђ Ѓ Є Ѕ І Ї Ј Љ Њ Ћ Ќ Ѝ Ў Џ А Б В Г Д Е Ж З И Й К Л М Н О П Р С Т У Ф Х Ц Ч Ш Щ Ъ Ы Ь Э Ю Я а б в г д е ж з и й к л м н о п р с т у ф х ц ч ш щ ъ ы ь э ю я ѐ ё ђ ѓ є ѕ і ї ј љ њ ћ ќ ѝ ў џ Ѡ ѡ Ѣ ѣ Ѥ ѥ Ѧ ѧ Ѩ ѩ Ѫ ѫ Ѭ ѭ Ѯ ѯ Ѱ ѱ Ѳ ѳ Ѵ ѵ Ѷ ѷ Ѹ ѹ Ѻ ѻ Ѽ ѽ Ѿ ѿ Ҁ ҁ ҂ Ҋ ҋ Ҍ ҍ Ҏ ҏ Ґ ґ Ғ ғ Ҕ ҕ Җ җ Ҙ ҙ Қ қ Ҝ ҝ Ҟ ҟ Ҡ ҡ Ң ң Ҥ ҥ Ҧ ҧ Ҩ ҩ Ҫ ҫ Ҭ ҭ Ү ү Ұ ұ Ҳ ҳ Ҵ ҵ Ҷ ҷ Ҹ ҹ Һ һ Ҽ ҽ Ҿ ҿ Ӏ Ӂ ӂ Ӄ ӄ Ӆ ӆ Ӈ ӈ Ӊ ӊ Ӌ ӌ Ӎ ӎ ӏ Ӑ ӑ Ӓ ӓ Ӕ ӕ Ӗ ӗ Ә ә Ӛ ӛ Ӝ ӝ Ӟ ӟ Ӡ ӡ Ӣ ӣ Ӥ ӥ Ӧ ӧ Ө ө Ӫ ӫ Ӭ ӭ Ӯ ӯ Ӱ ӱ Ӳ ӳ Ӵ ӵ Ӷ ӷ Ӹ ӹ Ӻ ӻ Ӽ ӽ Ӿ ӿ</t>
        </is>
      </c>
      <c r="Q10" s="38" t="inlineStr">
        <is>
          <t>а б в г д е ж з и к л м н п р с т у ф х ц ч ш щ ъ ы ь э ю я ђ є ѕ і ј љ њ ћ џ ѡ ѣ ѥ ѧ ѩ ѫ ѭ ѯ ѱ ѳ ѵ ѹ ѻ ѿ ҁ ҂ ҍ ҡ ҩ ү һ ҽ ӌ ӏ ә ӡ</t>
        </is>
      </c>
      <c r="R10" s="39" t="inlineStr">
        <is>
          <t>в д ж з и к л м н п т ф ц ч щ ъ ь э ю я ђ є љ њ ћ џ ѣ ѥ ѧ ѩ ѫ ѭ ѯ ѱ ѳ ѹ ѻ ѿ ҁ ҂ ҍ ҡ ҩ ӌ ә ӡ</t>
        </is>
      </c>
      <c r="S10" s="40" t="n"/>
      <c r="T10" s="41" t="inlineStr">
        <is>
          <t>Ѐ Ё Ђ Ѓ Є Ѕ І Ї Ј Љ Њ Ћ Ќ Ѝ Ў Џ А Б В Г Д Е Ж З И Й К Л М Н О П Р С Т У Ф Х Ц Ч Ш Щ Ъ Ы Ь Э Ю Я а б в г д е ж з и й к л м н о п р с т у ф х ц ч ш щ ъ ы ь э ю я ѐ ё ђ ѓ є ѕ і ї ј љ њ ћ ќ ѝ ў џ Ѡ ѡ Ѣ ѣ Ѥ ѥ Ѧ ѧ Ѩ ѩ Ѫ ѫ Ѭ ѭ Ѯ ѯ Ѱ ѱ Ѳ ѳ Ѵ ѵ Ѷ ѷ Ѹ ѹ Ѻ ѻ Ѽ ѽ Ѿ ѿ Ҁ ҁ ҂ Ҋ ҋ Ҍ ҍ Ҏ ҏ Ґ ґ Ғ ғ Ҕ ҕ Җ җ Ҙ ҙ Қ қ Ҝ ҝ Ҟ ҟ Ҡ ҡ Ң ң Ҥ ҥ Ҧ ҧ Ҩ ҩ Ҫ ҫ Ҭ ҭ Ү ү Ұ ұ Ҳ ҳ Ҵ ҵ Ҷ ҷ Ҹ ҹ Һ һ Ҽ ҽ Ҿ ҿ Ӏ Ӂ ӂ Ӄ ӄ Ӆ ӆ Ӈ ӈ Ӊ ӊ Ӌ ӌ Ӎ ӎ ӏ Ӑ ӑ Ӓ ӓ Ӕ ӕ Ӗ ӗ Ә ә Ӛ ӛ Ӝ ӝ Ӟ ӟ Ӡ ӡ Ӣ ӣ Ӥ ӥ Ӧ ӧ Ө ө Ӫ ӫ Ӭ ӭ Ӯ ӯ Ӱ ӱ Ӳ ӳ Ӵ ӵ Ӷ ӷ Ӹ ӹ Ӻ ӻ Ӽ ӽ Ӿ ӿ</t>
        </is>
      </c>
      <c r="U10" s="42" t="inlineStr">
        <is>
          <t>Ѐ Ё Ђ Ѓ Є Ѕ І Ї Ј Љ Њ Ћ Ќ Ѝ Ў Џ А Б В Г Д Е Ж З И Й К Л М Н О П Р С Т У Ф Х Ц Ч Ш Щ Ъ Ы Ь Э Ю Я а б в г д е ж з и й к л м н о п р с т у ф х ц ч ш щ ъ ы ь э ю я ѐ ё ђ ѓ є ѕ і ї ј љ њ ћ ќ ѝ ў џ Ѡ ѡ Ѣ ѣ Ѥ ѥ Ѧ ѧ Ѩ ѩ Ѫ ѫ Ѭ ѭ Ѯ ѯ Ѱ ѱ Ѳ ѳ Ѵ ѵ Ѷ ѷ Ѹ ѹ Ѻ ѻ Ѽ ѽ Ѿ ѿ Ҁ ҁ ҂ Ҋ ҋ Ҍ ҍ Ҏ ҏ Ґ ґ Ғ ғ Ҕ ҕ Җ җ Ҙ ҙ Қ қ Ҝ ҝ Ҟ ҟ Ҡ ҡ Ң ң Ҥ ҥ Ҧ ҧ Ҩ ҩ Ҫ ҫ Ҭ ҭ Ү ү Ұ ұ Ҳ ҳ Ҵ ҵ Ҷ ҷ Ҹ ҹ Һ һ Ҽ ҽ Ҿ ҿ Ӏ Ӂ ӂ Ӄ ӄ Ӆ ӆ Ӈ ӈ Ӊ ӊ Ӌ ӌ Ӎ ӎ ӏ Ӑ ӑ Ӓ ӓ Ӕ ӕ Ӗ ӗ Ә ә Ӛ ӛ Ӝ ӝ Ӟ ӟ Ӡ ӡ Ӣ ӣ Ӥ ӥ Ӧ ӧ Ө ө Ӫ ӫ Ӭ ӭ Ӯ ӯ Ӱ ӱ Ӳ ӳ Ӵ ӵ Ӷ ӷ Ӹ ӹ Ӻ ӻ Ӽ ӽ Ӿ ӿ</t>
        </is>
      </c>
      <c r="V10" s="14">
        <f>(LEN(O10)+1)/2</f>
        <v/>
      </c>
      <c r="W10" s="14">
        <f>ROUNDDOWN((LEN(P10)+1)/2,0)</f>
        <v/>
      </c>
      <c r="X10" s="14">
        <f>ROUNDDOWN((LEN(Q10)+1)/2,0)</f>
        <v/>
      </c>
      <c r="Y10" s="14">
        <f>ROUNDDOWN((LEN(R10)+1)/2,0)</f>
        <v/>
      </c>
      <c r="Z10" s="14">
        <f>ROUNDDOWN((LEN(S10)+1)/2,0)</f>
        <v/>
      </c>
      <c r="AA10" s="56" t="n">
        <v>46150.55820772611</v>
      </c>
    </row>
    <row r="11" ht="30" customHeight="1">
      <c r="A11" s="46" t="inlineStr">
        <is>
          <t>Cyrillic 2B</t>
        </is>
      </c>
      <c r="B11" s="46" t="inlineStr">
        <is>
          <t>U+0500-U+052F</t>
        </is>
      </c>
      <c r="C11" s="46" t="inlineStr">
        <is>
          <t>Cyrillic Supplement</t>
        </is>
      </c>
      <c r="D11" s="54">
        <f>HEX2DEC(MID(B11,3,FIND("-",E11)-3))</f>
        <v/>
      </c>
      <c r="E11" s="46" t="inlineStr">
        <is>
          <t>U+0500-U+052F</t>
        </is>
      </c>
      <c r="F11" s="14" t="n">
        <v>2</v>
      </c>
      <c r="G11" s="14" t="n">
        <v>4</v>
      </c>
      <c r="H11" s="14" t="n">
        <v>2</v>
      </c>
      <c r="I11" s="48" t="inlineStr">
        <is>
          <t>y</t>
        </is>
      </c>
      <c r="J11" s="19">
        <f>ROUNDDOWN(W11,0)/$V11</f>
        <v/>
      </c>
      <c r="K11" s="19">
        <f>ROUNDDOWN(X11,0)/$V11</f>
        <v/>
      </c>
      <c r="L11" s="19">
        <f>ROUNDDOWN(Y11,0)/$V11</f>
        <v/>
      </c>
      <c r="M11" s="19">
        <f>ROUNDDOWN(Z11,0)/$V11</f>
        <v/>
      </c>
      <c r="O11" s="36" t="inlineStr">
        <is>
          <t>Ԁ ԁ Ԃ ԃ Ԅ ԅ Ԇ ԇ Ԉ ԉ Ԋ ԋ Ԍ ԍ Ԏ ԏ Ԑ ԑ Ԓ ԓ Ԕ ԕ Ԗ ԗ Ԙ ԙ Ԛ ԛ Ԝ ԝ Ԟ ԟ Ԡ ԡ Ԣ ԣ Ԥ ԥ Ԧ ԧ Ԩ ԩ Ԫ ԫ Ԭ ԭ Ԯ ԯ</t>
        </is>
      </c>
      <c r="P11" s="37" t="inlineStr">
        <is>
          <t>Ԁ ԁ Ԃ ԃ Ԅ ԅ Ԇ ԇ Ԉ ԉ Ԋ ԋ Ԍ ԍ Ԏ ԏ Ԑ ԑ Ԓ ԓ Ԕ ԕ Ԗ ԗ Ԙ ԙ Ԛ ԛ Ԝ ԝ Ԟ ԟ Ԡ ԡ Ԣ ԣ Ԥ ԥ Ԧ ԧ Ԩ ԩ Ԫ ԫ Ԭ ԭ Ԯ ԯ</t>
        </is>
      </c>
      <c r="Q11" s="38" t="inlineStr">
        <is>
          <t>ԁ ԃ ԅ ԇ ԉ ԋ ԍ ԏ ԑ ԕ ԗ ԙ ԛ ԝ ԟ ԫ ԭ</t>
        </is>
      </c>
      <c r="R11" s="39" t="inlineStr">
        <is>
          <t>ԃ ԅ ԇ ԉ ԋ ԍ ԏ ԑ ԕ ԗ ԙ ԟ ԭ</t>
        </is>
      </c>
      <c r="S11" s="40" t="n"/>
      <c r="T11" s="41" t="inlineStr">
        <is>
          <t>Ԁ ԁ Ԃ ԃ Ԅ ԅ Ԇ ԇ Ԉ ԉ Ԋ ԋ Ԍ ԍ Ԏ ԏ Ԑ ԑ Ԓ ԓ Ԕ ԕ Ԗ ԗ Ԙ ԙ Ԛ ԛ Ԝ ԝ Ԟ ԟ Ԡ ԡ Ԣ ԣ Ԥ ԥ Ԧ ԧ Ԩ ԩ Ԫ ԫ Ԭ ԭ Ԯ ԯ</t>
        </is>
      </c>
      <c r="U11" s="42" t="inlineStr">
        <is>
          <t>Ԁ ԁ Ԃ ԃ Ԅ ԅ Ԇ ԇ Ԉ ԉ Ԋ ԋ Ԍ ԍ Ԏ ԏ Ԑ ԑ Ԓ ԓ Ԕ ԕ Ԗ ԗ Ԙ ԙ Ԛ ԛ Ԝ ԝ Ԟ ԟ Ԡ ԡ Ԣ ԣ Ԥ ԥ Ԧ ԧ Ԩ ԩ Ԫ ԫ Ԭ ԭ Ԯ ԯ</t>
        </is>
      </c>
      <c r="V11" s="14">
        <f>(LEN(O11)+1)/2</f>
        <v/>
      </c>
      <c r="W11" s="14">
        <f>ROUNDDOWN((LEN(P11)+1)/2,0)</f>
        <v/>
      </c>
      <c r="X11" s="14">
        <f>ROUNDDOWN((LEN(Q11)+1)/2,0)</f>
        <v/>
      </c>
      <c r="Y11" s="14">
        <f>ROUNDDOWN((LEN(R11)+1)/2,0)</f>
        <v/>
      </c>
      <c r="Z11" s="14">
        <f>ROUNDDOWN((LEN(S11)+1)/2,0)</f>
        <v/>
      </c>
      <c r="AA11" s="56" t="n">
        <v>46150.55820807354</v>
      </c>
    </row>
    <row r="12" ht="45" customHeight="1">
      <c r="B12" s="46" t="inlineStr">
        <is>
          <t>U+0531-U+058F</t>
        </is>
      </c>
      <c r="C12" s="46" t="inlineStr">
        <is>
          <t>Armenian</t>
        </is>
      </c>
      <c r="D12" s="54">
        <f>HEX2DEC(MID(B12,3,FIND("-",E12)-3))</f>
        <v/>
      </c>
      <c r="E12" s="46" t="inlineStr">
        <is>
          <t>U+0530-U+058F</t>
        </is>
      </c>
      <c r="F12" s="14" t="n">
        <v>2</v>
      </c>
      <c r="G12" s="14" t="n">
        <v>4</v>
      </c>
      <c r="H12" s="14" t="n">
        <v>3</v>
      </c>
      <c r="I12" s="48" t="inlineStr">
        <is>
          <t>y</t>
        </is>
      </c>
      <c r="J12" s="19">
        <f>ROUNDDOWN(W12,0)/$V12</f>
        <v/>
      </c>
      <c r="K12" s="19">
        <f>ROUNDDOWN(X12,0)/$V12</f>
        <v/>
      </c>
      <c r="L12" s="19">
        <f>ROUNDDOWN(Y12,0)/$V12</f>
        <v/>
      </c>
      <c r="M12" s="19">
        <f>ROUNDDOWN(Z12,0)/$V12</f>
        <v/>
      </c>
      <c r="O12" s="36" t="inlineStr">
        <is>
          <t>Ա Բ Գ Դ Ե Զ Է Ը Թ Ժ Ի Լ Խ Ծ Կ Հ Ձ Ղ Ճ Մ Յ Ն Շ Ո Չ Պ Ջ Ռ Ս Վ Տ Ր Ց Ւ Փ Ք Օ Ֆ ՙ ՚ ՛ ՜ ՝ ՞ ՟ ՠ ա բ գ դ ե զ է ը թ ժ ի լ խ ծ կ հ ձ ղ ճ մ յ ն շ ո չ պ ջ ռ ս վ տ ր ց ւ փ ք օ ֆ և ֈ ։ ֊ ֍ ֎ ֏</t>
        </is>
      </c>
      <c r="P12" s="37" t="inlineStr">
        <is>
          <t>Ա Բ Գ Դ Ե Զ Է Ը Թ Ժ Ի Լ Խ Ծ Կ Հ Ձ Ղ Ճ Մ Յ Ն Շ Ո Չ Պ Ջ Ռ Ս Վ Տ Ր Ց Ւ Փ Ք Օ Ֆ ՚ ՛ ՜ ՝ ՞ ՟ ՠ ա բ գ դ ե զ է ը թ ժ ի լ խ ծ կ հ ձ ղ ճ մ յ ն շ ո չ պ ջ ռ ս վ տ ր ց ւ փ ք օ ֆ և ֈ ։ ֊ ֍ ֎ ֏</t>
        </is>
      </c>
      <c r="Q12" s="38" t="inlineStr">
        <is>
          <t>՚ ՛ ՜ ՝ ՞ ՟ ՠ ա բ գ դ ե զ է ը թ ժ ի լ խ ծ կ հ ձ ղ ճ մ յ ն շ ո չ պ ջ ռ ս վ տ ր ց ւ փ ք ֆ ։ ֊ ֍ ֏</t>
        </is>
      </c>
      <c r="R12" s="39" t="inlineStr">
        <is>
          <t>ՠ բ դ ե է ը թ ժ ի լ խ ծ կ ձ ղ ճ մ յ ն շ չ պ ջ վ տ ր փ ֆ ֍ ֏</t>
        </is>
      </c>
      <c r="S12" s="40" t="n"/>
      <c r="T12" s="41" t="inlineStr">
        <is>
          <t>Ա Բ Գ Դ Ե Զ Է Ը Թ Ժ Ի Լ Խ Ծ Կ Հ Ձ Ղ Ճ Մ Յ Ն Շ Ո Չ Պ Ջ Ռ Ս Վ Տ Ր Ց Ւ Փ Ք Օ Ֆ ՠ ա բ գ դ ե զ է ը թ ժ ի լ խ ծ կ հ ձ ղ ճ մ յ ն շ ո չ պ ջ ռ ս վ տ ր ց ւ փ ք օ ֆ և ֈ ֍ ֎ ֏</t>
        </is>
      </c>
      <c r="U12" s="42" t="inlineStr">
        <is>
          <t>Ա Բ Գ Դ Ե Զ Է Ը Թ Ժ Ի Լ Խ Ծ Կ Հ Ձ Ղ Ճ Մ Յ Ն Շ Ո Չ Պ Ջ Ռ Ս Վ Տ Ր Ց Ւ Փ Ք Օ Ֆ ՠ ա բ գ դ ե զ է ը թ ժ ի լ խ ծ կ հ ձ ղ ճ մ յ ն շ ո չ պ ջ ռ ս վ տ ր ց ւ փ ք օ ֆ և ֈ ֍ ֎ ֏</t>
        </is>
      </c>
      <c r="V12" s="14">
        <f>(LEN(O12)+1)/2</f>
        <v/>
      </c>
      <c r="W12" s="14">
        <f>ROUNDDOWN((LEN(P12)+1)/2,0)</f>
        <v/>
      </c>
      <c r="X12" s="14">
        <f>ROUNDDOWN((LEN(Q12)+1)/2,0)</f>
        <v/>
      </c>
      <c r="Y12" s="14">
        <f>ROUNDDOWN((LEN(R12)+1)/2,0)</f>
        <v/>
      </c>
      <c r="Z12" s="14">
        <f>ROUNDDOWN((LEN(S12)+1)/2,0)</f>
        <v/>
      </c>
      <c r="AA12" s="56" t="n">
        <v>46150.5582087103</v>
      </c>
    </row>
    <row r="13" ht="51" customHeight="1">
      <c r="A13" s="46" t="inlineStr">
        <is>
          <t>z-Right-Left</t>
        </is>
      </c>
      <c r="B13" s="46" t="inlineStr">
        <is>
          <t>U+0591-U+05F4</t>
        </is>
      </c>
      <c r="C13" s="46" t="inlineStr">
        <is>
          <t>Hebrew</t>
        </is>
      </c>
      <c r="D13" s="54">
        <f>HEX2DEC(MID(B13,3,FIND("-",E13)-3))</f>
        <v/>
      </c>
      <c r="E13" s="46" t="inlineStr">
        <is>
          <t>U+0590-U+05FF</t>
        </is>
      </c>
      <c r="F13" s="14" t="n">
        <v>2</v>
      </c>
      <c r="G13" s="14" t="n">
        <v>0</v>
      </c>
      <c r="H13" s="14" t="n">
        <v>0</v>
      </c>
      <c r="I13" s="48" t="inlineStr">
        <is>
          <t>n</t>
        </is>
      </c>
      <c r="J13" s="19">
        <f>ROUNDDOWN(W13,0)/$V13</f>
        <v/>
      </c>
      <c r="K13" s="19">
        <f>ROUNDDOWN(X13,0)/$V13</f>
        <v/>
      </c>
      <c r="L13" s="19">
        <f>ROUNDDOWN(Y13,0)/$V13</f>
        <v/>
      </c>
      <c r="M13" s="19">
        <f>ROUNDDOWN(Z13,0)/$V13</f>
        <v/>
      </c>
      <c r="N13" s="35" t="inlineStr">
        <is>
          <t>Left-to-right application inconsitency, and tall characters, make it unsuitable for base symbols. Double-height.</t>
        </is>
      </c>
      <c r="O13" s="36" t="inlineStr">
        <is>
          <t>֑ ֒ ֓ ֔ ֕ ֖ ֗ ֘ ֙ ֚ ֛ ֜ ֝ ֞ ֟ ֠ ֡ ֢ ֣ ֤ ֥ ֦ ֧ ֨ ֩ ֪ ֫ ֬ ֭ ֮ ֯ ְ ֱ ֲ ֳ ִ ֵ ֶ ַ ָ ֹ ֺ ֻ ּ ֽ ־ ֿ ׀ ׁ ׂ ׃ ׄ ׅ ׆ ׇ א ב ג ד ה ו ז ח ט י ך כ ל ם מ ן נ ס ע ף פ ץ צ ק ר ש ת ׯ װ ױ ײ ׳ ״</t>
        </is>
      </c>
      <c r="P13" s="37" t="inlineStr"/>
      <c r="Q13" s="38" t="inlineStr"/>
      <c r="R13" s="43" t="inlineStr"/>
      <c r="S13" s="40" t="n"/>
      <c r="V13" s="14">
        <f>(LEN(O13)+1)/2</f>
        <v/>
      </c>
      <c r="W13" s="14">
        <f>ROUNDDOWN((LEN(P13)+1)/2,0)</f>
        <v/>
      </c>
      <c r="X13" s="14">
        <f>ROUNDDOWN((LEN(Q13)+1)/2,0)</f>
        <v/>
      </c>
      <c r="Y13" s="14">
        <f>ROUNDDOWN((LEN(R13)+1)/2,0)</f>
        <v/>
      </c>
      <c r="Z13" s="14">
        <f>ROUNDDOWN((LEN(S13)+1)/2,0)</f>
        <v/>
      </c>
      <c r="AA13" s="56" t="n">
        <v>46150.55820871124</v>
      </c>
    </row>
    <row r="14" ht="76.5" customHeight="1">
      <c r="A14" s="46" t="inlineStr">
        <is>
          <t>z-Right-Left</t>
        </is>
      </c>
      <c r="B14" s="46" t="inlineStr">
        <is>
          <t>U+0606-U+06FF</t>
        </is>
      </c>
      <c r="C14" s="46" t="inlineStr">
        <is>
          <t>Arabic</t>
        </is>
      </c>
      <c r="D14" s="54">
        <f>HEX2DEC(MID(B14,3,FIND("-",E14)-3))</f>
        <v/>
      </c>
      <c r="E14" s="46" t="inlineStr">
        <is>
          <t>U+0600-U+06FF</t>
        </is>
      </c>
      <c r="F14" s="14" t="n">
        <v>2</v>
      </c>
      <c r="G14" s="14" t="n">
        <v>0</v>
      </c>
      <c r="H14" s="14" t="n">
        <v>0</v>
      </c>
      <c r="I14" s="48" t="inlineStr">
        <is>
          <t>n</t>
        </is>
      </c>
      <c r="J14" s="19">
        <f>ROUNDDOWN(W14,0)/$V14</f>
        <v/>
      </c>
      <c r="K14" s="19">
        <f>ROUNDDOWN(X14,0)/$V14</f>
        <v/>
      </c>
      <c r="L14" s="19">
        <f>ROUNDDOWN(Y14,0)/$V14</f>
        <v/>
      </c>
      <c r="M14" s="19">
        <f>ROUNDDOWN(Z14,0)/$V14</f>
        <v/>
      </c>
      <c r="N14" s="35" t="inlineStr">
        <is>
          <t>Left-to-right application inconsitency, and tall characters, make it unsuitable for base symbols. Double-height.</t>
        </is>
      </c>
      <c r="O14" s="36" t="inlineStr">
        <is>
          <t>؆ ؇ ؈ ؉ ؊ ؋ ، ؍ ؎ ؏ ؐ ؑ ؒ ؓ ؔ ؕ ؖ ؗ ؘ ؙ ؚ ؛ ؝ ؞ ؟ ؠ ء آ أ ؤ إ ئ ا ب ة ت ث ج ح خ د ذ ر ز س ش ص ض ط ظ ع غ ػ ؼ ؽ ؾ ؿ ـ ف ق ك ل م ن ه و ى ي ً ٌ ٍ َ ُ ِ ّ ْ ٓ ٔ ٕ ٖ ٗ ٘ ٙ ٚ ٛ ٜ ٝ ٞ ٟ ٠ ١ ٢ ٣ ٤ ٥ ٦ ٧ ٨ ٩ ٪ ٫ ٬ ٭ ٮ ٯ ٰ ٱ ٲ ٳ ٴ ٵ ٶ ٷ ٸ ٹ ٺ ٻ ټ ٽ پ ٿ ڀ ځ ڂ ڃ ڄ څ چ ڇ ڈ ډ ڊ ڋ ڌ ڍ ڎ ڏ ڐ ڑ ڒ ړ ڔ ڕ ږ ڗ ژ ڙ ښ ڛ ڜ ڝ ڞ ڟ ڠ ڡ ڢ ڣ ڤ ڥ ڦ ڧ ڨ ک ڪ ګ ڬ ڭ ڮ گ ڰ ڱ ڲ ڳ ڴ ڵ ڶ ڷ ڸ ڹ ں ڻ ڼ ڽ ھ ڿ ۀ ہ ۂ ۃ ۄ ۅ ۆ ۇ ۈ ۉ ۊ ۋ ی ۍ ێ ۏ ې ۑ ے ۓ ۔ ە ۖ ۗ ۘ ۙ ۚ ۛ ۜ ۞ ۟ ۠ ۡ ۢ ۣ ۤ ۥ ۦ ۧ ۨ ۩ ۪ ۫ ۬ ۭ ۮ ۯ ۰ ۱ ۲ ۳ ۴ ۵ ۶ ۷ ۸ ۹ ۺ ۻ ۼ ۽ ۾ ۿ</t>
        </is>
      </c>
      <c r="P14" s="37" t="inlineStr">
        <is>
          <t>؆ ؇ ؉ ؊ ، ؎ ؏ ٪ ۞ ۩ ۰ ۱ ۲ ۳ ۴ ۵ ۶ ۷ ۸ ۹</t>
        </is>
      </c>
      <c r="Q14" s="38" t="inlineStr">
        <is>
          <t>؉ ؊ ، ؎ ؏ ٪ ۞ ۩</t>
        </is>
      </c>
      <c r="R14" s="43" t="inlineStr">
        <is>
          <t>؉ ؏ ٪</t>
        </is>
      </c>
      <c r="S14" s="40" t="n"/>
      <c r="V14" s="14">
        <f>(LEN(O14)+1)/2</f>
        <v/>
      </c>
      <c r="W14" s="14">
        <f>ROUNDDOWN((LEN(P14)+1)/2,0)</f>
        <v/>
      </c>
      <c r="X14" s="14">
        <f>ROUNDDOWN((LEN(Q14)+1)/2,0)</f>
        <v/>
      </c>
      <c r="Y14" s="14">
        <f>ROUNDDOWN((LEN(R14)+1)/2,0)</f>
        <v/>
      </c>
      <c r="Z14" s="14">
        <f>ROUNDDOWN((LEN(S14)+1)/2,0)</f>
        <v/>
      </c>
      <c r="AA14" s="56" t="n">
        <v>46150.55820901952</v>
      </c>
    </row>
    <row r="15" ht="38.25" customHeight="1">
      <c r="A15" s="46" t="inlineStr">
        <is>
          <t>z-Right-Left</t>
        </is>
      </c>
      <c r="B15" s="46" t="inlineStr">
        <is>
          <t>U+0700-U+074F</t>
        </is>
      </c>
      <c r="C15" s="46" t="inlineStr">
        <is>
          <t>Syriac</t>
        </is>
      </c>
      <c r="D15" s="54">
        <f>HEX2DEC(MID(B15,3,FIND("-",E15)-3))</f>
        <v/>
      </c>
      <c r="E15" s="46" t="inlineStr">
        <is>
          <t>U+0700-U+074F</t>
        </is>
      </c>
      <c r="F15" s="14" t="n">
        <v>2</v>
      </c>
      <c r="G15" s="14" t="n">
        <v>0</v>
      </c>
      <c r="H15" s="14" t="n">
        <v>0</v>
      </c>
      <c r="I15" s="48" t="inlineStr">
        <is>
          <t>n</t>
        </is>
      </c>
      <c r="J15" s="19">
        <f>ROUNDDOWN(W15,0)/$V15</f>
        <v/>
      </c>
      <c r="K15" s="19">
        <f>ROUNDDOWN(X15,0)/$V15</f>
        <v/>
      </c>
      <c r="L15" s="19">
        <f>ROUNDDOWN(Y15,0)/$V15</f>
        <v/>
      </c>
      <c r="M15" s="19">
        <f>ROUNDDOWN(Z15,0)/$V15</f>
        <v/>
      </c>
      <c r="N15" s="35" t="inlineStr">
        <is>
          <t>Left-to-right application inconsitency make it unsuitable for base symbols.
Double-height.</t>
        </is>
      </c>
      <c r="O15" s="36" t="inlineStr">
        <is>
          <t>܀ ܁ ܂ ܃ ܄ ܅ ܆ ܇ ܈ ܉ ܊ ܋ ܌ ܍ ܐ ܑ ܒ ܓ ܔ ܕ ܖ ܗ ܘ ܙ ܚ ܛ ܜ ܝ ܞ ܟ ܠ ܡ ܢ ܣ ܤ ܥ ܦ ܧ ܨ ܩ ܪ ܫ ܬ ܭ ܮ ܯ ܰ ܱ ܲ ܳ ܴ ܵ ܶ ܷ ܸ ܹ ܺ ܻ ܼ ܽ ܾ ܿ ݀ ݁ ݂ ݃ ݄ ݅ ݆ ݇ ݈ ݉ ݊ ݍ ݎ ݏ</t>
        </is>
      </c>
      <c r="P15" s="37" t="inlineStr"/>
      <c r="Q15" s="38" t="inlineStr"/>
      <c r="R15" s="43" t="inlineStr"/>
      <c r="S15" s="40" t="n"/>
      <c r="V15" s="14">
        <f>(LEN(O15)+1)/2</f>
        <v/>
      </c>
      <c r="W15" s="14">
        <f>ROUNDDOWN((LEN(P15)+1)/2,0)</f>
        <v/>
      </c>
      <c r="X15" s="14">
        <f>ROUNDDOWN((LEN(Q15)+1)/2,0)</f>
        <v/>
      </c>
      <c r="Y15" s="14">
        <f>ROUNDDOWN((LEN(R15)+1)/2,0)</f>
        <v/>
      </c>
      <c r="Z15" s="14">
        <f>ROUNDDOWN((LEN(S15)+1)/2,0)</f>
        <v/>
      </c>
      <c r="AA15" s="56" t="n">
        <v>46150.5582090208</v>
      </c>
    </row>
    <row r="16" ht="25.5" customHeight="1">
      <c r="A16" s="46" t="inlineStr">
        <is>
          <t>z-Right-Left</t>
        </is>
      </c>
      <c r="B16" s="46" t="inlineStr">
        <is>
          <t>U+0750-U+077F</t>
        </is>
      </c>
      <c r="C16" s="46" t="inlineStr">
        <is>
          <t>Arabic Supplement</t>
        </is>
      </c>
      <c r="D16" s="54">
        <f>HEX2DEC(MID(B16,3,FIND("-",E16)-3))</f>
        <v/>
      </c>
      <c r="E16" s="46" t="inlineStr">
        <is>
          <t>U+0750-U+077F</t>
        </is>
      </c>
      <c r="F16" s="14" t="n">
        <v>2</v>
      </c>
      <c r="G16" s="14" t="n">
        <v>0</v>
      </c>
      <c r="H16" s="14" t="n">
        <v>0</v>
      </c>
      <c r="I16" s="48" t="inlineStr">
        <is>
          <t>n</t>
        </is>
      </c>
      <c r="J16" s="19">
        <f>ROUNDDOWN(W16,0)/$V16</f>
        <v/>
      </c>
      <c r="K16" s="19">
        <f>ROUNDDOWN(X16,0)/$V16</f>
        <v/>
      </c>
      <c r="L16" s="19">
        <f>ROUNDDOWN(Y16,0)/$V16</f>
        <v/>
      </c>
      <c r="M16" s="19">
        <f>ROUNDDOWN(Z16,0)/$V16</f>
        <v/>
      </c>
      <c r="N16" s="35" t="inlineStr">
        <is>
          <t>Left-to-right application inconsitency make it unsuitable for base symbols.</t>
        </is>
      </c>
      <c r="O16" s="36" t="inlineStr">
        <is>
          <t>ݐ ݑ ݒ ݓ ݔ ݕ ݖ ݗ ݘ ݙ ݚ ݛ ݜ ݝ ݞ ݟ ݠ ݡ ݢ ݣ ݤ ݥ ݦ ݧ ݨ ݩ ݪ ݫ ݬ ݭ ݮ ݯ ݰ ݱ ݲ ݳ ݴ ݵ ݶ ݷ ݸ ݹ ݺ ݻ ݼ ݽ ݾ ݿ</t>
        </is>
      </c>
      <c r="P16" s="37" t="inlineStr"/>
      <c r="Q16" s="38" t="inlineStr"/>
      <c r="R16" s="43" t="inlineStr"/>
      <c r="S16" s="40" t="n"/>
      <c r="V16" s="14">
        <f>(LEN(O16)+1)/2</f>
        <v/>
      </c>
      <c r="W16" s="14">
        <f>ROUNDDOWN((LEN(P16)+1)/2,0)</f>
        <v/>
      </c>
      <c r="X16" s="14">
        <f>ROUNDDOWN((LEN(Q16)+1)/2,0)</f>
        <v/>
      </c>
      <c r="Y16" s="14">
        <f>ROUNDDOWN((LEN(R16)+1)/2,0)</f>
        <v/>
      </c>
      <c r="Z16" s="14">
        <f>ROUNDDOWN((LEN(S16)+1)/2,0)</f>
        <v/>
      </c>
      <c r="AA16" s="56" t="n">
        <v>46150.55820902138</v>
      </c>
    </row>
    <row r="17" ht="38.25" customHeight="1">
      <c r="A17" s="46" t="inlineStr">
        <is>
          <t>z-Right-Left</t>
        </is>
      </c>
      <c r="B17" s="46" t="inlineStr">
        <is>
          <t>U+0780-U+07B1</t>
        </is>
      </c>
      <c r="C17" s="46" t="inlineStr">
        <is>
          <t>Thaana</t>
        </is>
      </c>
      <c r="D17" s="54">
        <f>HEX2DEC(MID(B17,3,FIND("-",E17)-3))</f>
        <v/>
      </c>
      <c r="E17" s="46" t="inlineStr">
        <is>
          <t>U+0780-U+07BF</t>
        </is>
      </c>
      <c r="F17" s="14" t="n">
        <v>2</v>
      </c>
      <c r="G17" s="14" t="n">
        <v>0</v>
      </c>
      <c r="H17" s="14" t="n">
        <v>0</v>
      </c>
      <c r="I17" s="48" t="inlineStr">
        <is>
          <t>n</t>
        </is>
      </c>
      <c r="J17" s="19">
        <f>ROUNDDOWN(W17,0)/$V17</f>
        <v/>
      </c>
      <c r="K17" s="19">
        <f>ROUNDDOWN(X17,0)/$V17</f>
        <v/>
      </c>
      <c r="L17" s="19">
        <f>ROUNDDOWN(Y17,0)/$V17</f>
        <v/>
      </c>
      <c r="M17" s="19">
        <f>ROUNDDOWN(Z17,0)/$V17</f>
        <v/>
      </c>
      <c r="N17" s="35" t="inlineStr">
        <is>
          <t>Left-to-right application inconsitency make it unsuitable for base symbols.
Double-height.</t>
        </is>
      </c>
      <c r="O17" s="36" t="inlineStr">
        <is>
          <t>ހ ށ ނ ރ ބ ޅ ކ އ ވ މ ފ ދ ތ ލ ގ ޏ ސ ޑ ޒ ޓ ޔ ޕ ޖ ޗ ޘ ޙ ޚ ޛ ޜ ޝ ޞ ޟ ޠ ޡ ޢ ޣ ޤ ޥ ަ ާ ި ީ ު ޫ ެ ޭ ޮ ޯ ް ޱ</t>
        </is>
      </c>
      <c r="P17" s="37" t="inlineStr"/>
      <c r="Q17" s="38" t="inlineStr"/>
      <c r="R17" s="43" t="inlineStr"/>
      <c r="S17" s="40" t="n"/>
      <c r="V17" s="14">
        <f>(LEN(O17)+1)/2</f>
        <v/>
      </c>
      <c r="W17" s="14">
        <f>ROUNDDOWN((LEN(P17)+1)/2,0)</f>
        <v/>
      </c>
      <c r="X17" s="14">
        <f>ROUNDDOWN((LEN(Q17)+1)/2,0)</f>
        <v/>
      </c>
      <c r="Y17" s="14">
        <f>ROUNDDOWN((LEN(R17)+1)/2,0)</f>
        <v/>
      </c>
      <c r="Z17" s="14">
        <f>ROUNDDOWN((LEN(S17)+1)/2,0)</f>
        <v/>
      </c>
      <c r="AA17" s="56" t="n">
        <v>46150.55820902191</v>
      </c>
    </row>
    <row r="18" ht="38.25" customHeight="1">
      <c r="A18" s="46" t="inlineStr">
        <is>
          <t>z-Right-Left</t>
        </is>
      </c>
      <c r="B18" s="46" t="inlineStr">
        <is>
          <t>U+07C0-U+07FF</t>
        </is>
      </c>
      <c r="C18" s="46" t="inlineStr">
        <is>
          <t>NKo</t>
        </is>
      </c>
      <c r="D18" s="54">
        <f>HEX2DEC(MID(B18,3,FIND("-",E18)-3))</f>
        <v/>
      </c>
      <c r="E18" s="46" t="inlineStr">
        <is>
          <t>U+07C0-U+07FF</t>
        </is>
      </c>
      <c r="F18" s="14" t="n">
        <v>2</v>
      </c>
      <c r="G18" s="14" t="n">
        <v>0</v>
      </c>
      <c r="H18" s="14" t="n">
        <v>0</v>
      </c>
      <c r="I18" s="48" t="inlineStr">
        <is>
          <t>n</t>
        </is>
      </c>
      <c r="J18" s="19">
        <f>ROUNDDOWN(W18,0)/$V18</f>
        <v/>
      </c>
      <c r="K18" s="19">
        <f>ROUNDDOWN(X18,0)/$V18</f>
        <v/>
      </c>
      <c r="L18" s="19">
        <f>ROUNDDOWN(Y18,0)/$V18</f>
        <v/>
      </c>
      <c r="M18" s="19">
        <f>ROUNDDOWN(Z18,0)/$V18</f>
        <v/>
      </c>
      <c r="N18" s="35" t="inlineStr">
        <is>
          <t>Left-to-right application inconsitency make it unsuitable for base symbols.
Double-height.</t>
        </is>
      </c>
      <c r="O18" s="36" t="inlineStr">
        <is>
          <t>߀ ߁ ߂ ߃ ߄ ߅ ߆ ߇ ߈ ߉ ߊ ߋ ߌ ߍ ߎ ߏ ߐ ߑ ߒ ߓ ߔ ߕ ߖ ߗ ߘ ߙ ߚ ߛ ߜ ߝ ߞ ߟ ߠ ߡ ߢ ߣ ߤ ߥ ߦ ߧ ߨ ߩ ߪ ߫ ߬ ߭ ߮ ߯ ߰ ߱ ߲ ߳ ߴ ߵ ߶ ߷ ߸ ߹ ߺ ߽ ߾ ߿</t>
        </is>
      </c>
      <c r="P18" s="37" t="inlineStr">
        <is>
          <t>߶ ߷ ߸ ߹</t>
        </is>
      </c>
      <c r="Q18" s="38" t="inlineStr">
        <is>
          <t>߶ ߷ ߸ ߹</t>
        </is>
      </c>
      <c r="R18" s="43" t="inlineStr">
        <is>
          <t>߶ ߷</t>
        </is>
      </c>
      <c r="S18" s="40" t="n"/>
      <c r="V18" s="14">
        <f>(LEN(O18)+1)/2</f>
        <v/>
      </c>
      <c r="W18" s="14">
        <f>ROUNDDOWN((LEN(P18)+1)/2,0)</f>
        <v/>
      </c>
      <c r="X18" s="14">
        <f>ROUNDDOWN((LEN(Q18)+1)/2,0)</f>
        <v/>
      </c>
      <c r="Y18" s="14">
        <f>ROUNDDOWN((LEN(R18)+1)/2,0)</f>
        <v/>
      </c>
      <c r="Z18" s="14">
        <f>ROUNDDOWN((LEN(S18)+1)/2,0)</f>
        <v/>
      </c>
      <c r="AA18" s="56" t="n">
        <v>46150.55820923691</v>
      </c>
    </row>
    <row r="19" ht="38.25" customHeight="1">
      <c r="A19" s="46" t="inlineStr">
        <is>
          <t>z-Right-Left</t>
        </is>
      </c>
      <c r="B19" s="46" t="inlineStr">
        <is>
          <t>U+0800-U+083E</t>
        </is>
      </c>
      <c r="C19" s="46" t="inlineStr">
        <is>
          <t>Samaritan</t>
        </is>
      </c>
      <c r="D19" s="54">
        <f>HEX2DEC(MID(B19,3,FIND("-",E19)-3))</f>
        <v/>
      </c>
      <c r="E19" s="46" t="inlineStr">
        <is>
          <t>U+0800-U+083F</t>
        </is>
      </c>
      <c r="F19" s="14" t="n">
        <v>3</v>
      </c>
      <c r="G19" s="14" t="n">
        <v>0</v>
      </c>
      <c r="H19" s="14" t="n">
        <v>0</v>
      </c>
      <c r="I19" s="48" t="inlineStr">
        <is>
          <t>n</t>
        </is>
      </c>
      <c r="J19" s="19">
        <f>ROUNDDOWN(W19,0)/$V19</f>
        <v/>
      </c>
      <c r="K19" s="19">
        <f>ROUNDDOWN(X19,0)/$V19</f>
        <v/>
      </c>
      <c r="L19" s="19">
        <f>ROUNDDOWN(Y19,0)/$V19</f>
        <v/>
      </c>
      <c r="M19" s="19">
        <f>ROUNDDOWN(Z19,0)/$V19</f>
        <v/>
      </c>
      <c r="N19" s="35" t="inlineStr">
        <is>
          <t>Left-to-right application inconsitency make it unsuitable for base symbols.
Double-height.</t>
        </is>
      </c>
      <c r="O19" s="36" t="inlineStr">
        <is>
          <t>ࠀ ࠁ ࠂ ࠃ ࠄ ࠅ ࠆ ࠇ ࠈ ࠉ ࠊ ࠋ ࠌ ࠍ ࠎ ࠏ ࠐ ࠑ ࠒ ࠓ ࠔ ࠕ ࠖ ࠗ ࠘ ࠙ ࠚ ࠛ ࠜ ࠝ ࠞ ࠟ ࠠ ࠡ ࠢ ࠣ ࠤ ࠥ ࠦ ࠧ ࠨ ࠩ ࠪ ࠫ ࠬ ࠭ ࠰ ࠱ ࠲ ࠳ ࠴ ࠵ ࠶ ࠷ ࠸ ࠹ ࠺ ࠻ ࠼ ࠽ ࠾</t>
        </is>
      </c>
      <c r="P19" s="37" t="inlineStr"/>
      <c r="Q19" s="38" t="inlineStr"/>
      <c r="R19" s="43" t="inlineStr"/>
      <c r="S19" s="40" t="n"/>
      <c r="V19" s="14">
        <f>(LEN(O19)+1)/2</f>
        <v/>
      </c>
      <c r="W19" s="14">
        <f>ROUNDDOWN((LEN(P19)+1)/2,0)</f>
        <v/>
      </c>
      <c r="X19" s="14">
        <f>ROUNDDOWN((LEN(Q19)+1)/2,0)</f>
        <v/>
      </c>
      <c r="Y19" s="14">
        <f>ROUNDDOWN((LEN(R19)+1)/2,0)</f>
        <v/>
      </c>
      <c r="Z19" s="14">
        <f>ROUNDDOWN((LEN(S19)+1)/2,0)</f>
        <v/>
      </c>
      <c r="AA19" s="56" t="n">
        <v>46150.55820923781</v>
      </c>
    </row>
    <row r="20" ht="38.25" customHeight="1">
      <c r="A20" s="46" t="inlineStr">
        <is>
          <t>z-Right-Left</t>
        </is>
      </c>
      <c r="B20" s="46" t="inlineStr">
        <is>
          <t>U+0840-U+085E</t>
        </is>
      </c>
      <c r="C20" s="46" t="inlineStr">
        <is>
          <t>Mandaic</t>
        </is>
      </c>
      <c r="D20" s="54">
        <f>HEX2DEC(MID(B20,3,FIND("-",E20)-3))</f>
        <v/>
      </c>
      <c r="E20" s="46" t="inlineStr">
        <is>
          <t>U+0840-U+085F</t>
        </is>
      </c>
      <c r="F20" s="14" t="n">
        <v>3</v>
      </c>
      <c r="G20" s="14" t="n">
        <v>0</v>
      </c>
      <c r="H20" s="14" t="n">
        <v>0</v>
      </c>
      <c r="I20" s="48" t="inlineStr">
        <is>
          <t>n</t>
        </is>
      </c>
      <c r="J20" s="19">
        <f>ROUNDDOWN(W20,0)/$V20</f>
        <v/>
      </c>
      <c r="K20" s="19">
        <f>ROUNDDOWN(X20,0)/$V20</f>
        <v/>
      </c>
      <c r="L20" s="19">
        <f>ROUNDDOWN(Y20,0)/$V20</f>
        <v/>
      </c>
      <c r="M20" s="19">
        <f>ROUNDDOWN(Z20,0)/$V20</f>
        <v/>
      </c>
      <c r="N20" s="35" t="inlineStr">
        <is>
          <t>Left-to-right application inconsitency make it unsuitable for base symbols.
Double-height.</t>
        </is>
      </c>
      <c r="O20" s="36" t="inlineStr">
        <is>
          <t>ࡀ ࡁ ࡂ ࡃ ࡄ ࡅ ࡆ ࡇ ࡈ ࡉ ࡊ ࡋ ࡌ ࡍ ࡎ ࡏ ࡐ ࡑ ࡒ ࡓ ࡔ ࡕ ࡖ ࡗ ࡘ ࡙ ࡚ ࡛ ࡞</t>
        </is>
      </c>
      <c r="P20" s="37" t="inlineStr"/>
      <c r="Q20" s="38" t="inlineStr"/>
      <c r="R20" s="43" t="inlineStr"/>
      <c r="S20" s="40" t="n"/>
      <c r="V20" s="14">
        <f>(LEN(O20)+1)/2</f>
        <v/>
      </c>
      <c r="W20" s="14">
        <f>ROUNDDOWN((LEN(P20)+1)/2,0)</f>
        <v/>
      </c>
      <c r="X20" s="14">
        <f>ROUNDDOWN((LEN(Q20)+1)/2,0)</f>
        <v/>
      </c>
      <c r="Y20" s="14">
        <f>ROUNDDOWN((LEN(R20)+1)/2,0)</f>
        <v/>
      </c>
      <c r="Z20" s="14">
        <f>ROUNDDOWN((LEN(S20)+1)/2,0)</f>
        <v/>
      </c>
      <c r="AA20" s="56" t="n">
        <v>46150.55820923816</v>
      </c>
    </row>
    <row r="21" ht="25.5" customHeight="1">
      <c r="A21" s="46" t="inlineStr">
        <is>
          <t>z-Right-Left</t>
        </is>
      </c>
      <c r="B21" s="46" t="inlineStr">
        <is>
          <t>U+0860-U+086A</t>
        </is>
      </c>
      <c r="C21" s="46" t="inlineStr">
        <is>
          <t>Syriac Supplement</t>
        </is>
      </c>
      <c r="D21" s="54">
        <f>HEX2DEC(MID(B21,3,FIND("-",E21)-3))</f>
        <v/>
      </c>
      <c r="E21" s="46" t="inlineStr">
        <is>
          <t>U+0860-U+086F</t>
        </is>
      </c>
      <c r="F21" s="14" t="n">
        <v>3</v>
      </c>
      <c r="G21" s="14" t="n">
        <v>0</v>
      </c>
      <c r="H21" s="14" t="n">
        <v>0</v>
      </c>
      <c r="I21" s="48" t="inlineStr">
        <is>
          <t>n</t>
        </is>
      </c>
      <c r="J21" s="19">
        <f>ROUNDDOWN(W21,0)/$V21</f>
        <v/>
      </c>
      <c r="K21" s="19">
        <f>ROUNDDOWN(X21,0)/$V21</f>
        <v/>
      </c>
      <c r="L21" s="19">
        <f>ROUNDDOWN(Y21,0)/$V21</f>
        <v/>
      </c>
      <c r="M21" s="19">
        <f>ROUNDDOWN(Z21,0)/$V21</f>
        <v/>
      </c>
      <c r="N21" s="35" t="inlineStr">
        <is>
          <t>Left-to-right application inconsitency make it unsuitable for base symbols.</t>
        </is>
      </c>
      <c r="O21" s="36" t="inlineStr">
        <is>
          <t>ࡠ ࡡ ࡢ ࡣ ࡤ ࡥ ࡦ ࡧ ࡨ ࡩ ࡪ</t>
        </is>
      </c>
      <c r="P21" s="37" t="inlineStr"/>
      <c r="Q21" s="38" t="inlineStr"/>
      <c r="R21" s="43" t="inlineStr"/>
      <c r="S21" s="40" t="n"/>
      <c r="V21" s="14">
        <f>(LEN(O21)+1)/2</f>
        <v/>
      </c>
      <c r="W21" s="14">
        <f>ROUNDDOWN((LEN(P21)+1)/2,0)</f>
        <v/>
      </c>
      <c r="X21" s="14">
        <f>ROUNDDOWN((LEN(Q21)+1)/2,0)</f>
        <v/>
      </c>
      <c r="Y21" s="14">
        <f>ROUNDDOWN((LEN(R21)+1)/2,0)</f>
        <v/>
      </c>
      <c r="Z21" s="14">
        <f>ROUNDDOWN((LEN(S21)+1)/2,0)</f>
        <v/>
      </c>
      <c r="AA21" s="56" t="n">
        <v>46150.5582092384</v>
      </c>
    </row>
    <row r="22" ht="38.25" customHeight="1">
      <c r="A22" s="46" t="inlineStr">
        <is>
          <t>z-Right-Left</t>
        </is>
      </c>
      <c r="B22" s="46" t="inlineStr">
        <is>
          <t>U+0870-U+089F</t>
        </is>
      </c>
      <c r="C22" s="46" t="inlineStr">
        <is>
          <t>Arabic Extended-B</t>
        </is>
      </c>
      <c r="D22" s="54">
        <f>HEX2DEC(MID(B22,3,FIND("-",E22)-3))</f>
        <v/>
      </c>
      <c r="E22" s="46" t="inlineStr">
        <is>
          <t>U+0870-U+089F</t>
        </is>
      </c>
      <c r="F22" s="14" t="n">
        <v>3</v>
      </c>
      <c r="G22" s="14" t="n">
        <v>0</v>
      </c>
      <c r="H22" s="14" t="n">
        <v>0</v>
      </c>
      <c r="I22" s="48" t="inlineStr">
        <is>
          <t>n</t>
        </is>
      </c>
      <c r="J22" s="19">
        <f>ROUNDDOWN(W22,0)/$V22</f>
        <v/>
      </c>
      <c r="K22" s="19">
        <f>ROUNDDOWN(X22,0)/$V22</f>
        <v/>
      </c>
      <c r="L22" s="19">
        <f>ROUNDDOWN(Y22,0)/$V22</f>
        <v/>
      </c>
      <c r="M22" s="19">
        <f>ROUNDDOWN(Z22,0)/$V22</f>
        <v/>
      </c>
      <c r="N22" s="35" t="inlineStr">
        <is>
          <t>Left-to-right application inconsitency make it unsuitable for base symbols.
Double-height.</t>
        </is>
      </c>
      <c r="O22" s="36" t="inlineStr">
        <is>
          <t>ࡰ ࡱ ࡲ ࡳ ࡴ ࡵ ࡶ ࡷ ࡸ ࡹ ࡺ ࡻ ࡼ ࡽ ࡾ ࡿ ࢀ ࢁ ࢂ ࢃ ࢄ ࢅ ࢆ ࢇ ࢈ ࢉ ࢊ ࢋ ࢌ ࢍ ࢎ ࢘ ࢙ ࢚ ࢛ ࢜ ࢝ ࢞ ࢟</t>
        </is>
      </c>
      <c r="P22" s="37" t="inlineStr"/>
      <c r="Q22" s="38" t="inlineStr"/>
      <c r="R22" s="43" t="inlineStr"/>
      <c r="S22" s="40" t="n"/>
      <c r="V22" s="14">
        <f>(LEN(O22)+1)/2</f>
        <v/>
      </c>
      <c r="W22" s="14">
        <f>ROUNDDOWN((LEN(P22)+1)/2,0)</f>
        <v/>
      </c>
      <c r="X22" s="14">
        <f>ROUNDDOWN((LEN(Q22)+1)/2,0)</f>
        <v/>
      </c>
      <c r="Y22" s="14">
        <f>ROUNDDOWN((LEN(R22)+1)/2,0)</f>
        <v/>
      </c>
      <c r="Z22" s="14">
        <f>ROUNDDOWN((LEN(S22)+1)/2,0)</f>
        <v/>
      </c>
      <c r="AA22" s="56" t="n">
        <v>46150.55820923874</v>
      </c>
    </row>
    <row r="23" ht="38.25" customHeight="1">
      <c r="A23" s="46" t="inlineStr">
        <is>
          <t>z-Right-Left</t>
        </is>
      </c>
      <c r="B23" s="46" t="inlineStr">
        <is>
          <t>U+08A0-U+08FF</t>
        </is>
      </c>
      <c r="C23" s="46" t="inlineStr">
        <is>
          <t>Arabic Extended-A</t>
        </is>
      </c>
      <c r="D23" s="54">
        <f>HEX2DEC(MID(B23,3,FIND("-",E23)-3))</f>
        <v/>
      </c>
      <c r="E23" s="46" t="inlineStr">
        <is>
          <t>U+08A0-U+08FF</t>
        </is>
      </c>
      <c r="F23" s="14" t="n">
        <v>3</v>
      </c>
      <c r="G23" s="14" t="n">
        <v>0</v>
      </c>
      <c r="H23" s="14" t="n">
        <v>0</v>
      </c>
      <c r="I23" s="48" t="inlineStr">
        <is>
          <t>n</t>
        </is>
      </c>
      <c r="J23" s="19">
        <f>ROUNDDOWN(W23,0)/$V23</f>
        <v/>
      </c>
      <c r="K23" s="19">
        <f>ROUNDDOWN(X23,0)/$V23</f>
        <v/>
      </c>
      <c r="L23" s="19">
        <f>ROUNDDOWN(Y23,0)/$V23</f>
        <v/>
      </c>
      <c r="M23" s="19">
        <f>ROUNDDOWN(Z23,0)/$V23</f>
        <v/>
      </c>
      <c r="N23" s="35" t="inlineStr">
        <is>
          <t>Left-to-right application inconsitency make it unsuitable for base symbols.
Double-height.</t>
        </is>
      </c>
      <c r="O23" s="36" t="inlineStr">
        <is>
          <t>ࢠ ࢡ ࢢ ࢣ ࢤ ࢥ ࢦ ࢧ ࢨ ࢩ ࢪ ࢫ ࢬ ࢭ ࢮ ࢯ ࢰ ࢱ ࢲ ࢳ ࢴ ࢵ ࢶ ࢷ ࢸ ࢹ ࢺ ࢻ ࢼ ࢽ ࢾ ࢿ ࣀ ࣁ ࣂ ࣃ ࣄ ࣅ ࣆ ࣇ ࣈ ࣉ ࣊ ࣋ ࣌ ࣍ ࣎ ࣏ ࣐ ࣑ ࣒ ࣓ ࣔ ࣕ ࣖ ࣗ ࣘ ࣙ ࣚ ࣛ ࣜ ࣝ ࣞ ࣟ ࣠ ࣡ ࣣ ࣤ ࣥ ࣦ ࣧ ࣨ ࣩ ࣪ ࣫ ࣬ ࣭ ࣮ ࣯ ࣰ ࣱ ࣲ ࣳ ࣴ ࣵ ࣶ ࣷ ࣸ ࣹ ࣺ ࣻ ࣼ ࣽ ࣾ ࣿ</t>
        </is>
      </c>
      <c r="P23" s="37" t="inlineStr"/>
      <c r="Q23" s="38" t="inlineStr"/>
      <c r="R23" s="43" t="inlineStr"/>
      <c r="S23" s="40" t="n"/>
      <c r="V23" s="14">
        <f>(LEN(O23)+1)/2</f>
        <v/>
      </c>
      <c r="W23" s="14">
        <f>ROUNDDOWN((LEN(P23)+1)/2,0)</f>
        <v/>
      </c>
      <c r="X23" s="14">
        <f>ROUNDDOWN((LEN(Q23)+1)/2,0)</f>
        <v/>
      </c>
      <c r="Y23" s="14">
        <f>ROUNDDOWN((LEN(R23)+1)/2,0)</f>
        <v/>
      </c>
      <c r="Z23" s="14">
        <f>ROUNDDOWN((LEN(S23)+1)/2,0)</f>
        <v/>
      </c>
      <c r="AA23" s="56" t="n">
        <v>46150.55820923926</v>
      </c>
    </row>
    <row r="24" ht="51" customHeight="1">
      <c r="B24" s="46" t="inlineStr">
        <is>
          <t>U+0900-U+097F</t>
        </is>
      </c>
      <c r="C24" s="46" t="inlineStr">
        <is>
          <t>Devanagari</t>
        </is>
      </c>
      <c r="D24" s="54">
        <f>HEX2DEC(MID(B24,3,FIND("-",E24)-3))</f>
        <v/>
      </c>
      <c r="E24" s="46" t="inlineStr">
        <is>
          <t>U+0900-U+097F</t>
        </is>
      </c>
      <c r="F24" s="14" t="n">
        <v>3</v>
      </c>
      <c r="G24" s="14" t="n">
        <v>3</v>
      </c>
      <c r="H24" s="14" t="n">
        <v>3</v>
      </c>
      <c r="I24" s="48" t="inlineStr">
        <is>
          <t>y</t>
        </is>
      </c>
      <c r="J24" s="19">
        <f>ROUNDDOWN(W24,0)/$V24</f>
        <v/>
      </c>
      <c r="K24" s="19">
        <f>ROUNDDOWN(X24,0)/$V24</f>
        <v/>
      </c>
      <c r="L24" s="19">
        <f>ROUNDDOWN(Y24,0)/$V24</f>
        <v/>
      </c>
      <c r="M24" s="19">
        <f>ROUNDDOWN(Z24,0)/$V24</f>
        <v/>
      </c>
      <c r="N24" s="24" t="inlineStr">
        <is>
          <t>Many combined characters. Double-height.</t>
        </is>
      </c>
      <c r="O24" s="36" t="inlineStr">
        <is>
          <t>ऀ ँ ं ः ऄ अ आ इ ई उ ऊ ऋ ऌ ऍ ऎ ए ऐ ऑ ऒ ओ औ क ख ग घ ङ च छ ज झ ञ ट ठ ड ढ ण त थ द ध न ऩ प फ ब भ म य र ऱ ल ळ ऴ व श ष स ह ऺ ऻ ़ ऽ ा ि ी ु ू ृ ॄ ॅ ॆ े ै ॉ ॊ ो ौ ् ॎ ॏ ॐ ॑ ॒ ॓ ॔ ॕ ॖ ॗ क़ ख़ ग़ ज़ ड़ ढ़ फ़ य़ ॠ ॡ ॢ ॣ । ॥ ० १ २ ३ ४ ५ ६ ७ ८ ९ ॰ ॱ ॲ ॳ ॴ ॵ ॶ ॷ ॸ ॹ ॺ ॻ ॼ ॽ ॾ ॿ</t>
        </is>
      </c>
      <c r="P24" s="37" t="inlineStr">
        <is>
          <t>ऄ अ आ इ ई उ ऊ ऋ ऌ ऍ ऎ ए ऐ ऑ ऒ ओ औ क ख ग घ ङ च छ ज झ ञ ट ठ ड ढ ण त थ द ध न ऩ प फ ब भ म य र ऱ ल ळ ऴ व श ष स ह ॐ ॠ ॡ । ॥ ० १ २ ३ ४ ५ ६ ७ ८ ९ ॰ ॲ ॳ ॴ ॵ ॶ ॷ ॸ ॹ ॺ ॻ ॼ ॽ ॾ ॿ</t>
        </is>
      </c>
      <c r="Q24" s="38" t="inlineStr">
        <is>
          <t>ऄ अ आ इ ई उ ऊ ऋ ऌ ऍ ऎ ए ऐ औ क ख ग घ ङ च छ ज झ ञ ट ठ ड ढ ण त थ द ध न प फ ब भ म य र ल ळ व श ष स ह ॐ ॠ ॡ । ॥ ॰ ॲ ॴ ॵ ॶ ॷ ॸ ॹ ॺ ॻ ॼ ॽ ॾ ॿ</t>
        </is>
      </c>
      <c r="R24" s="39" t="inlineStr">
        <is>
          <t>॰ ॽ</t>
        </is>
      </c>
      <c r="S24" s="40" t="n"/>
      <c r="V24" s="14">
        <f>(LEN(O24)+1)/2</f>
        <v/>
      </c>
      <c r="W24" s="14">
        <f>ROUNDDOWN((LEN(P24)+1)/2,0)</f>
        <v/>
      </c>
      <c r="X24" s="14">
        <f>ROUNDDOWN((LEN(Q24)+1)/2,0)</f>
        <v/>
      </c>
      <c r="Y24" s="14">
        <f>ROUNDDOWN((LEN(R24)+1)/2,0)</f>
        <v/>
      </c>
      <c r="Z24" s="14">
        <f>ROUNDDOWN((LEN(S24)+1)/2,0)</f>
        <v/>
      </c>
      <c r="AA24" s="56" t="n">
        <v>46150.55821006567</v>
      </c>
    </row>
    <row r="25" ht="30" customHeight="1">
      <c r="A25" s="46" t="inlineStr">
        <is>
          <t>z-wide</t>
        </is>
      </c>
      <c r="B25" s="46" t="inlineStr">
        <is>
          <t>U+0980-U+09FE</t>
        </is>
      </c>
      <c r="C25" s="46" t="inlineStr">
        <is>
          <t>Bengali</t>
        </is>
      </c>
      <c r="D25" s="54">
        <f>HEX2DEC(MID(B25,3,FIND("-",E25)-3))</f>
        <v/>
      </c>
      <c r="E25" s="46" t="inlineStr">
        <is>
          <t>U+0980-U+09FF</t>
        </is>
      </c>
      <c r="F25" s="14" t="n">
        <v>3</v>
      </c>
      <c r="G25" s="14" t="n">
        <v>3</v>
      </c>
      <c r="H25" s="14" t="n">
        <v>3</v>
      </c>
      <c r="I25" s="48" t="inlineStr">
        <is>
          <t>y</t>
        </is>
      </c>
      <c r="J25" s="19">
        <f>ROUNDDOWN(W25,0)/$V25</f>
        <v/>
      </c>
      <c r="K25" s="19">
        <f>ROUNDDOWN(X25,0)/$V25</f>
        <v/>
      </c>
      <c r="L25" s="19">
        <f>ROUNDDOWN(Y25,0)/$V25</f>
        <v/>
      </c>
      <c r="M25" s="19">
        <f>ROUNDDOWN(Z25,0)/$V25</f>
        <v/>
      </c>
      <c r="N25" s="24" t="inlineStr">
        <is>
          <t>Many combined characters. Double-height.</t>
        </is>
      </c>
      <c r="O25" s="36" t="inlineStr">
        <is>
          <t>অ আ ই ঈ উ ঊ ঋ ঌ এ ঐ ও ঔ ক খ গ ঘ ঙ চ ছ জ ঝ ঞ ট ঠ ড ঢ ণ ত থ দ ধ ন প ফ ব ভ ম য র ল শ ষ স হ় ড় ঢ় য় ৠ ০ ১ ২ ৩ ৪ ৫ ৬ ৭ ৮ ৯ ৰ ৱ ৲ ৳ ৴ ৵ ৶ ৷ ৸ ৹ ৺ ৻ ৼ ৽</t>
        </is>
      </c>
      <c r="P25" s="37" t="inlineStr">
        <is>
          <t>অ আ ই ঈ উ ঊ ঋ ঌ এ ঐ ও ঔ ক খ গ ঘ ঙ চ ছ জ ঝ ঞ ট ঠ ড ঢ ণ ত থ দ ধ ন প ফ ব ভ ম য র ল শ ষ স হ ৠ ০ ১ ২ ৩ ৪ ৫ ৬ ৭ ৮ ৯ ৰ ৱ ৲ ৳ ৴ ৵ ৶ ৷ ৸ ৹ ৺ ৻ ৽</t>
        </is>
      </c>
      <c r="Q25" s="38" t="inlineStr">
        <is>
          <t>অ আ ই ঈ উ ঊ ঋ ঌ এ ঐ ঔ ক খ গ ঘ ঙ চ ছ জ ঝ ঞ ট ঠ ড ঢ ণ ত থ দ ধ ন প ফ ব ভ ম য র ল শ ষ স হ ৠ ৲ ৳ ৺ ৻ ৽</t>
        </is>
      </c>
      <c r="R25" s="39" t="inlineStr">
        <is>
          <t>ঌ এ ঐ ঔ ঙ ঞ ৲ ৳ ৺ ৻ ৽</t>
        </is>
      </c>
      <c r="S25" s="40" t="n"/>
      <c r="V25" s="14">
        <f>(LEN(O25)+1)/2</f>
        <v/>
      </c>
      <c r="W25" s="14">
        <f>ROUNDDOWN((LEN(P25)+1)/2,0)</f>
        <v/>
      </c>
      <c r="X25" s="14">
        <f>ROUNDDOWN((LEN(Q25)+1)/2,0)</f>
        <v/>
      </c>
      <c r="Y25" s="14">
        <f>ROUNDDOWN((LEN(R25)+1)/2,0)</f>
        <v/>
      </c>
      <c r="Z25" s="14">
        <f>ROUNDDOWN((LEN(S25)+1)/2,0)</f>
        <v/>
      </c>
      <c r="AA25" s="56" t="n">
        <v>46150.55821055437</v>
      </c>
    </row>
    <row r="26" ht="30" customHeight="1">
      <c r="B26" s="46" t="inlineStr">
        <is>
          <t>U+0A01-U+0A76</t>
        </is>
      </c>
      <c r="C26" s="46" t="inlineStr">
        <is>
          <t>Gurmukhi</t>
        </is>
      </c>
      <c r="D26" s="54">
        <f>HEX2DEC(MID(B26,3,FIND("-",E26)-3))</f>
        <v/>
      </c>
      <c r="E26" s="46" t="inlineStr">
        <is>
          <t>U+0A00-U+0A7F</t>
        </is>
      </c>
      <c r="F26" s="14" t="n">
        <v>3</v>
      </c>
      <c r="G26" s="14" t="n">
        <v>3</v>
      </c>
      <c r="H26" s="14" t="n">
        <v>0</v>
      </c>
      <c r="I26" s="48" t="inlineStr">
        <is>
          <t>n</t>
        </is>
      </c>
      <c r="J26" s="19">
        <f>ROUNDDOWN(W26,0)/$V26</f>
        <v/>
      </c>
      <c r="K26" s="19">
        <f>ROUNDDOWN(X26,0)/$V26</f>
        <v/>
      </c>
      <c r="L26" s="19">
        <f>ROUNDDOWN(Y26,0)/$V26</f>
        <v/>
      </c>
      <c r="M26" s="19">
        <f>ROUNDDOWN(Z26,0)/$V26</f>
        <v/>
      </c>
      <c r="N26" s="24" t="inlineStr">
        <is>
          <t>Many combined characters. Double-height.</t>
        </is>
      </c>
      <c r="O26" s="36" t="inlineStr">
        <is>
          <t>ਅ ਆ ਇ ਈ ਉ ਊ ਏ ਐ ਓ ਔ ਕ ਖ ਗ ਘ ਙ ਚ ਛ ਜ ਝ ਞ ਟ ਠ ਡ ਢ ਣ ਤ ਥ ਦ ਧ ਨ ਪ ਫ ਬ ਭ ਮ ਯ ਰ ਲ ਲ਼ ਵ ਸ਼ ਸ ਖ਼ ਗ਼ ਜ਼ ੜ ਫ਼ ੦ ੧ ੨ ੩ ੪ ੫ ੬ ੭ ੮ ੲ ੳ</t>
        </is>
      </c>
      <c r="P26" s="37" t="inlineStr">
        <is>
          <t>ਅ ਆ ਇ ਈ ਉ ਊ ਏ ਐ ਓ ਔ ਕ ਖ ਗ ਘ ਙ ਚ ਛ ਜ ਝ ਞ ਟ ਠ ਡ ਢ ਣ ਤ ਥ ਦ ਧ ਨ ਪ ਫ ਬ ਭ ਮ ਯ ਰ ਲ ਵ ਸ ੜ ੦ ੧ ੨ ੩ ੪ ੫ ੬ ੭ ੮ ੲ ੳ</t>
        </is>
      </c>
      <c r="Q26" s="38" t="inlineStr">
        <is>
          <t>ਅ ਆ ਇ ਈ ਉ ਊ ਏ ਐ ਓ ਔ ਕ ਖ ਗ ਘ ਙ ਚ ਛ ਜ ਝ ਞ ਟ ਠ ਡ ਢ ਣ ਤ ਥ ਦ ਧ ਨ ਪ ਫ ਬ ਭ ਮ ਯ ਰ ਲ ਵ ਸ ੜ ੲ ੳ</t>
        </is>
      </c>
      <c r="R26" s="43" t="inlineStr"/>
      <c r="S26" s="40" t="n"/>
      <c r="V26" s="14">
        <f>(LEN(O26)+1)/2</f>
        <v/>
      </c>
      <c r="W26" s="14">
        <f>ROUNDDOWN((LEN(P26)+1)/2,0)</f>
        <v/>
      </c>
      <c r="X26" s="14">
        <f>ROUNDDOWN((LEN(Q26)+1)/2,0)</f>
        <v/>
      </c>
      <c r="Y26" s="14">
        <f>ROUNDDOWN((LEN(R26)+1)/2,0)</f>
        <v/>
      </c>
      <c r="Z26" s="14">
        <f>ROUNDDOWN((LEN(S26)+1)/2,0)</f>
        <v/>
      </c>
      <c r="AA26" s="56" t="n">
        <v>46150.55821099341</v>
      </c>
    </row>
    <row r="27" ht="30" customHeight="1">
      <c r="B27" s="46" t="inlineStr">
        <is>
          <t>U+0A81-U+0AFF</t>
        </is>
      </c>
      <c r="C27" s="46" t="inlineStr">
        <is>
          <t>Gujarati</t>
        </is>
      </c>
      <c r="D27" s="54">
        <f>HEX2DEC(MID(B27,3,FIND("-",E27)-3))</f>
        <v/>
      </c>
      <c r="E27" s="46" t="inlineStr">
        <is>
          <t>U+0A80-U+0AFF</t>
        </is>
      </c>
      <c r="F27" s="14" t="n">
        <v>3</v>
      </c>
      <c r="G27" s="14" t="n">
        <v>3</v>
      </c>
      <c r="H27" s="14" t="n">
        <v>3</v>
      </c>
      <c r="I27" s="48" t="inlineStr">
        <is>
          <t>y</t>
        </is>
      </c>
      <c r="J27" s="19">
        <f>ROUNDDOWN(W27,0)/$V27</f>
        <v/>
      </c>
      <c r="K27" s="19">
        <f>ROUNDDOWN(X27,0)/$V27</f>
        <v/>
      </c>
      <c r="L27" s="19">
        <f>ROUNDDOWN(Y27,0)/$V27</f>
        <v/>
      </c>
      <c r="M27" s="19">
        <f>ROUNDDOWN(Z27,0)/$V27</f>
        <v/>
      </c>
      <c r="N27" s="24" t="inlineStr">
        <is>
          <t>Numerous combined and tall characters. Double-height.</t>
        </is>
      </c>
      <c r="O27" s="36" t="inlineStr">
        <is>
          <t>અ આ ઇ ઈ ઉ ઊ ઋ ઌ ઍ એ ઐ ઑ ઓ ઔ ક ખ ગ ઘ ઙ ચ છ જ ઝ ઞ ટ ઠ ડ ઢ ણ ત થ દ ધ ન પ ફ બ ભ મ ય ર લ ળ વ શ ષ સ ૐ ૠ ૦ ૧ ૨ ૩ ૪ ૫ ૬ ૭ ૮ ૯ ૰ ૱</t>
        </is>
      </c>
      <c r="P27" s="37" t="inlineStr">
        <is>
          <t>અ આ ઇ ઈ ઉ ઊ ઋ ઌ ઍ એ ઐ ઑ ઓ ઔ ક ખ ગ ઘ ઙ ચ છ જ ઝ ઞ ટ ઠ ડ ઢ ણ ત થ દ ધ ન પ ફ બ ભ મ ય ર લ ળ વ શ ષ સ ૐ ૠ ૦ ૧ ૨ ૩ ૪ ૫ ૬ ૭ ૮ ૯ ૰ ૱</t>
        </is>
      </c>
      <c r="Q27" s="38" t="inlineStr">
        <is>
          <t>અ આ ઇ ઈ ઉ ઊ ઋ ઌ ઍ એ ઐ ઑ ઔ ક ખ ગ ઘ ઙ ચ છ જ ઝ ઞ ટ ઠ ડ ઢ ણ ત થ દ ધ ન પ ફ બ ભ મ ય ર લ ળ વ શ ષ સ ૐ ૠ ૰ ૱</t>
        </is>
      </c>
      <c r="R27" s="39" t="inlineStr">
        <is>
          <t>ઇ ઈ ઉ ઊ ઌ ક ઘ ચ છ ઝ ઞ ઠ ડ ઢ ત થ દ ધ ન પ ફ મ ય ર લ ળ વ ષ સ</t>
        </is>
      </c>
      <c r="S27" s="40" t="n"/>
      <c r="V27" s="14">
        <f>(LEN(O27)+1)/2</f>
        <v/>
      </c>
      <c r="W27" s="14">
        <f>ROUNDDOWN((LEN(P27)+1)/2,0)</f>
        <v/>
      </c>
      <c r="X27" s="14">
        <f>ROUNDDOWN((LEN(Q27)+1)/2,0)</f>
        <v/>
      </c>
      <c r="Y27" s="14">
        <f>ROUNDDOWN((LEN(R27)+1)/2,0)</f>
        <v/>
      </c>
      <c r="Z27" s="14">
        <f>ROUNDDOWN((LEN(S27)+1)/2,0)</f>
        <v/>
      </c>
      <c r="AA27" s="56" t="n">
        <v>46150.55821146815</v>
      </c>
    </row>
    <row r="28" ht="30" customHeight="1">
      <c r="B28" s="46" t="inlineStr">
        <is>
          <t>U+0B01-U+0B77</t>
        </is>
      </c>
      <c r="C28" s="46" t="inlineStr">
        <is>
          <t>Oriya</t>
        </is>
      </c>
      <c r="D28" s="54">
        <f>HEX2DEC(MID(B28,3,FIND("-",E28)-3))</f>
        <v/>
      </c>
      <c r="E28" s="46" t="inlineStr">
        <is>
          <t>U+0B00-U+0B7F</t>
        </is>
      </c>
      <c r="F28" s="14" t="n">
        <v>3</v>
      </c>
      <c r="G28" s="14" t="n">
        <v>3</v>
      </c>
      <c r="H28" s="14" t="n">
        <v>3</v>
      </c>
      <c r="I28" s="48" t="inlineStr">
        <is>
          <t>y</t>
        </is>
      </c>
      <c r="J28" s="19">
        <f>ROUNDDOWN(W28,0)/$V28</f>
        <v/>
      </c>
      <c r="K28" s="19">
        <f>ROUNDDOWN(X28,0)/$V28</f>
        <v/>
      </c>
      <c r="L28" s="19">
        <f>ROUNDDOWN(Y28,0)/$V28</f>
        <v/>
      </c>
      <c r="M28" s="19">
        <f>ROUNDDOWN(Z28,0)/$V28</f>
        <v/>
      </c>
      <c r="N28" s="24" t="inlineStr">
        <is>
          <t>Many combined characters. Double-height.</t>
        </is>
      </c>
      <c r="O28" s="36" t="inlineStr">
        <is>
          <t>ଁ ଂ ଃ ଅ ଆ ଇ ଈ ଉ ଊ ଋ ଌ ଏ ଐ ଓ ଔ କ ଖ ଗ ଘ ଙ ଚ ଛ ଜ ଝ ଞ ଟ ଠ ଡ ଢ ଣ ତ ଥ ଦ ଧ ନ ପ ଫ ବ ଭ ମ ଯ ର ଲ ଳ ଵ ଶ ଷ ସ ହ ଼ ଽ ା ି ୀ ୁ ୂ ୃ ୄ େ ୈ ୋ ୌ ୍ ୕ ୖ ୗ ଡ଼ ଢ଼ ୟ ୠ ୡ ୢ ୣ ୦ ୧ ୨ ୩ ୪ ୫ ୬ ୭ ୮ ୯ ୰ ୱ ୲ ୳ ୴ ୵ ୶ ୷</t>
        </is>
      </c>
      <c r="P28" s="37" t="inlineStr">
        <is>
          <t>ଅ ଆ ଇ ଈ ଉ ଊ ଋ ଌ ଏ ଐ ଓ ଔ କ ଖ ଗ ଘ ଙ ଚ ଛ ଜ ଝ ଞ ଟ ଠ ଡ ଢ ଣ ତ ଥ ଦ ଧ ନ ପ ଫ ବ ଭ ମ ଯ ର ଲ ଳ ଵ ଶ ଷ ସ ହ ୟ ୠ ୡ ୦ ୧ ୨ ୩ ୪ ୫ ୬ ୭ ୮ ୯ ୰ ୱ ୲ ୳ ୴ ୵ ୶ ୷</t>
        </is>
      </c>
      <c r="Q28" s="38" t="inlineStr">
        <is>
          <t>ଅ ଆ ଇ ଈ ଉ ଊ ଋ ଌ ଏ ଐ ଔ କ ଖ ଗ ଘ ଙ ଚ ଛ ଜ ଝ ଞ ଟ ଠ ଡ ଢ ଣ ତ ଥ ଦ ଧ ନ ପ ଫ ବ ଭ ମ ଯ ର ଲ ଳ ଵ ଶ ଷ ସ ହ ୟ ୠ ୡ ୰ ୱ</t>
        </is>
      </c>
      <c r="R28" s="39" t="inlineStr">
        <is>
          <t>ଋ ଌ ଐ ଔ ଖ ଗ ଘ ଚ ଛ ଜ ଝ ଞ ଟ ଡ ଢ ଣ ଥ ଧ ନ ପ ବ ର ଵ ଶ ଷ ସ ୠ ୡ ୱ</t>
        </is>
      </c>
      <c r="S28" s="40" t="n"/>
      <c r="V28" s="14">
        <f>(LEN(O28)+1)/2</f>
        <v/>
      </c>
      <c r="W28" s="14">
        <f>ROUNDDOWN((LEN(P28)+1)/2,0)</f>
        <v/>
      </c>
      <c r="X28" s="14">
        <f>ROUNDDOWN((LEN(Q28)+1)/2,0)</f>
        <v/>
      </c>
      <c r="Y28" s="14">
        <f>ROUNDDOWN((LEN(R28)+1)/2,0)</f>
        <v/>
      </c>
      <c r="Z28" s="14">
        <f>ROUNDDOWN((LEN(S28)+1)/2,0)</f>
        <v/>
      </c>
      <c r="AA28" s="56" t="n">
        <v>46150.55821193586</v>
      </c>
    </row>
    <row r="29" ht="45" customHeight="1">
      <c r="A29" s="46" t="inlineStr">
        <is>
          <t>z-wide</t>
        </is>
      </c>
      <c r="B29" s="46" t="inlineStr">
        <is>
          <t>U+0B82-U+0BFA</t>
        </is>
      </c>
      <c r="C29" s="46" t="inlineStr">
        <is>
          <t>Tamil</t>
        </is>
      </c>
      <c r="D29" s="54">
        <f>HEX2DEC(MID(B29,3,FIND("-",E29)-3))</f>
        <v/>
      </c>
      <c r="E29" s="46" t="inlineStr">
        <is>
          <t>U+0B80-U+0BFF</t>
        </is>
      </c>
      <c r="F29" s="14" t="n">
        <v>3</v>
      </c>
      <c r="G29" s="14" t="n">
        <v>3</v>
      </c>
      <c r="H29" s="14" t="n">
        <v>0</v>
      </c>
      <c r="I29" s="48" t="inlineStr">
        <is>
          <t>y</t>
        </is>
      </c>
      <c r="J29" s="19">
        <f>ROUNDDOWN(W29,0)/$V29</f>
        <v/>
      </c>
      <c r="K29" s="19">
        <f>ROUNDDOWN(X29,0)/$V29</f>
        <v/>
      </c>
      <c r="L29" s="19">
        <f>ROUNDDOWN(Y29,0)/$V29</f>
        <v/>
      </c>
      <c r="M29" s="19">
        <f>ROUNDDOWN(Z29,0)/$V29</f>
        <v/>
      </c>
      <c r="N29" s="24" t="inlineStr">
        <is>
          <t>Many combined characters. Double-height.</t>
        </is>
      </c>
      <c r="O29" s="36" t="inlineStr">
        <is>
          <t>ஂ ஃ அ ஆ இ ஈ உ ஊ எ ஏ ஐ ஒ ஓ ஔ க ங ச ஜ ஞ ட ண த ந ன ப ம ய ர ற ல ள ழ வ ஶ ஷ ஸ ஹ ா ி ீ ு ூ ெ ே ை ொ ோ ௌ ் ௐ ௗ ௦ ௧ ௨ ௩ ௪ ௫ ௬ ௭ ௮ ௯ ௰ ௱ ௲ ௳ ௴ ௵ ௶ ௷ ௸ ௹ ௺</t>
        </is>
      </c>
      <c r="P29" s="37" t="inlineStr">
        <is>
          <t>அ ஆ இ ஈ உ ஊ எ ஏ ஐ ஒ ஓ ஔ க ங ச ஜ ஞ ட ண த ந ன ப ம ய ர ற ல ள ழ வ ஶ ஷ ஸ ஹ ௐ ௦ ௧ ௨ ௩ ௪ ௫ ௬ ௭ ௮ ௯ ௰ ௱ ௲ ௳ ௴ ௵ ௶ ௷ ௸ ௹ ௺</t>
        </is>
      </c>
      <c r="Q29" s="38" t="inlineStr">
        <is>
          <t>அ ஆ இ ஈ உ ஊ எ ஏ ஐ ஓ க ங ச ஜ ஞ ட ண த ந ன ப ம ய ர ற ல ள ழ வ ஶ ஷ ஸ ஹ ௐ ௳ ௴ ௵ ௶ ௷ ௸ ௹</t>
        </is>
      </c>
      <c r="R29" s="39" t="inlineStr">
        <is>
          <t>அ இ ஈ எ ஏ ட ப ம ய ர ற ழ ௶</t>
        </is>
      </c>
      <c r="S29" s="40" t="n"/>
      <c r="V29" s="14">
        <f>(LEN(O29)+1)/2</f>
        <v/>
      </c>
      <c r="W29" s="14">
        <f>ROUNDDOWN((LEN(P29)+1)/2,0)</f>
        <v/>
      </c>
      <c r="X29" s="14">
        <f>ROUNDDOWN((LEN(Q29)+1)/2,0)</f>
        <v/>
      </c>
      <c r="Y29" s="14">
        <f>ROUNDDOWN((LEN(R29)+1)/2,0)</f>
        <v/>
      </c>
      <c r="Z29" s="14">
        <f>ROUNDDOWN((LEN(S29)+1)/2,0)</f>
        <v/>
      </c>
      <c r="AA29" s="56" t="n">
        <v>46150.55821236228</v>
      </c>
    </row>
    <row r="30" ht="45" customHeight="1">
      <c r="A30" s="46" t="inlineStr">
        <is>
          <t>z-wide</t>
        </is>
      </c>
      <c r="B30" s="46" t="inlineStr">
        <is>
          <t>U+0C00-U+0C7F</t>
        </is>
      </c>
      <c r="C30" s="46" t="inlineStr">
        <is>
          <t>Telugu</t>
        </is>
      </c>
      <c r="D30" s="54">
        <f>HEX2DEC(MID(B30,3,FIND("-",E30)-3))</f>
        <v/>
      </c>
      <c r="E30" s="46" t="inlineStr">
        <is>
          <t>U+0C00-U+0C7F</t>
        </is>
      </c>
      <c r="F30" s="14" t="n">
        <v>3</v>
      </c>
      <c r="G30" s="14" t="n">
        <v>3</v>
      </c>
      <c r="H30" s="14" t="n">
        <v>2</v>
      </c>
      <c r="I30" s="48" t="inlineStr">
        <is>
          <t>y</t>
        </is>
      </c>
      <c r="J30" s="19">
        <f>ROUNDDOWN(W30,0)/$V30</f>
        <v/>
      </c>
      <c r="K30" s="19">
        <f>ROUNDDOWN(X30,0)/$V30</f>
        <v/>
      </c>
      <c r="L30" s="19">
        <f>ROUNDDOWN(Y30,0)/$V30</f>
        <v/>
      </c>
      <c r="M30" s="19">
        <f>ROUNDDOWN(Z30,0)/$V30</f>
        <v/>
      </c>
      <c r="N30" s="24" t="inlineStr">
        <is>
          <t>Many combined characters. Double-height. Bitmapped?</t>
        </is>
      </c>
      <c r="O30" s="36" t="inlineStr">
        <is>
          <t>ఀ ఁ ం ః ఄ అ ఆ ఇ ఈ ఉ ఊ ఋ ఌ ఎ ఏ ఐ ఒ ఓ ఔ క ఖ గ ఘ ఙ చ ఛ జ ఝ ఞ ట ఠ డ ఢ ణ త థ ద ధ న ప ఫ బ భ మ య ర ఱ ల ళ ఴ వ శ ష స హ ఼ ఽ ా ి ీ ు ూ ృ ౄ ె ే ై ొ ో ౌ ్ ౕ ౖ ౘ ౙ ౚ ౝ ౠ ౡ ౢ ౣ ౦ ౧ ౨ ౩ ౪ ౫ ౬ ౭ ౮ ౯ ౷ ౸ ౹ ౺ ౻ ౼ ౽ ౾ ౿</t>
        </is>
      </c>
      <c r="P30" s="37" t="inlineStr">
        <is>
          <t>అ ఆ ఇ ఈ ఉ ఊ ఋ ఌ ఎ ఏ ఐ ఒ ఓ ఔ క ఖ గ ఘ ఙ చ ఛ జ ఝ ఞ ట ఠ డ ఢ ణ త థ ద ధ న ప ఫ బ భ మ య ర ఱ ల ళ ఴ వ శ ష స హ ౘ ౙ ౚ ౝ ౠ ౡ ౦ ౧ ౨ ౩ ౪ ౫ ౬ ౭ ౮ ౯ ౷ ౸ ౹ ౺ ౻ ౼ ౽ ౾ ౿</t>
        </is>
      </c>
      <c r="Q30" s="38" t="inlineStr">
        <is>
          <t>అ ఆ ఇ ఈ ఉ ఊ ఋ ఌ ఎ ఏ ఐ ఓ ఔ క ఖ గ ఘ ఙ చ ఛ జ ఝ ఞ ట ఠ డ ఢ ణ త థ ద ధ న ప ఫ బ భ మ య ర ఱ ల ళ ఴ వ శ ష స హ ౘ ౙ ౚ ౝ ౠ ౡ ౷ ౿</t>
        </is>
      </c>
      <c r="R30" s="39" t="inlineStr">
        <is>
          <t>అ ఆ ఌ ఎ ఏ ఐ ఓ ఔ క గ ఙ జ ఝ ఞ ఠ ణ త థ ద ధ న ప ఫ ర ఱ ళ వ శ ష స ౙ ౚ ౝ ౷ ౿</t>
        </is>
      </c>
      <c r="S30" s="40" t="n"/>
      <c r="V30" s="14">
        <f>(LEN(O30)+1)/2</f>
        <v/>
      </c>
      <c r="W30" s="14">
        <f>ROUNDDOWN((LEN(P30)+1)/2,0)</f>
        <v/>
      </c>
      <c r="X30" s="14">
        <f>ROUNDDOWN((LEN(Q30)+1)/2,0)</f>
        <v/>
      </c>
      <c r="Y30" s="14">
        <f>ROUNDDOWN((LEN(R30)+1)/2,0)</f>
        <v/>
      </c>
      <c r="Z30" s="14">
        <f>ROUNDDOWN((LEN(S30)+1)/2,0)</f>
        <v/>
      </c>
      <c r="AA30" s="56" t="n">
        <v>46150.5582128856</v>
      </c>
    </row>
    <row r="31" ht="45" customHeight="1">
      <c r="B31" s="46" t="inlineStr">
        <is>
          <t>U+0C80-U+0CF3</t>
        </is>
      </c>
      <c r="C31" s="46" t="inlineStr">
        <is>
          <t>Kannada</t>
        </is>
      </c>
      <c r="D31" s="54">
        <f>HEX2DEC(MID(B31,3,FIND("-",E31)-3))</f>
        <v/>
      </c>
      <c r="E31" s="46" t="inlineStr">
        <is>
          <t>U+0C80-U+0CFF</t>
        </is>
      </c>
      <c r="F31" s="14" t="n">
        <v>3</v>
      </c>
      <c r="G31" s="14" t="n">
        <v>3</v>
      </c>
      <c r="H31" s="14" t="n">
        <v>2</v>
      </c>
      <c r="I31" s="48" t="inlineStr">
        <is>
          <t>y</t>
        </is>
      </c>
      <c r="J31" s="19">
        <f>ROUNDDOWN(W31,0)/$V31</f>
        <v/>
      </c>
      <c r="K31" s="19">
        <f>ROUNDDOWN(X31,0)/$V31</f>
        <v/>
      </c>
      <c r="L31" s="19">
        <f>ROUNDDOWN(Y31,0)/$V31</f>
        <v/>
      </c>
      <c r="M31" s="19">
        <f>ROUNDDOWN(Z31,0)/$V31</f>
        <v/>
      </c>
      <c r="N31" s="24" t="inlineStr">
        <is>
          <t>Many combined characters. Double-height.</t>
        </is>
      </c>
      <c r="O31" s="36" t="inlineStr">
        <is>
          <t>ಀ ಁ ಂ ಃ ಄ ಅ ಆ ಇ ಈ ಉ ಊ ಋ ಌ ಎ ಏ ಐ ಒ ಓ ಔ ಕ ಖ ಗ ಘ ಙ ಚ ಛ ಜ ಝ ಞ ಟ ಠ ಡ ಢ ಣ ತ ಥ ದ ಧ ನ ಪ ಫ ಬ ಭ ಮ ಯ ರ ಱ ಲ ಳ ವ ಶ ಷ ಸ ಹ ಼ ಽ ಾ ಿ ೀ ು ೂ ೃ ೄ ೆ ೇ ೈ ೊ ೋ ೌ ್ ೕ ೖ ೝ ೞ ೠ ೡ ೢ ೣ ೦ ೧ ೨ ೩ ೪ ೫ ೬ ೭ ೮ ೯ ೱ ೲ ೳ</t>
        </is>
      </c>
      <c r="P31" s="37" t="inlineStr">
        <is>
          <t>ಀ ಄ ಅ ಆ ಇ ಈ ಉ ಊ ಋ ಌ ಎ ಏ ಐ ಒ ಓ ಔ ಕ ಖ ಗ ಘ ಙ ಚ ಛ ಜ ಝ ಞ ಟ ಠ ಡ ಢ ಣ ತ ಥ ದ ಧ ನ ಪ ಫ ಬ ಭ ಮ ಯ ರ ಱ ಲ ಳ ವ ಶ ಷ ಸ ಹ ೝ ೞ ೠ ೡ ೦ ೧ ೨ ೩ ೪ ೫ ೬ ೭ ೮ ೯ ೱ ೲ</t>
        </is>
      </c>
      <c r="Q31" s="38" t="inlineStr">
        <is>
          <t>ಀ ಄ ಅ ಆ ಇ ಈ ಉ ಊ ಋ ಌ ಎ ಏ ಐ ಓ ಔ ಕ ಖ ಗ ಘ ಙ ಚ ಛ ಜ ಝ ಞ ಟ ಠ ಡ ಢ ಣ ತ ಥ ದ ಧ ನ ಪ ಫ ಬ ಭ ಮ ಯ ರ ಱ ಲ ಳ ವ ಶ ಷ ಸ ಹ ೝ ೞ ೠ ೡ ೱ ೲ</t>
        </is>
      </c>
      <c r="R31" s="39" t="inlineStr">
        <is>
          <t>ಀ ಅ ಆ ಌ ಕ ಖ ಗ ಝ ಞ ಠ ತ ಥ ದ ಧ ನ ರ ಱ ಸ ಹ ೝ ೞ ೡ</t>
        </is>
      </c>
      <c r="S31" s="40" t="n"/>
      <c r="V31" s="14">
        <f>(LEN(O31)+1)/2</f>
        <v/>
      </c>
      <c r="W31" s="14">
        <f>ROUNDDOWN((LEN(P31)+1)/2,0)</f>
        <v/>
      </c>
      <c r="X31" s="14">
        <f>ROUNDDOWN((LEN(Q31)+1)/2,0)</f>
        <v/>
      </c>
      <c r="Y31" s="14">
        <f>ROUNDDOWN((LEN(R31)+1)/2,0)</f>
        <v/>
      </c>
      <c r="Z31" s="14">
        <f>ROUNDDOWN((LEN(S31)+1)/2,0)</f>
        <v/>
      </c>
      <c r="AA31" s="56" t="n">
        <v>46150.55821341027</v>
      </c>
    </row>
    <row r="32" ht="75" customHeight="1">
      <c r="A32" s="46" t="inlineStr">
        <is>
          <t>z-wide</t>
        </is>
      </c>
      <c r="B32" s="46" t="inlineStr">
        <is>
          <t>U+0D00-U+0D7F</t>
        </is>
      </c>
      <c r="C32" s="46" t="inlineStr">
        <is>
          <t>Malayalam</t>
        </is>
      </c>
      <c r="D32" s="54">
        <f>HEX2DEC(MID(B32,3,FIND("-",E32)-3))</f>
        <v/>
      </c>
      <c r="E32" s="46" t="inlineStr">
        <is>
          <t>U+0D00-U+0D7F</t>
        </is>
      </c>
      <c r="F32" s="14" t="n">
        <v>3</v>
      </c>
      <c r="G32" s="14" t="n">
        <v>3</v>
      </c>
      <c r="H32" s="14" t="n">
        <v>2</v>
      </c>
      <c r="I32" s="48" t="inlineStr">
        <is>
          <t>y</t>
        </is>
      </c>
      <c r="J32" s="19">
        <f>ROUNDDOWN(W32,0)/$V32</f>
        <v/>
      </c>
      <c r="K32" s="19">
        <f>ROUNDDOWN(X32,0)/$V32</f>
        <v/>
      </c>
      <c r="L32" s="19">
        <f>ROUNDDOWN(Y32,0)/$V32</f>
        <v/>
      </c>
      <c r="M32" s="19">
        <f>ROUNDDOWN(Z32,0)/$V32</f>
        <v/>
      </c>
      <c r="N32" s="24" t="inlineStr">
        <is>
          <t>Many combined characters. Double-height.</t>
        </is>
      </c>
      <c r="O32" s="36" t="inlineStr">
        <is>
          <t>ഀ ഁ ം ഃ ഄ അ ആ ഇ ഈ ഉ ഊ ഋ ഌ എ ഏ ഐ ഒ ഓ ഔ ക ഖ ഗ ഘ ങ ച ഛ ജ ഝ ഞ ട ഠ ഡ ഢ ണ ത ഥ ദ ധ ന ഩ പ ഫ ബ ഭ മ യ ര റ ല ള ഴ വ ശ ഷ സ ഹ ഺ ഻ ഼ ഽ ാ ി ീ ു ൂ ൃ ൄ െ േ ൈ ൊ ോ ൌ ് ൎ ൏ ൔ ൕ ൖ ൗ ൘ ൙ ൚ ൛ ൜ ൝ ൞ ൟ ൠ ൡ ൢ ൣ ൦ ൧ ൨ ൩ ൪ ൫ ൬ ൭ ൮ ൯ ൰ ൱ ൲ ൳ ൴ ൵ ൶ ൷ ൸ ൹ ൺ ൻ ർ ൽ ൾ ൿ</t>
        </is>
      </c>
      <c r="P32" s="37" t="inlineStr">
        <is>
          <t>അ ആ ഇ ഈ ഉ ഊ ഋ ഌ എ ഏ ഐ ഒ ഓ ഔ ക ഖ ഗ ഘ ങ ച ഛ ജ ഝ ഞ ട ഠ ഡ ഢ ണ ത ഥ ദ ധ ന ഩ പ ഫ ബ ഭ മ യ ര റ ല ള ഴ വ ശ ഷ സ ഹ ഺ ൏ ൔ ൕ ൖ ൘ ൙ ൚ ൛ ൜ ൝ ൞ ൟ ൠ ൡ ൦ ൧ ൨ ൩ ൪ ൫ ൬ ൭ ൮ ൯ ൰ ൱ ൲ ൳ ൴ ൵ ൶ ൷ ൸ ൹ ൺ ൻ ർ ൽ ൾ ൿ</t>
        </is>
      </c>
      <c r="Q32" s="38" t="inlineStr">
        <is>
          <t>അ ആ ഇ ഈ ഉ ഊ ഋ ഌ എ ഏ ഐ ഓ ഔ ക ഖ ഗ ഘ ങ ച ഛ ജ ഝ ഞ ട ഠ ഡ ഢ ണ ത ഥ ദ ധ ന ഩ പ ഫ ബ ഭ മ യ ര റ ല ള ഴ വ ശ ഷ സ ഹ ഺ ൏ ൔ ൕ ൖ ൟ ൠ ൡ ൹ ൺ ൻ ർ ൽ ൾ ൿ</t>
        </is>
      </c>
      <c r="R32" s="39" t="inlineStr">
        <is>
          <t>ഉ ഋ ഌ ക ച ഛ ഡ ഢ ത ദ ധ ന ഩ ഭ മ യ ര റ ല ള ഴ ശ ഺ ൔ ൕ ൻ ർ ൾ</t>
        </is>
      </c>
      <c r="S32" s="40" t="n"/>
      <c r="V32" s="14">
        <f>(LEN(O32)+1)/2</f>
        <v/>
      </c>
      <c r="W32" s="14">
        <f>ROUNDDOWN((LEN(P32)+1)/2,0)</f>
        <v/>
      </c>
      <c r="X32" s="14">
        <f>ROUNDDOWN((LEN(Q32)+1)/2,0)</f>
        <v/>
      </c>
      <c r="Y32" s="14">
        <f>ROUNDDOWN((LEN(R32)+1)/2,0)</f>
        <v/>
      </c>
      <c r="Z32" s="14">
        <f>ROUNDDOWN((LEN(S32)+1)/2,0)</f>
        <v/>
      </c>
      <c r="AA32" s="56" t="n">
        <v>46150.55821398059</v>
      </c>
    </row>
    <row r="33" ht="45" customHeight="1">
      <c r="A33" s="46" t="inlineStr">
        <is>
          <t>z-wide</t>
        </is>
      </c>
      <c r="B33" s="46" t="inlineStr">
        <is>
          <t>U+0D81-U+0DF4</t>
        </is>
      </c>
      <c r="C33" s="46" t="inlineStr">
        <is>
          <t>Sinhala</t>
        </is>
      </c>
      <c r="D33" s="54">
        <f>HEX2DEC(MID(B33,3,FIND("-",E33)-3))</f>
        <v/>
      </c>
      <c r="E33" s="46" t="inlineStr">
        <is>
          <t>U+0D80-U+0DFF</t>
        </is>
      </c>
      <c r="F33" s="14" t="n">
        <v>3</v>
      </c>
      <c r="G33" s="14" t="n">
        <v>3</v>
      </c>
      <c r="H33" s="14" t="n">
        <v>0</v>
      </c>
      <c r="I33" s="48" t="inlineStr">
        <is>
          <t>n</t>
        </is>
      </c>
      <c r="J33" s="19">
        <f>ROUNDDOWN(W33,0)/$V33</f>
        <v/>
      </c>
      <c r="K33" s="19">
        <f>ROUNDDOWN(X33,0)/$V33</f>
        <v/>
      </c>
      <c r="L33" s="19">
        <f>ROUNDDOWN(Y33,0)/$V33</f>
        <v/>
      </c>
      <c r="M33" s="19">
        <f>ROUNDDOWN(Z33,0)/$V33</f>
        <v/>
      </c>
      <c r="N33" s="24" t="inlineStr">
        <is>
          <t>Many combined characters. Double-height.</t>
        </is>
      </c>
      <c r="O33" s="36" t="inlineStr">
        <is>
          <t>ඁ ං ඃ අ ආ ඇ ඈ ඉ ඊ උ ඌ ඍ ඎ ඏ ඐ එ ඒ ඓ ඔ ඕ ඖ ක ඛ ග ඝ ඞ ඟ ච ඡ ජ ඣ ඤ ඥ ඦ ට ඨ ඩ ඪ ණ ඬ ත ථ ද ධ න ඳ ප ඵ බ භ ම ඹ ය ර ල ව ශ ෂ ස හ ළ ෆ ් ා ැ ෑ ි ී ු ූ ෘ ෙ ේ ෛ ො ෝ ෞ ෟ ෦ ෧ ෨ ෩ ෪ ෫ ෬ ෭ ෮ ෯ ෲ ෳ ෴</t>
        </is>
      </c>
      <c r="P33" s="37" t="inlineStr">
        <is>
          <t>අ ආ ඇ ඈ ඉ ඊ උ ඌ ඍ ඎ ඏ ඐ එ ඒ ඓ ඔ ඕ ඖ ක ඛ ග ඝ ඞ ඟ ච ඡ ජ ඣ ඤ ඥ ඦ ට ඨ ඩ ඪ ණ ඬ ත ථ ද ධ න ඳ ප ඵ බ භ ම ඹ ය ර ල ව ශ ෂ ස හ ළ ෆ ෦ ෧ ෨ ෩ ෪ ෫ ෬ ෭ ෮ ෯ ෴</t>
        </is>
      </c>
      <c r="Q33" s="38" t="inlineStr">
        <is>
          <t>අ ආ ඇ ඈ ඉ ඊ උ ඌ ඍ ඎ ඏ ඐ එ ඒ ඓ ඔ ඕ ඖ ක ඛ ග ඝ ඞ ඟ ච ඡ ජ ඣ ඤ ඥ ඦ ට ඨ ඩ ඪ ණ ඬ ත ථ ද ධ න ඳ ප ඵ බ භ ම ඹ ය ර ල ව ශ ෂ ස හ ළ ෆ ෴</t>
        </is>
      </c>
      <c r="R33" s="43" t="inlineStr">
        <is>
          <t>අ ඉ ඊ උ එ ඒ ඛ ච ජ ට ඩ ඬ ද ධ ඳ ප ඵ බ ම ඹ ය ර ල ෂ ෆ</t>
        </is>
      </c>
      <c r="S33" s="40" t="n"/>
      <c r="V33" s="14">
        <f>(LEN(O33)+1)/2</f>
        <v/>
      </c>
      <c r="W33" s="14">
        <f>ROUNDDOWN((LEN(P33)+1)/2,0)</f>
        <v/>
      </c>
      <c r="X33" s="14">
        <f>ROUNDDOWN((LEN(Q33)+1)/2,0)</f>
        <v/>
      </c>
      <c r="Y33" s="14">
        <f>ROUNDDOWN((LEN(R33)+1)/2,0)</f>
        <v/>
      </c>
      <c r="Z33" s="14">
        <f>ROUNDDOWN((LEN(S33)+1)/2,0)</f>
        <v/>
      </c>
      <c r="AA33" s="56" t="n">
        <v>46150.55821452824</v>
      </c>
    </row>
    <row r="34" ht="33" customHeight="1">
      <c r="B34" s="46" t="inlineStr">
        <is>
          <t>U+0E01-U+0E5B</t>
        </is>
      </c>
      <c r="C34" s="46" t="inlineStr">
        <is>
          <t>Thai</t>
        </is>
      </c>
      <c r="D34" s="54">
        <f>HEX2DEC(MID(B34,3,FIND("-",E34)-3))</f>
        <v/>
      </c>
      <c r="E34" s="46" t="inlineStr">
        <is>
          <t>U+0E00-U+0E7F</t>
        </is>
      </c>
      <c r="F34" s="14" t="n">
        <v>3</v>
      </c>
      <c r="G34" s="14" t="n">
        <v>3</v>
      </c>
      <c r="H34" s="14" t="n">
        <v>2</v>
      </c>
      <c r="I34" s="48" t="inlineStr">
        <is>
          <t>y</t>
        </is>
      </c>
      <c r="J34" s="19">
        <f>ROUNDDOWN(W34,0)/$V34</f>
        <v/>
      </c>
      <c r="K34" s="19">
        <f>ROUNDDOWN(X34,0)/$V34</f>
        <v/>
      </c>
      <c r="L34" s="19">
        <f>ROUNDDOWN(Y34,0)/$V34</f>
        <v/>
      </c>
      <c r="M34" s="19">
        <f>ROUNDDOWN(Z34,0)/$V34</f>
        <v/>
      </c>
      <c r="N34" s="24" t="inlineStr">
        <is>
          <t>Many combined characters. Double-height.</t>
        </is>
      </c>
      <c r="O34" s="36" t="inlineStr">
        <is>
          <t>ก ข ฃ ค ฅ ฆ ง จ ฉ ช ซ ฌ ญ ฎ ฏ ฐ ฑ ฒ ณ ด ต ถ ท ธ น บ ป ผ ฝ พ ฟ ภ ม ย ร ฤ ล ฦ ว ศ ษ ส ห ฬ อ ฮ ฯ ะ ั า ำ ิ ี ึ ื ุ ู ฺ ฿ เ แ โ ใ ไ ๅ ๆ ็ ่ ้ ๊ ๋ ์ ํ ๎ ๏ ๐ ๑ ๒ ๓ ๔ ๕ ๖ ๗ ๘ ๙ ๚ ๛</t>
        </is>
      </c>
      <c r="P34" s="37" t="inlineStr">
        <is>
          <t>ก ข ฃ ค ฅ ฆ ง จ ฉ ช ซ ฌ ญ ฎ ฏ ฐ ฑ ฒ ณ ด ต ถ ท ธ น บ ป ผ ฝ พ ฟ ภ ม ย ร ฤ ล ฦ ว ศ ษ ส ห ฬ อ ฮ ฯ ะ า ำ ฿ เ แ โ ใ ไ ๅ ๆ ๏ ๐ ๑ ๒ ๓ ๔ ๕ ๖ ๗ ๘ ๙ ๚ ๛</t>
        </is>
      </c>
      <c r="Q34" s="38" t="inlineStr">
        <is>
          <t>ก ข ฃ ค ฅ ฆ ง จ ฉ ช ซ ฌ ญ ฎ ฏ ฐ ฑ ฒ ณ ด ต ถ ท ธ น บ ป ผ ฝ พ ฟ ภ ม ย ร ฤ ล ฦ ว ศ ษ ส ห ฬ อ ฮ ฯ ะ า ฿ เ โ ใ ไ ๅ ๆ ๏ ๚ ๛</t>
        </is>
      </c>
      <c r="R34" s="39" t="inlineStr">
        <is>
          <t>ก ข ฃ ค ฅ ฆ ง จ ฉ ช ซ ฌ ญ ฎ ฏ ฐ ฑ ฒ ณ ด ต ถ ท ธ น บ ป ผ ฝ พ ฟ ภ ม ย ร ฤ ล ฦ ว ศ ษ ส ห ฬ อ ฮ ฯ ะ า ฿ เ โ ใ ไ ๅ ๆ ๏</t>
        </is>
      </c>
      <c r="S34" s="40" t="n"/>
      <c r="V34" s="14">
        <f>(LEN(O34)+1)/2</f>
        <v/>
      </c>
      <c r="W34" s="14">
        <f>ROUNDDOWN((LEN(P34)+1)/2,0)</f>
        <v/>
      </c>
      <c r="X34" s="14">
        <f>ROUNDDOWN((LEN(Q34)+1)/2,0)</f>
        <v/>
      </c>
      <c r="Y34" s="14">
        <f>ROUNDDOWN((LEN(R34)+1)/2,0)</f>
        <v/>
      </c>
      <c r="Z34" s="14">
        <f>ROUNDDOWN((LEN(S34)+1)/2,0)</f>
        <v/>
      </c>
      <c r="AA34" s="56" t="n">
        <v>46150.55821505367</v>
      </c>
    </row>
    <row r="35" ht="30" customHeight="1">
      <c r="B35" s="46" t="inlineStr">
        <is>
          <t>U+0E81-U+0EDF</t>
        </is>
      </c>
      <c r="C35" s="46" t="inlineStr">
        <is>
          <t>Lao</t>
        </is>
      </c>
      <c r="D35" s="54">
        <f>HEX2DEC(MID(B35,3,FIND("-",E35)-3))</f>
        <v/>
      </c>
      <c r="E35" s="46" t="inlineStr">
        <is>
          <t>U+0E80-U+0EFF</t>
        </is>
      </c>
      <c r="F35" s="14" t="n">
        <v>3</v>
      </c>
      <c r="G35" s="14" t="n">
        <v>0</v>
      </c>
      <c r="H35" s="14" t="n">
        <v>1</v>
      </c>
      <c r="I35" s="48" t="inlineStr">
        <is>
          <t>y</t>
        </is>
      </c>
      <c r="J35" s="19">
        <f>ROUNDDOWN(W35,0)/$V35</f>
        <v/>
      </c>
      <c r="K35" s="19">
        <f>ROUNDDOWN(X35,0)/$V35</f>
        <v/>
      </c>
      <c r="L35" s="19">
        <f>ROUNDDOWN(Y35,0)/$V35</f>
        <v/>
      </c>
      <c r="M35" s="19">
        <f>ROUNDDOWN(Z35,0)/$V35</f>
        <v/>
      </c>
      <c r="N35" s="24" t="inlineStr">
        <is>
          <t>Many combined characters. Double-height.</t>
        </is>
      </c>
      <c r="O35" s="36" t="inlineStr">
        <is>
          <t>ກ ຂ ຄ ຆ ງ ຈ ຉ ຊ ຌ ຍ ຎ ຏ ຐ ຑ ຒ ຓ ດ ຕ ຖ ທ ຘ ນ ບ ປ ຜ ຝ ພ ຟ ຠ ມ ຢ ຣ ລ ວ ຨ ຩ ສ ຫ ຬ ອ ຮ ຯ ະ ັ າ ຳ ິ ີ ຶ ື ຸ ູ ຺ ົ ຼ ຽ ເ ແ ໂ ໃ ໄ ໆ ່ ້ ໊ ໋ ໌ ໍ ໎ ໐ ໑ ໒ ໓ ໔ ໕ ໖ ໗ ໘ ໙ ໜ ໝ ໞ ໟ</t>
        </is>
      </c>
      <c r="P35" s="37" t="inlineStr">
        <is>
          <t>ກ ຂ ຄ ຆ ງ ຈ ຉ ຊ ຌ ຍ ຎ ຏ ຐ ຑ ຒ ຓ ດ ຕ ຖ ທ ຘ ນ ບ ປ ຜ ຝ ພ ຟ ຠ ມ ຢ ຣ ລ ວ ຨ ຩ ສ ຫ ຬ ອ ຮ ຯ ໆ ໐ ໑ ໒ ໓ ໔ ໕ ໖ ໗ ໘ ໙ ໜ ໝ ໞ ໟ</t>
        </is>
      </c>
      <c r="Q35" s="38" t="inlineStr">
        <is>
          <t>ກ ຂ ຄ ຆ ງ ຈ ຉ ຊ ຌ ຍ ຎ ຏ ຐ ຑ ຒ ຓ ດ ຕ ຖ ທ ຘ ນ ບ ປ ຜ ຝ ພ ຟ ຠ ມ ຢ ຣ ລ ວ ຨ ຩ ສ ຫ ຬ ຮ ໆ ໞ ໟ</t>
        </is>
      </c>
      <c r="R35" s="39" t="inlineStr">
        <is>
          <t>ກ ຂ ຄ ຆ ງ ຈ ຉ ຊ ຌ ຍ ຎ ຏ ຐ ຑ ຒ ຓ ດ ຕ ຖ ທ ຘ ນ ບ ປ ຜ ຝ ພ ຟ ຠ ມ ຢ ຣ ລ ວ ຨ ຩ ສ ຫ ຬ ຮ ໆ ໞ ໟ</t>
        </is>
      </c>
      <c r="S35" s="40" t="n"/>
      <c r="V35" s="14">
        <f>(LEN(O35)+1)/2</f>
        <v/>
      </c>
      <c r="W35" s="14">
        <f>ROUNDDOWN((LEN(P35)+1)/2,0)</f>
        <v/>
      </c>
      <c r="X35" s="14">
        <f>ROUNDDOWN((LEN(Q35)+1)/2,0)</f>
        <v/>
      </c>
      <c r="Y35" s="14">
        <f>ROUNDDOWN((LEN(R35)+1)/2,0)</f>
        <v/>
      </c>
      <c r="Z35" s="14">
        <f>ROUNDDOWN((LEN(S35)+1)/2,0)</f>
        <v/>
      </c>
      <c r="AA35" s="56" t="n">
        <v>46150.55821555686</v>
      </c>
    </row>
    <row r="36" ht="51" customHeight="1">
      <c r="B36" s="46" t="inlineStr">
        <is>
          <t>U+0F00-U+0FDA</t>
        </is>
      </c>
      <c r="C36" s="46" t="inlineStr">
        <is>
          <t>Tibetan</t>
        </is>
      </c>
      <c r="D36" s="54">
        <f>HEX2DEC(MID(B36,3,FIND("-",E36)-3))</f>
        <v/>
      </c>
      <c r="E36" s="46" t="inlineStr">
        <is>
          <t>U+0F00-U+0FFF</t>
        </is>
      </c>
      <c r="F36" s="14" t="n">
        <v>3</v>
      </c>
      <c r="G36" s="14" t="n">
        <v>3</v>
      </c>
      <c r="H36" s="14" t="n">
        <v>4</v>
      </c>
      <c r="I36" s="48" t="inlineStr">
        <is>
          <t>y</t>
        </is>
      </c>
      <c r="J36" s="19">
        <f>ROUNDDOWN(W36,0)/$V36</f>
        <v/>
      </c>
      <c r="K36" s="19">
        <f>ROUNDDOWN(X36,0)/$V36</f>
        <v/>
      </c>
      <c r="L36" s="19">
        <f>ROUNDDOWN(Y36,0)/$V36</f>
        <v/>
      </c>
      <c r="M36" s="19">
        <f>ROUNDDOWN(Z36,0)/$V36</f>
        <v/>
      </c>
      <c r="N36" s="24" t="inlineStr">
        <is>
          <t>Many combined characters. Double-height.</t>
        </is>
      </c>
      <c r="O36" s="36" t="inlineStr">
        <is>
          <t>ༀ ༁ ༂ ༃ ༄ ༅ ༆ ༇ ༈ ༉ ༊ ་ ༌ ། ༎ ༏ ༐ ༑ ༒ ༓ ༔ ༕ ༖ ༗ ༘ ༙ ༚ ༛ ༜ ༝ ༞ ༟ ༠ ༡ ༢ ༣ ༤ ༥ ༦ ༧ ༨ ༩ ༪ ༫ ༬ ༭ ༮ ༯ ༰ ༱ ༲ ༳ ༴ ༵ ༶ ༷ ༸ ༹ ༺ ༻ ༼ ༽ ༾ ༿ ཀ ཁ ག གྷ ང ཅ ཆ ཇ ཉ ཊ ཋ ཌ ཌྷ ཎ ཏ ཐ ད དྷ ན པ ཕ བ བྷ མ ཙ ཚ ཛ ཛྷ ཝ ཞ ཟ འ ཡ ར ལ ཤ ཥ ས ཧ ཨ ཀྵ ཪ ཫ ཬ ཱ ི ཱི ུ ཱུ ྲྀ ཷ ླྀ ཹ ེ ཻ ོ ཽ ཾ ཿ ྀ ཱྀ ྂ ྃ ྄ ྅ ྆ ྇ ྈ ྉ ྊ ྋ ྌ ྍ ྎ ྏ ྐ ྑ ྒ ྒྷ ྔ ྕ ྖ ྗ ྙ ྚ ྛ ྜ ྜྷ ྞ ྟ ྠ ྡ ྡྷ ྣ ྤ ྥ ྦ ྦྷ ྨ ྩ ྪ ྫ ྫྷ ྭ ྮ ྯ ྰ ྱ ྲ ླ ྴ ྵ ྶ ྷ ྸ ྐྵ ྺ ྻ ྼ ྾ ྿ ࿀ ࿁ ࿂ ࿃ ࿄ ࿅ ࿆ ࿇ ࿈ ࿉ ࿊ ࿋ ࿌ ࿎ ࿏ ࿐ ࿑ ࿒ ࿓ ࿔ ࿕ ࿖ ࿗ ࿘ ࿙ ࿚</t>
        </is>
      </c>
      <c r="P36" s="37" t="inlineStr">
        <is>
          <t>ༀ ༁ ༂ ༃ ༄ ༅ ༆ ༇ ༈ ༉ ༊ ་ ༌ ། ༎ ༏ ༐ ༑ ༒ ༓ ༔ ༕ ༖ ༗ ༚ ༛ ༜ ༝ ༞ ༟ ༠ ༡ ༢ ༣ ༤ ༥ ༦ ༧ ༨ ༩ ༪ ༫ ༬ ༭ ༮ ༯ ༰ ༱ ༲ ༳ ༴ ༶ ༸ ༺ ༻ ༼ ༽ ཀ ཁ ག ང ཅ ཆ ཇ ཉ ཊ ཋ ཌ ཎ ཏ ཐ ད ན པ ཕ བ མ ཙ ཚ ཛ ཝ ཞ ཟ འ ཡ ར ལ ཤ ཥ ས ཧ ཨ ཪ ཫ ཬ ྅ ྈ ྉ ྊ ྋ ྌ ྾ ྿ ࿀ ࿁ ࿂ ࿃ ࿄ ࿅ ࿇ ࿈ ࿉ ࿊ ࿋ ࿌ ࿎ ࿏ ࿐ ࿑ ࿒ ࿓ ࿔ ࿕ ࿖ ࿗ ࿘ ࿙ ࿚</t>
        </is>
      </c>
      <c r="Q36" s="38" t="inlineStr">
        <is>
          <t>ༀ ༁ ༂ ༃ ༄ ༅ ༆ ༇ ༈ ༉ ༊ ་ ༌ ། ༎ ༏ ༐ ༑ ༒ ༓ ༔ ༕ ༖ ༗ ༚ ༛ ༜ ༝ ༞ ༟ ༴ ༶ ༸ ༺ ༻ ༼ ༽ ཀ ཁ ག ང ཅ ཆ ཇ ཉ ཊ ཋ ཌ ཎ ཏ ཐ ད ན པ ཕ བ མ ཙ ཚ ཛ ཝ ཞ ཟ འ ཡ ར ལ ཤ ཥ ས ཧ ཨ ཪ ཫ ཬ ྅ ྈ ྉ ྊ ྋ ྌ ྾ ྿ ࿀ ࿂ ࿃ ࿄ ࿅ ࿇ ࿈ ࿉ ࿊ ࿋ ࿌ ࿎ ࿏ ࿐ ࿑ ࿒ ࿓ ࿔ ࿕ ࿙ ࿚</t>
        </is>
      </c>
      <c r="R36" s="39" t="inlineStr">
        <is>
          <t>ༀ ༁ ༄ ༅ ༆ ༈ ༉ ༊ ། ༏ ༐ ༑ ༒ ༔ ༕ ༚ ༜ ༴ ༶ ༼ ༽ ཀ ཁ ག ང ཅ ཆ ཇ ཉ ཊ ཋ ཌ ཎ ཏ ཐ ད ན པ ཕ བ མ ཙ ཚ ཛ ཝ ཞ ཟ འ ཡ ར ལ ཤ ཥ ས ཧ ཨ ཪ ཫ ཬ ྅ ྊ ྋ ྾ ྿ ࿀ ࿂ ࿃ ࿄ ࿅ ࿈ ࿉ ࿏ ࿑ ࿓ ࿔</t>
        </is>
      </c>
      <c r="S36" s="40" t="n"/>
      <c r="V36" s="14">
        <f>(LEN(O36)+1)/2</f>
        <v/>
      </c>
      <c r="W36" s="14">
        <f>ROUNDDOWN((LEN(P36)+1)/2,0)</f>
        <v/>
      </c>
      <c r="X36" s="14">
        <f>ROUNDDOWN((LEN(Q36)+1)/2,0)</f>
        <v/>
      </c>
      <c r="Y36" s="14">
        <f>ROUNDDOWN((LEN(R36)+1)/2,0)</f>
        <v/>
      </c>
      <c r="Z36" s="14">
        <f>ROUNDDOWN((LEN(S36)+1)/2,0)</f>
        <v/>
      </c>
      <c r="AA36" s="56" t="n">
        <v>46150.55821637863</v>
      </c>
    </row>
    <row r="37" ht="63.75" customHeight="1">
      <c r="A37" s="46" t="inlineStr">
        <is>
          <t>z-Bitmapped</t>
        </is>
      </c>
      <c r="B37" s="46" t="inlineStr">
        <is>
          <t>U+1000-U+109F</t>
        </is>
      </c>
      <c r="C37" s="46" t="inlineStr">
        <is>
          <t>Myanmar</t>
        </is>
      </c>
      <c r="D37" s="54">
        <f>HEX2DEC(MID(B37,3,FIND("-",E37)-3))</f>
        <v/>
      </c>
      <c r="E37" s="46" t="inlineStr">
        <is>
          <t>U+1000-U+109F</t>
        </is>
      </c>
      <c r="F37" s="14" t="n">
        <v>3</v>
      </c>
      <c r="G37" s="14" t="n">
        <v>0</v>
      </c>
      <c r="H37" s="14" t="n">
        <v>0</v>
      </c>
      <c r="I37" s="48" t="inlineStr">
        <is>
          <t>n</t>
        </is>
      </c>
      <c r="J37" s="19">
        <f>ROUNDDOWN(W37,0)/$V37</f>
        <v/>
      </c>
      <c r="K37" s="19">
        <f>ROUNDDOWN(X37,0)/$V37</f>
        <v/>
      </c>
      <c r="L37" s="19">
        <f>ROUNDDOWN(Y37,0)/$V37</f>
        <v/>
      </c>
      <c r="M37" s="19">
        <f>ROUNDDOWN(Z37,0)/$V37</f>
        <v/>
      </c>
      <c r="N37" s="24" t="inlineStr">
        <is>
          <t>Font rendering issues (bitmapped font?). Double-height.</t>
        </is>
      </c>
      <c r="O37" s="36" t="inlineStr">
        <is>
          <t>က ခ ဂ ဃ င စ ဆ ဇ ဈ ဉ ည ဋ ဌ ဍ ဎ ဏ တ ထ ဒ ဓ န ပ ဖ ဗ ဘ မ ယ ရ လ ဝ သ ဟ ဠ အ ဢ ဣ ဤ ဥ ဦ ဧ ဨ ဩ ဪ ါ ာ ိ ီ ု ူ ေ ဲ ဳ ဴ ဵ ံ ့ း ္ ် ျ ြ ွ ှ ဿ ၀ ၁ ၂ ၃ ၄ ၅ ၆ ၇ ၈ ၉ ၊ ။ ၌ ၍ ၎ ၏ ၐ ၑ ၒ ၓ ၔ ၕ ၖ ၗ ၘ ၙ ၚ ၛ ၜ ၝ ၞ ၟ ၠ ၡ ၢ ၣ ၤ ၥ ၦ ၧ ၨ ၩ ၪ ၫ ၬ ၭ ၮ ၯ ၰ ၱ ၲ ၳ ၴ ၵ ၶ ၷ ၸ ၹ ၺ ၻ ၼ ၽ ၾ ၿ ႀ ႁ ႂ ႃ ႄ ႅ ႆ ႇ ႈ ႉ ႊ ႋ ႌ ႍ ႎ ႏ ႐ ႑ ႒ ႓ ႔ ႕ ႖ ႗ ႘ ႙ ႚ ႛ ႜ ႝ ႞ ႟</t>
        </is>
      </c>
      <c r="P37" s="37" t="inlineStr">
        <is>
          <t>က ခ ဂ ဃ င စ ဆ ဇ ဈ ဉ ည ဋ ဌ ဍ ဎ ဏ တ ထ ဒ ဓ န ပ ဖ ဗ ဘ မ ယ ရ လ ဝ သ ဟ ဠ အ ဢ ဣ ဤ ဥ ဦ ဧ ဨ ဩ ဪ ဿ ၀ ၁ ၂ ၃ ၄ ၅ ၆ ၇ ၈ ၉ ၊ ။ ၌ ၍ ၎ ၏ ၐ ၑ ၒ ၓ ၔ ၕ ၚ ၛ ၜ ၝ ၡ ၥ ၦ ၮ ၯ ၰ ၵ ၶ ၷ ၸ ၹ ၺ ၻ ၼ ၽ ၾ ၿ ႀ ႁ ႎ ႐ ႑ ႒ ႓ ႔ ႕ ႖ ႗ ႘ ႙ ႞ ႟</t>
        </is>
      </c>
      <c r="Q37" s="38" t="inlineStr">
        <is>
          <t>က ခ ဂ ဃ င စ ဆ ဇ ဈ ဉ ည ဋ ဌ ဍ ဎ ဏ တ ထ ဒ ဓ န ပ ဖ ဗ ဘ မ ယ ရ လ ဝ သ ဟ ဠ အ ဢ ဣ ဤ ဥ ဧ ဨ ဪ ဿ ၊ ။ ၌ ၍ ၎ ၏ ၐ ၑ ၒ ၓ ၔ ၕ ၚ ၛ ၜ ၝ ၡ ၥ ၦ ၮ ၯ ၰ ၵ ၶ ၷ ၸ ၹ ၺ ၻ ၼ ၽ ၾ ၿ ႀ ႁ ႎ ႞ ႟</t>
        </is>
      </c>
      <c r="R37" s="43" t="inlineStr">
        <is>
          <t>ဌ ဒ ဠ ဥ ဧ ၊ ၌ ၍ ၎ ၏ ႞ ႟</t>
        </is>
      </c>
      <c r="S37" s="40" t="n"/>
      <c r="V37" s="14">
        <f>(LEN(O37)+1)/2</f>
        <v/>
      </c>
      <c r="W37" s="14">
        <f>ROUNDDOWN((LEN(P37)+1)/2,0)</f>
        <v/>
      </c>
      <c r="X37" s="14">
        <f>ROUNDDOWN((LEN(Q37)+1)/2,0)</f>
        <v/>
      </c>
      <c r="Y37" s="14">
        <f>ROUNDDOWN((LEN(R37)+1)/2,0)</f>
        <v/>
      </c>
      <c r="Z37" s="14">
        <f>ROUNDDOWN((LEN(S37)+1)/2,0)</f>
        <v/>
      </c>
      <c r="AA37" s="56" t="n">
        <v>46150.55821702268</v>
      </c>
    </row>
    <row r="38" ht="45" customHeight="1">
      <c r="B38" s="46" t="inlineStr">
        <is>
          <t>U+10A0-U+10FF</t>
        </is>
      </c>
      <c r="C38" s="46" t="inlineStr">
        <is>
          <t>Georgian</t>
        </is>
      </c>
      <c r="D38" s="54">
        <f>HEX2DEC(MID(B38,3,FIND("-",E38)-3))</f>
        <v/>
      </c>
      <c r="E38" s="46" t="inlineStr">
        <is>
          <t>U+10A0-U+10FF</t>
        </is>
      </c>
      <c r="F38" s="14" t="n">
        <v>3</v>
      </c>
      <c r="G38" s="14" t="n">
        <v>3</v>
      </c>
      <c r="H38" s="14" t="n">
        <v>3</v>
      </c>
      <c r="I38" s="48" t="inlineStr">
        <is>
          <t>y</t>
        </is>
      </c>
      <c r="J38" s="19">
        <f>ROUNDDOWN(W38,0)/$V38</f>
        <v/>
      </c>
      <c r="K38" s="19">
        <f>ROUNDDOWN(X38,0)/$V38</f>
        <v/>
      </c>
      <c r="L38" s="19">
        <f>ROUNDDOWN(Y38,0)/$V38</f>
        <v/>
      </c>
      <c r="M38" s="19">
        <f>ROUNDDOWN(Z38,0)/$V38</f>
        <v/>
      </c>
      <c r="O38" s="36" t="inlineStr">
        <is>
          <t>Ⴀ Ⴁ Ⴂ Ⴃ Ⴄ Ⴅ Ⴆ Ⴇ Ⴈ Ⴉ Ⴊ Ⴋ Ⴌ Ⴍ Ⴎ Ⴏ Ⴐ Ⴑ Ⴒ Ⴓ Ⴔ Ⴕ Ⴖ Ⴗ Ⴘ Ⴙ Ⴚ Ⴛ Ⴜ Ⴝ Ⴞ Ⴟ Ⴠ Ⴡ Ⴢ Ⴣ Ⴤ Ⴥ Ⴧ Ⴭ ა ბ გ დ ე ვ ზ თ ი კ ლ მ ნ ო პ ჟ რ ს ტ უ ფ ქ ღ ყ შ ჩ ც ძ წ ჭ ხ ჯ ჰ ჱ ჲ ჳ ჴ ჵ ჶ ჷ ჸ ჹ ჺ ჻ ჼ ჽ ჾ ჿ</t>
        </is>
      </c>
      <c r="P38" s="37" t="inlineStr">
        <is>
          <t>Ⴀ Ⴁ Ⴂ Ⴃ Ⴄ Ⴅ Ⴆ Ⴇ Ⴈ Ⴉ Ⴊ Ⴋ Ⴌ Ⴍ Ⴎ Ⴏ Ⴐ Ⴑ Ⴒ Ⴓ Ⴔ Ⴕ Ⴖ Ⴗ Ⴘ Ⴙ Ⴚ Ⴛ Ⴜ Ⴝ Ⴞ Ⴟ Ⴠ Ⴡ Ⴢ Ⴣ Ⴤ Ⴥ Ⴧ Ⴭ ა ბ გ დ ე ვ ზ თ ი კ ლ მ ნ ო პ ჟ რ ს ტ უ ფ ქ ღ ყ შ ჩ ც ძ წ ჭ ხ ჯ ჰ ჱ ჲ ჳ ჴ ჵ ჶ ჷ ჸ ჹ ჺ ჻ ჼ ჽ ჾ ჿ</t>
        </is>
      </c>
      <c r="Q38" s="38" t="inlineStr">
        <is>
          <t>ა ბ გ დ ე ვ ზ თ ი კ ლ მ ნ ო პ ჟ რ ს ტ უ ფ ქ ღ ყ შ ჩ ც ძ წ ჭ ხ ჯ ჰ ჱ ჲ ჳ ჴ ჵ ჶ ჷ ჸ ჹ ჺ ჻ ჼ ჽ ჾ ჿ</t>
        </is>
      </c>
      <c r="R38" s="39" t="inlineStr">
        <is>
          <t>ა ბ გ დ ე ვ ზ თ ი კ ლ მ ნ ო პ ჟ რ ს ტ უ ფ ქ ღ შ ჩ ც ძ წ ჭ ხ ჯ ჰ ჱ ჲ ჳ ჴ ჵ ჶ ჷ ჸ ჹ ჺ ჼ ჽ ჾ</t>
        </is>
      </c>
      <c r="S38" s="40" t="n"/>
      <c r="T38" s="41" t="inlineStr">
        <is>
          <t>Ⴀ Ⴁ Ⴂ Ⴃ Ⴄ Ⴅ Ⴆ Ⴇ Ⴈ Ⴉ Ⴊ Ⴋ Ⴌ Ⴍ Ⴎ Ⴏ Ⴐ Ⴑ Ⴒ Ⴓ Ⴔ Ⴕ Ⴖ Ⴗ Ⴘ Ⴙ Ⴚ Ⴛ Ⴜ Ⴝ Ⴞ Ⴟ Ⴠ Ⴡ Ⴢ Ⴣ Ⴤ Ⴥ Ⴧ Ⴭ ა ბ გ დ ე ვ ზ თ ი კ ლ მ ნ ო პ ჟ რ ს ტ უ ფ ქ ღ ყ შ ჩ ც ძ წ ჭ ხ ჯ ჰ ჱ ჲ ჳ ჴ ჵ ჶ ჷ ჸ ჹ ჺ ჻ ჼ ჽ ჾ ჿ</t>
        </is>
      </c>
      <c r="U38" s="42" t="inlineStr">
        <is>
          <t>Ⴀ Ⴁ Ⴂ Ⴃ Ⴄ Ⴅ Ⴆ Ⴇ Ⴈ Ⴉ Ⴊ Ⴋ Ⴌ Ⴍ Ⴎ Ⴏ Ⴐ Ⴑ Ⴒ Ⴓ Ⴔ Ⴕ Ⴖ Ⴗ Ⴘ Ⴙ Ⴚ Ⴛ Ⴜ Ⴝ Ⴞ Ⴟ Ⴠ Ⴡ Ⴢ Ⴣ Ⴤ Ⴥ Ⴧ Ⴭ ა ბ გ დ ე ვ ზ თ ი კ ლ მ ნ ო პ ჟ რ ს ტ უ ფ ქ ღ ყ შ ჩ ც ძ წ ჭ ხ ჯ ჰ ჱ ჲ ჳ ჴ ჵ ჶ ჷ ჸ ჹ ჺ ჻ ჼ ჽ ჾ ჿ</t>
        </is>
      </c>
      <c r="V38" s="14">
        <f>(LEN(O38)+1)/2</f>
        <v/>
      </c>
      <c r="W38" s="14">
        <f>ROUNDDOWN((LEN(P38)+1)/2,0)</f>
        <v/>
      </c>
      <c r="X38" s="14">
        <f>ROUNDDOWN((LEN(Q38)+1)/2,0)</f>
        <v/>
      </c>
      <c r="Y38" s="14">
        <f>ROUNDDOWN((LEN(R38)+1)/2,0)</f>
        <v/>
      </c>
      <c r="Z38" s="14">
        <f>ROUNDDOWN((LEN(S38)+1)/2,0)</f>
        <v/>
      </c>
      <c r="AA38" s="56" t="n">
        <v>46150.55821771861</v>
      </c>
    </row>
    <row r="39" ht="165" customHeight="1">
      <c r="B39" s="46" t="inlineStr">
        <is>
          <t>U+1100-U+11FF</t>
        </is>
      </c>
      <c r="C39" s="46" t="inlineStr">
        <is>
          <t>Hangul Jamo</t>
        </is>
      </c>
      <c r="D39" s="54">
        <f>HEX2DEC(MID(B39,3,FIND("-",E39)-3))</f>
        <v/>
      </c>
      <c r="E39" s="46" t="inlineStr">
        <is>
          <t>U+1100-U+11FF</t>
        </is>
      </c>
      <c r="F39" s="14" t="n">
        <v>3</v>
      </c>
      <c r="G39" s="14" t="n">
        <v>3</v>
      </c>
      <c r="H39" s="14" t="n">
        <v>0</v>
      </c>
      <c r="I39" s="48" t="inlineStr">
        <is>
          <t>n</t>
        </is>
      </c>
      <c r="J39" s="19">
        <f>ROUNDDOWN(W39,0)/$V39</f>
        <v/>
      </c>
      <c r="K39" s="19">
        <f>ROUNDDOWN(X39,0)/$V39</f>
        <v/>
      </c>
      <c r="L39" s="19">
        <f>ROUNDDOWN(Y39,0)/$V39</f>
        <v/>
      </c>
      <c r="M39" s="19">
        <f>ROUNDDOWN(Z39,0)/$V39</f>
        <v/>
      </c>
      <c r="N39" s="24" t="inlineStr">
        <is>
          <t>Many combined characters. Double-width.</t>
        </is>
      </c>
      <c r="O39" s="36" t="inlineStr">
        <is>
          <t>ᄀ ᄁ ᄂ ᄃ ᄄ ᄅ ᄆ ᄇ ᄈ ᄉ ᄊ ᄋ ᄌ ᄍ ᄎ ᄏ ᄐ ᄑ ᄒ ᄓ ᄔ ᄕ ᄖ ᄗ ᄘ ᄙ ᄚ ᄛ ᄜ ᄝ ᄞ ᄟ ᄠ ᄡ ᄢ ᄣ ᄤ ᄥ ᄦ ᄧ ᄨ ᄩ ᄪ ᄫ ᄬ ᄭ ᄮ ᄯ ᄰ ᄱ ᄲ ᄳ ᄴ ᄵ ᄶ ᄷ ᄸ ᄹ ᄺ ᄻ ᄼ ᄽ ᄾ ᄿ ᅀ ᅁ ᅂ ᅃ ᅄ ᅅ ᅆ ᅇ ᅈ ᅉ ᅊ ᅋ ᅌ ᅍ ᅎ ᅏ ᅐ ᅑ ᅒ ᅓ ᅔ ᅕ ᅖ ᅗ ᅘ ᅙ ᅚ ᅛ ᅜ ᅝ ᅞ ᅟ ᅠ ᅡ ᅢ ᅣ ᅤ ᅥ ᅦ ᅧ ᅨ ᅩ ᅪ ᅫ ᅬ ᅭ ᅮ ᅯ ᅰ ᅱ ᅲ ᅳ ᅴ ᅵ ᅶ ᅷ ᅸ ᅹ ᅺ ᅻ ᅼ ᅽ ᅾ ᅿ ᆀ ᆁ ᆂ ᆃ ᆄ ᆅ ᆆ ᆇ ᆈ ᆉ ᆊ ᆋ ᆌ ᆍ ᆎ ᆏ ᆐ ᆑ ᆒ ᆓ ᆔ ᆕ ᆖ ᆗ ᆘ ᆙ ᆚ ᆛ ᆜ ᆝ ᆞ ᆟ ᆠ ᆡ ᆢ ᆣ ᆤ ᆥ ᆦ ᆧ ᆨ ᆩ ᆪ ᆫ ᆬ ᆭ ᆮ ᆯ ᆰ ᆱ ᆲ ᆳ ᆴ ᆵ ᆶ ᆷ ᆸ ᆹ ᆺ ᆻ ᆼ ᆽ ᆾ ᆿ ᇀ ᇁ ᇂ ᇃ ᇄ ᇅ ᇆ ᇇ ᇈ ᇉ ᇊ ᇋ ᇌ ᇍ ᇎ ᇏ ᇐ ᇑ ᇒ ᇓ ᇔ ᇕ ᇖ ᇗ ᇘ ᇙ ᇚ ᇛ ᇜ ᇝ ᇞ ᇟ ᇠ ᇡ ᇢ ᇣ ᇤ ᇥ ᇦ ᇧ ᇨ ᇩ ᇪ ᇫ ᇬ ᇭ ᇮ ᇯ ᇰ ᇱ ᇲ ᇳ ᇴ ᇵ ᇶ ᇷ ᇸ ᇹ ᇺ ᇻ ᇼ ᇽ ᇾ ᇿ</t>
        </is>
      </c>
      <c r="P39" s="37" t="inlineStr">
        <is>
          <t>ᄀ ᄁ ᄂ ᄃ ᄄ ᄅ ᄆ ᄇ ᄈ ᄉ ᄊ ᄋ ᄌ ᄍ ᄎ ᄏ ᄐ ᄑ ᄒ ᄓ ᄔ ᄕ ᄖ ᄗ ᄘ ᄙ ᄚ ᄛ ᄜ ᄝ ᄞ ᄟ ᄠ ᄡ ᄢ ᄣ ᄤ ᄥ ᄦ ᄧ ᄨ ᄩ ᄪ ᄫ ᄬ ᄭ ᄮ ᄯ ᄰ ᄱ ᄲ ᄳ ᄴ ᄵ ᄶ ᄷ ᄸ ᄹ ᄺ ᄻ ᄼ ᄽ ᄾ ᄿ ᅀ ᅁ ᅂ ᅃ ᅄ ᅅ ᅆ ᅇ ᅈ ᅉ ᅊ ᅋ ᅌ ᅍ ᅎ ᅏ ᅐ ᅑ ᅒ ᅓ ᅔ ᅕ ᅖ ᅗ ᅘ ᅙ ᅚ ᅛ ᅜ ᅝ ᅞ ᅡ ᅢ ᅣ ᅤ ᅥ ᅦ ᅧ ᅨ ᅩ ᅪ ᅫ ᅬ ᅭ ᅮ ᅯ ᅰ ᅱ ᅲ ᅳ ᅴ ᅵ ᅶ ᅷ ᅸ ᅹ ᅺ ᅻ ᅼ ᅽ ᅾ ᅿ ᆀ ᆁ ᆂ ᆃ ᆄ ᆅ ᆆ ᆇ ᆈ ᆉ ᆊ ᆋ ᆌ ᆍ ᆎ ᆏ ᆐ ᆑ ᆒ ᆓ ᆔ ᆕ ᆖ ᆗ ᆘ ᆙ ᆚ ᆛ ᆜ ᆝ ᆞ ᆟ ᆠ ᆡ ᆢ ᆣ ᆤ ᆥ ᆦ ᆧ ᆨ ᆩ ᆪ ᆫ ᆬ ᆭ ᆮ ᆯ ᆰ ᆱ ᆲ ᆳ ᆴ ᆵ ᆶ ᆷ ᆸ ᆹ ᆺ ᆻ ᆼ ᆽ ᆾ ᆿ ᇀ ᇁ ᇂ ᇃ ᇄ ᇅ ᇆ ᇇ ᇈ ᇉ ᇊ ᇋ ᇌ ᇍ ᇎ ᇏ ᇐ ᇑ ᇒ ᇓ ᇔ ᇕ ᇖ ᇗ ᇘ ᇙ ᇚ ᇛ ᇜ ᇝ ᇞ ᇟ ᇠ ᇡ ᇢ ᇣ ᇤ ᇥ ᇦ ᇧ ᇨ ᇩ ᇪ ᇫ ᇬ ᇭ ᇮ ᇯ ᇰ ᇱ ᇲ ᇳ ᇴ ᇵ ᇶ ᇷ ᇸ ᇹ ᇺ ᇻ ᇼ ᇽ ᇾ ᇿ</t>
        </is>
      </c>
      <c r="Q39" s="38" t="inlineStr">
        <is>
          <t>ᄀ ᄁ ᄂ ᄃ ᄄ ᄅ ᄆ ᄇ ᄈ ᄉ ᄊ ᄋ ᄌ ᄍ ᄎ ᄏ ᄐ ᄑ ᄒ ᄓ ᄔ ᄕ ᄖ ᄗ ᄘ ᄙ ᄚ ᄛ ᄜ ᄝ ᄞ ᄟ ᄠ ᄡ ᄢ ᄣ ᄤ ᄥ ᄦ ᄧ ᄨ ᄩ ᄪ ᄫ ᄬ ᄭ ᄮ ᄯ ᄰ ᄱ ᄲ ᄳ ᄴ ᄵ ᄶ ᄷ ᄸ ᄹ ᄺ ᄻ ᄼ ᄽ ᄾ ᄿ ᅀ ᅁ ᅂ ᅃ ᅄ ᅅ ᅆ ᅇ ᅈ ᅉ ᅊ ᅋ ᅌ ᅍ ᅎ ᅏ ᅐ ᅑ ᅒ ᅓ ᅔ ᅕ ᅖ ᅗ ᅘ ᅙ ᅚ ᅛ ᅜ ᅝ ᅞ ᅡ ᅣ ᅤ ᅥ ᅦ ᅧ ᅨ ᅩ ᅪ ᅫ ᅭ ᅮ ᅯ ᅰ ᅱ ᅲ ᅳ ᅴ ᅵ ᅶ ᅷ ᅸ ᅹ ᅺ ᅻ ᅼ ᅽ ᅾ ᅿ ᆀ ᆁ ᆂ ᆃ ᆄ ᆅ ᆆ ᆇ ᆈ ᆉ ᆋ ᆌ ᆍ ᆎ ᆏ ᆐ ᆑ ᆒ ᆓ ᆔ ᆕ ᆖ ᆗ ᆘ ᆙ ᆚ ᆛ ᆜ ᆝ ᆞ ᆟ ᆠ ᆡ ᆢ ᆣ ᆤ ᆥ ᆦ ᆧ ᆨ ᆩ ᆪ ᆫ ᆬ ᆭ ᆮ ᆯ ᆰ ᆱ ᆲ ᆳ ᆴ ᆵ ᆶ ᆷ ᆸ ᆹ ᆺ ᆻ ᆼ ᆽ ᆾ ᆿ ᇀ ᇁ ᇂ ᇃ ᇄ ᇅ ᇆ ᇇ ᇈ ᇉ ᇊ ᇋ ᇌ ᇍ ᇎ ᇏ ᇐ ᇑ ᇒ ᇓ ᇔ ᇕ ᇖ ᇗ ᇘ ᇙ ᇚ ᇛ ᇜ ᇝ ᇞ ᇟ ᇠ ᇡ ᇢ ᇣ ᇤ ᇥ ᇦ ᇧ ᇨ ᇩ ᇪ ᇫ ᇬ ᇭ ᇮ ᇯ ᇰ ᇱ ᇲ ᇳ ᇴ ᇵ ᇶ ᇷ ᇸ ᇹ ᇺ ᇻ ᇼ ᇽ ᇾ ᇿ</t>
        </is>
      </c>
      <c r="R39" s="39" t="inlineStr">
        <is>
          <t>ᄀ ᄂ ᄃ ᄅ ᄆ ᄇ ᄉ ᄊ ᄋ ᄌ ᄍ ᄎ ᄏ ᄐ ᄑ ᄒ ᄚ ᄛ ᄝ ᄡ ᄢ ᄣ ᄤ ᄥ ᄦ ᄧ ᄨ ᄫ ᄬ ᄭ ᄮ ᄯ ᄰ ᄱ ᄲ ᄳ ᄴ ᄵ ᄶ ᄷ ᄸ ᄹ ᄺ ᄻ ᄼ ᄽ ᄾ ᄿ ᅀ ᅅ ᅆ ᅈ ᅉ ᅌ ᅍ ᅎ ᅏ ᅐ ᅑ ᅒ ᅓ ᅔ ᅕ ᅗ ᅘ ᅙ ᅛ ᅜ ᅝ ᅡ ᅣ ᅤ ᅥ ᅧ ᅵ ᆨ ᆫ ᆮ ᆯ ᆴ ᆷ ᆸ ᆺ ᆼ ᆽ ᆾ ᆿ ᇀ ᇁ ᇂ ᇢ ᇦ ᇧ ᇨ ᇩ ᇪ ᇫ ᇰ ᇴ ᇵ ᇶ ᇷ ᇸ ᇹ</t>
        </is>
      </c>
      <c r="S39" s="40" t="n"/>
      <c r="V39" s="14">
        <f>(LEN(O39)+1)/2</f>
        <v/>
      </c>
      <c r="W39" s="14">
        <f>ROUNDDOWN((LEN(P39)+1)/2,0)</f>
        <v/>
      </c>
      <c r="X39" s="14">
        <f>ROUNDDOWN((LEN(Q39)+1)/2,0)</f>
        <v/>
      </c>
      <c r="Y39" s="14">
        <f>ROUNDDOWN((LEN(R39)+1)/2,0)</f>
        <v/>
      </c>
      <c r="Z39" s="14">
        <f>ROUNDDOWN((LEN(S39)+1)/2,0)</f>
        <v/>
      </c>
      <c r="AA39" s="56" t="n">
        <v>46150.5582199817</v>
      </c>
    </row>
    <row r="40" ht="90" customHeight="1">
      <c r="A40" s="46" t="inlineStr">
        <is>
          <t>Ethiopic</t>
        </is>
      </c>
      <c r="B40" s="46" t="inlineStr">
        <is>
          <t>U+1200-U+12C0</t>
        </is>
      </c>
      <c r="C40" s="46" t="inlineStr">
        <is>
          <t>Ethiopic</t>
        </is>
      </c>
      <c r="D40" s="54">
        <f>HEX2DEC(MID(B40,3,FIND("-",E40)-3))</f>
        <v/>
      </c>
      <c r="E40" s="46" t="inlineStr">
        <is>
          <t>U+1200-U+137F</t>
        </is>
      </c>
      <c r="F40" s="14" t="n">
        <v>3</v>
      </c>
      <c r="G40" s="14" t="n">
        <v>3</v>
      </c>
      <c r="H40" s="14" t="n">
        <v>2</v>
      </c>
      <c r="I40" s="48" t="inlineStr">
        <is>
          <t>y</t>
        </is>
      </c>
      <c r="J40" s="19">
        <f>ROUNDDOWN(W40,0)/$V40</f>
        <v/>
      </c>
      <c r="K40" s="19">
        <f>ROUNDDOWN(X40,0)/$V40</f>
        <v/>
      </c>
      <c r="L40" s="19">
        <f>ROUNDDOWN(Y40,0)/$V40</f>
        <v/>
      </c>
      <c r="M40" s="19">
        <f>ROUNDDOWN(Z40,0)/$V40</f>
        <v/>
      </c>
      <c r="O40" s="36" t="inlineStr">
        <is>
          <t>ዂ ዃ ዄ ዅ ወ ዉ ዊ ዋ ዌ ው ዎ ዏ ዐ ዑ ዒ ዓ ዔ ዕ ዖ ዘ ዙ ዚ ዛ ዜ ዝ ዞ ዟ ዠ ዡ ዢ ዣ ዤ ዥ ዦ ዧ የ ዩ ዪ ያ ዬ ይ ዮ ዯ ደ ዱ ዲ ዳ ዴ ድ ዶ ዷ ዸ ዹ ዺ ዻ ዼ ዽ ዾ ዿ ጀ ጁ ጂ ጃ ጄ ጅ ጆ ጇ ገ ጉ ጊ ጋ ጌ ግ ጎ ጏ ጐ ጒ ጓ ጔ ጕ ጘ ጙ ጚ ጛ ጜ ጝ ጞ ጟ ጠ ጡ ጢ ጣ ጤ ጥ ጦ ጧ ጨ ጩ ጪ ጫ ጬ ጭ ጮ ጯ ጰ ጱ ጲ ጳ ጴ ጵ ጶ ጷ ጸ ጹ ጺ ጻ ጼ ጽ ጾ ጿ ፀ ፁ ፂ ፃ ፄ ፅ ፆ ፇ ፈ ፉ ፊ ፋ ፌ ፍ ፎ ፏ ፐ ፑ ፒ ፓ ፔ ፕ ፖ ፗ ፘ ፙ ፚ ፝ ፞ ፟ ፠ ፡ ። ፣ ፤ ፥ ፦ ፧ ፨ ፩ ፪ ፫ ፬ ፭ ፮ ፯ ፰ ፱ ፲ ፳ ፴ ፵ ፶ ፷ ፸ ፹ ፺ ፻ ፼</t>
        </is>
      </c>
      <c r="P40" s="37" t="inlineStr">
        <is>
          <t>ዂ ዃ ዄ ዅ ወ ዉ ዊ ዋ ዌ ው ዎ ዏ ዐ ዑ ዒ ዓ ዔ ዕ ዖ ዘ ዙ ዚ ዛ ዜ ዝ ዞ ዟ ዠ ዡ ዢ ዣ ዤ ዥ ዦ ዧ የ ዩ ዪ ያ ዬ ይ ዮ ዯ ደ ዱ ዲ ዳ ዴ ድ ዶ ዷ ዸ ዹ ዺ ዻ ዼ ዽ ዾ ዿ ጀ ጁ ጂ ጃ ጄ ጅ ጆ ጇ ገ ጉ ጊ ጋ ጌ ግ ጎ ጏ ጐ ጒ ጓ ጔ ጕ ጘ ጙ ጚ ጛ ጜ ጝ ጞ ጟ ጠ ጡ ጢ ጣ ጤ ጥ ጦ ጧ ጨ ጩ ጪ ጫ ጬ ጭ ጮ ጯ ጰ ጱ ጲ ጳ ጴ ጵ ጶ ጷ ጸ ጹ ጺ ጻ ጼ ጽ ጾ ጿ ፀ ፁ ፂ ፃ ፄ ፅ ፆ ፇ ፈ ፉ ፊ ፋ ፌ ፍ ፎ ፏ ፐ ፑ ፒ ፓ ፔ ፕ ፖ ፗ ፘ ፙ ፚ ፠ ፡ ። ፣ ፤ ፥ ፦ ፧ ፨ ፩ ፪ ፫ ፬ ፭ ፮ ፯ ፰ ፱ ፲ ፳ ፴ ፵ ፶ ፷ ፸ ፹ ፺ ፻ ፼</t>
        </is>
      </c>
      <c r="Q40" s="38" t="inlineStr">
        <is>
          <t>ዂ ዃ ዄ ዅ ወ ዉ ዊ ዋ ዌ ው ዎ ዏ ዐ ዑ ዒ ዓ ዔ ዕ ዖ ዘ ዙ ዚ ዛ ዜ ዝ ዞ ዟ ዠ ዡ ዢ ዣ ዤ ዥ ዦ ዧ የ ዩ ዪ ያ ዬ ይ ዮ ዯ ደ ዱ ዲ ዳ ዴ ድ ዶ ዷ ዸ ዹ ዺ ዻ ዼ ዽ ዾ ዿ ጀ ጁ ጂ ጃ ጄ ጅ ጆ ጇ ገ ጉ ጊ ጋ ጌ ግ ጎ ጏ ጐ ጒ ጓ ጔ ጕ ጘ ጙ ጚ ጛ ጜ ጝ ጞ ጟ ጠ ጡ ጢ ጣ ጤ ጥ ጦ ጧ ጨ ጩ ጪ ጫ ጬ ጭ ጮ ጯ ጰ ጱ ጲ ጳ ጴ ጵ ጶ ጷ ጸ ጹ ጺ ጻ ጼ ጽ ጾ ጿ ፀ ፁ ፂ ፃ ፄ ፅ ፆ ፇ ፈ ፉ ፊ ፋ ፌ ፍ ፎ ፏ ፐ ፑ ፒ ፓ ፔ ፕ ፖ ፗ ፘ ፙ ፚ ፠ ፡ ። ፣ ፤ ፥ ፦ ፧ ፨</t>
        </is>
      </c>
      <c r="R40" s="39" t="inlineStr">
        <is>
          <t>ወ ዊ ዋ ዌ ዎ ዑ ዓ ዕ ዖ ዘ ዙ ዚ ዛ ዜ ዝ ዞ ዟ ዠ ዣ ዦ ዧ የ ዩ ዪ ያ ዬ ዮ ደ ዱ ዲ ዳ ዴ ድ ዶ ዸ ዹ ዺ ዻ ዼ ዽ ዾ ጀ ጃ ጅ ጆ ገ ጉ ጊ ጋ ጌ ግ ጎ ጏ ጐ ጒ ጓ ጔ ጕ ጘ ጙ ጚ ጛ ጜ ጝ ጞ ጟ ጠ ጣ ጥ ጦ ጰ ጱ ጲ ጳ ጴ ጵ ጶ ጷ ጸ ጹ ጺ ጻ ጼ ጽ ጾ ጿ ፀ ፁ ፃ ፅ ፆ ፇ ፈ ፉ ፊ ፋ ፌ ፍ ፎ ፏ ፐ ፑ ፒ ፓ ፔ ፕ ፖ ፗ ፘ ፙ ፚ ፠ ፣ ፤ ፥ ፦</t>
        </is>
      </c>
      <c r="S40" s="40" t="n"/>
      <c r="T40" s="41" t="inlineStr">
        <is>
          <t>ዎ ዐ ዓ ዕ ዖ ዘ ዛ ዞ የ ገ ጸ ጻ ጾ ፀ ፃ ፆ</t>
        </is>
      </c>
      <c r="V40" s="14">
        <f>(LEN(O40)+1)/2</f>
        <v/>
      </c>
      <c r="W40" s="14">
        <f>ROUNDDOWN((LEN(P40)+1)/2,0)</f>
        <v/>
      </c>
      <c r="X40" s="14">
        <f>ROUNDDOWN((LEN(Q40)+1)/2,0)</f>
        <v/>
      </c>
      <c r="Y40" s="14">
        <f>ROUNDDOWN((LEN(R40)+1)/2,0)</f>
        <v/>
      </c>
      <c r="Z40" s="14">
        <f>ROUNDDOWN((LEN(S40)+1)/2,0)</f>
        <v/>
      </c>
      <c r="AA40" s="56" t="n">
        <v>46150.55822122766</v>
      </c>
    </row>
    <row r="41" ht="90" customHeight="1">
      <c r="A41" s="46" t="inlineStr">
        <is>
          <t>Ethiopic</t>
        </is>
      </c>
      <c r="B41" s="46" t="inlineStr">
        <is>
          <t>U+12C2-U+137C</t>
        </is>
      </c>
      <c r="C41" s="46" t="inlineStr">
        <is>
          <t>Ethiopic</t>
        </is>
      </c>
      <c r="D41" s="54">
        <f>HEX2DEC(MID(B41,3,FIND("-",E41)-3))</f>
        <v/>
      </c>
      <c r="E41" s="46" t="inlineStr">
        <is>
          <t>U+1200-U+137F</t>
        </is>
      </c>
      <c r="F41" s="14" t="n">
        <v>3</v>
      </c>
      <c r="G41" s="14" t="n">
        <v>3</v>
      </c>
      <c r="H41" s="14" t="n">
        <v>3</v>
      </c>
      <c r="I41" s="48" t="inlineStr">
        <is>
          <t>y</t>
        </is>
      </c>
      <c r="J41" s="19">
        <f>ROUNDDOWN(W41,0)/$V41</f>
        <v/>
      </c>
      <c r="K41" s="19">
        <f>ROUNDDOWN(X41,0)/$V41</f>
        <v/>
      </c>
      <c r="L41" s="19">
        <f>ROUNDDOWN(Y41,0)/$V41</f>
        <v/>
      </c>
      <c r="M41" s="19">
        <f>ROUNDDOWN(Z41,0)/$V41</f>
        <v/>
      </c>
      <c r="O41" s="36" t="inlineStr">
        <is>
          <t>ሀ ሁ ሂ ሃ ሄ ህ ሆ ሇ ለ ሉ ሊ ላ ሌ ል ሎ ሏ ሐ ሑ ሒ ሓ ሔ ሕ ሖ ሗ መ ሙ ሚ ማ ሜ ም ሞ ሟ ሠ ሡ ሢ ሣ ሤ ሥ ሦ ሧ ረ ሩ ሪ ራ ሬ ር ሮ ሯ ሰ ሱ ሲ ሳ ሴ ስ ሶ ሷ ሸ ሹ ሺ ሻ ሼ ሽ ሾ ሿ ቀ ቁ ቂ ቃ ቄ ቅ ቆ ቇ ቈ ቊ ቋ ቌ ቍ ቐ ቑ ቒ ቓ ቔ ቕ ቖ ቘ ቚ ቛ ቜ ቝ በ ቡ ቢ ባ ቤ ብ ቦ ቧ ቨ ቩ ቪ ቫ ቬ ቭ ቮ ቯ ተ ቱ ቲ ታ ቴ ት ቶ ቷ ቸ ቹ ቺ ቻ ቼ ች ቾ ቿ ኀ ኁ ኂ ኃ ኄ ኅ ኆ ኇ ኈ ኊ ኋ ኌ ኍ ነ ኑ ኒ ና ኔ ን ኖ ኗ ኘ ኙ ኚ ኛ ኜ ኝ ኞ ኟ አ ኡ ኢ ኣ ኤ እ ኦ ኧ ከ ኩ ኪ ካ ኬ ክ ኮ ኯ ኰ ኲ ኳ ኴ ኵ ኸ ኹ ኺ ኻ ኼ ኽ ኾ ዀ</t>
        </is>
      </c>
      <c r="P41" s="37" t="inlineStr">
        <is>
          <t>ሀ ሁ ሂ ሃ ሄ ህ ሆ ሇ ለ ሉ ሊ ላ ሌ ል ሎ ሏ ሐ ሑ ሒ ሓ ሔ ሕ ሖ ሗ መ ሙ ሚ ማ ሜ ም ሞ ሟ ሠ ሡ ሢ ሣ ሤ ሥ ሦ ሧ ረ ሩ ሪ ራ ሬ ር ሮ ሯ ሰ ሱ ሲ ሳ ሴ ስ ሶ ሷ ሸ ሹ ሺ ሻ ሼ ሽ ሾ ሿ ቀ ቁ ቂ ቃ ቄ ቅ ቆ ቇ ቈ ቊ ቋ ቌ ቍ ቐ ቑ ቒ ቓ ቔ ቕ ቖ ቘ ቚ ቛ ቜ ቝ በ ቡ ቢ ባ ቤ ብ ቦ ቧ ቨ ቩ ቪ ቫ ቬ ቭ ቮ ቯ ተ ቱ ቲ ታ ቴ ት ቶ ቷ ቸ ቹ ቺ ቻ ቼ ች ቾ ቿ ኀ ኁ ኂ ኃ ኄ ኅ ኆ ኇ ኈ ኊ ኋ ኌ ኍ ነ ኑ ኒ ና ኔ ን ኖ ኗ ኘ ኙ ኚ ኛ ኜ ኝ ኞ ኟ አ ኡ ኢ ኣ ኤ እ ኦ ኧ ከ ኩ ኪ ካ ኬ ክ ኮ ኯ ኰ ኲ ኳ ኴ ኵ ኸ ኹ ኺ ኻ ኼ ኽ ኾ ዀ</t>
        </is>
      </c>
      <c r="Q41" s="38" t="inlineStr">
        <is>
          <t>ሀ ሁ ሂ ሃ ሄ ህ ሆ ሇ ለ ሉ ሊ ላ ሌ ል ሎ ሏ ሐ ሑ ሒ ሓ ሔ ሕ ሖ ሗ መ ሙ ሚ ማ ሜ ም ሞ ሟ ሠ ሡ ሢ ሣ ሤ ሥ ሦ ሧ ረ ሩ ሪ ራ ሬ ር ሮ ሯ ሰ ሱ ሲ ሳ ሴ ስ ሶ ሷ ሸ ሹ ሺ ሻ ሼ ሽ ሾ ሿ ቀ ቁ ቂ ቃ ቄ ቅ ቆ ቇ ቈ ቊ ቋ ቌ ቍ ቐ ቑ ቒ ቓ ቔ ቕ ቖ ቘ ቚ ቛ ቜ ቝ በ ቡ ቢ ባ ቤ ብ ቦ ቧ ቨ ቩ ቪ ቫ ቬ ቭ ቮ ቯ ተ ቱ ቲ ታ ቴ ት ቶ ቷ ቸ ቹ ቺ ቻ ቼ ች ቾ ቿ ኀ ኁ ኂ ኃ ኄ ኅ ኆ ኇ ኈ ኊ ኋ ኌ ኍ ነ ኑ ኒ ና ኔ ን ኖ ኗ ኘ ኙ ኚ ኛ ኜ ኝ ኞ ኟ አ ኡ ኢ ኣ ኤ እ ኦ ኧ ከ ኩ ኪ ካ ኬ ክ ኮ ኯ ኰ ኲ ኳ ኴ ኵ ኸ ኹ ኺ ኻ ኼ ኽ ኾ ዀ</t>
        </is>
      </c>
      <c r="R41" s="39" t="inlineStr">
        <is>
          <t>ሁ ሂ ሃ ሄ ህ ሆ ለ ሉ ሊ ላ ሌ ል ሎ ሐ ሓ ሕ ሖ መ ማ ም ሞ ሠ ሣ ሤ ሥ ሦ ረ ሩ ሪ ራ ሬ ር ሮ ሯ ሰ ሱ ሲ ሳ ሴ ስ ሶ ሷ ሸ ሹ ሺ ሻ ሼ ሽ ሾ ሿ ቀ ቁ ቂ ቃ ቄ ቅ ቆ ቇ ቈ ቋ ቌ ቐ ቑ ቒ ቓ ቔ ቕ ቖ ቘ ቛ ቜ በ ቡ ቢ ባ ቤ ብ ቦ ቧ ቨ ቩ ቪ ቫ ቮ ቯ ት ቶ ቷ ቸ ቹ ቺ ቾ ቿ ኀ ኁ ኂ ኃ ኄ ኅ ኆ ኇ ኋ ኌ ነ ኑ ኒ ና ኔ ን ኖ ኗ ኘ ኙ ኚ ኛ ኜ ኞ ኟ አ ኡ ኢ ኣ ኤ እ ኦ ኧ ከ ካ ክ ኮ ኯ</t>
        </is>
      </c>
      <c r="S41" s="40" t="n"/>
      <c r="V41" s="14">
        <f>(LEN(O41)+1)/2</f>
        <v/>
      </c>
      <c r="W41" s="14">
        <f>ROUNDDOWN((LEN(P41)+1)/2,0)</f>
        <v/>
      </c>
      <c r="X41" s="14">
        <f>ROUNDDOWN((LEN(Q41)+1)/2,0)</f>
        <v/>
      </c>
      <c r="Y41" s="14">
        <f>ROUNDDOWN((LEN(R41)+1)/2,0)</f>
        <v/>
      </c>
      <c r="Z41" s="14">
        <f>ROUNDDOWN((LEN(S41)+1)/2,0)</f>
        <v/>
      </c>
      <c r="AA41" s="56" t="n">
        <v>46150.55822264749</v>
      </c>
    </row>
    <row r="42" ht="30.75" customHeight="1">
      <c r="A42" s="46" t="inlineStr">
        <is>
          <t>Ethiopic</t>
        </is>
      </c>
      <c r="B42" s="46" t="inlineStr">
        <is>
          <t>U+1380-U+1399</t>
        </is>
      </c>
      <c r="C42" s="46" t="inlineStr">
        <is>
          <t>Ethiopic Supplement</t>
        </is>
      </c>
      <c r="D42" s="54">
        <f>HEX2DEC(MID(B42,3,FIND("-",E42)-3))</f>
        <v/>
      </c>
      <c r="E42" s="46" t="inlineStr">
        <is>
          <t>U+1380-U+139F</t>
        </is>
      </c>
      <c r="F42" s="14" t="n">
        <v>3</v>
      </c>
      <c r="G42" s="14" t="n">
        <v>3</v>
      </c>
      <c r="H42" s="14" t="n">
        <v>0</v>
      </c>
      <c r="I42" s="48" t="inlineStr">
        <is>
          <t>n</t>
        </is>
      </c>
      <c r="J42" s="19">
        <f>ROUNDDOWN(W42,0)/$V42</f>
        <v/>
      </c>
      <c r="K42" s="19">
        <f>ROUNDDOWN(X42,0)/$V42</f>
        <v/>
      </c>
      <c r="L42" s="19">
        <f>ROUNDDOWN(Y42,0)/$V42</f>
        <v/>
      </c>
      <c r="M42" s="19">
        <f>ROUNDDOWN(Z42,0)/$V42</f>
        <v/>
      </c>
      <c r="O42" s="36" t="inlineStr">
        <is>
          <t>ᎀ ᎁ ᎂ ᎃ ᎄ ᎅ ᎆ ᎇ ᎈ ᎉ ᎊ ᎋ ᎌ ᎍ ᎎ ᎏ ᎐ ᎑ ᎒ ᎓ ᎔ ᎕ ᎖ ᎗ ᎘ ᎙</t>
        </is>
      </c>
      <c r="P42" s="37" t="inlineStr">
        <is>
          <t>ᎀ ᎁ ᎂ ᎃ ᎄ ᎅ ᎆ ᎇ ᎈ ᎉ ᎊ ᎋ ᎌ ᎍ ᎎ ᎏ ᎐ ᎑ ᎒ ᎓ ᎔ ᎕ ᎖ ᎗ ᎘ ᎙</t>
        </is>
      </c>
      <c r="Q42" s="38" t="inlineStr">
        <is>
          <t>ᎀ ᎁ ᎂ ᎃ ᎄ ᎅ ᎆ ᎇ ᎈ ᎉ ᎊ ᎋ ᎌ ᎍ ᎎ ᎏ ᎐ ᎑ ᎒ ᎓ ᎔ ᎕ ᎖ ᎗ ᎘ ᎙</t>
        </is>
      </c>
      <c r="R42" s="43" t="inlineStr">
        <is>
          <t>ᎄ ᎅ ᎆ ᎈ ᎉ ᎊ ᎋ ᎌ ᎍ ᎎ ᎏ ᎑ ᎔ ᎖ ᎙</t>
        </is>
      </c>
      <c r="S42" s="40" t="n"/>
      <c r="V42" s="14">
        <f>(LEN(O42)+1)/2</f>
        <v/>
      </c>
      <c r="W42" s="14">
        <f>ROUNDDOWN((LEN(P42)+1)/2,0)</f>
        <v/>
      </c>
      <c r="X42" s="14">
        <f>ROUNDDOWN((LEN(Q42)+1)/2,0)</f>
        <v/>
      </c>
      <c r="Y42" s="14">
        <f>ROUNDDOWN((LEN(R42)+1)/2,0)</f>
        <v/>
      </c>
      <c r="Z42" s="14">
        <f>ROUNDDOWN((LEN(S42)+1)/2,0)</f>
        <v/>
      </c>
      <c r="AA42" s="56" t="n">
        <v>46150.55822299549</v>
      </c>
    </row>
    <row r="43" ht="45" customHeight="1">
      <c r="A43" s="46" t="inlineStr">
        <is>
          <t>Cherokee</t>
        </is>
      </c>
      <c r="B43" s="46" t="inlineStr">
        <is>
          <t>U+13A0-U+13FD</t>
        </is>
      </c>
      <c r="C43" s="46" t="inlineStr">
        <is>
          <t>Cherokee</t>
        </is>
      </c>
      <c r="D43" s="54">
        <f>HEX2DEC(MID(B43,3,FIND("-",E43)-3))</f>
        <v/>
      </c>
      <c r="E43" s="46" t="inlineStr">
        <is>
          <t>U+13A0-U+13FF</t>
        </is>
      </c>
      <c r="F43" s="14" t="n">
        <v>3</v>
      </c>
      <c r="G43" s="14" t="n">
        <v>3</v>
      </c>
      <c r="H43" s="14" t="n">
        <v>3</v>
      </c>
      <c r="I43" s="48" t="inlineStr">
        <is>
          <t>y</t>
        </is>
      </c>
      <c r="J43" s="19">
        <f>ROUNDDOWN(W43,0)/$V43</f>
        <v/>
      </c>
      <c r="K43" s="19">
        <f>ROUNDDOWN(X43,0)/$V43</f>
        <v/>
      </c>
      <c r="L43" s="19">
        <f>ROUNDDOWN(Y43,0)/$V43</f>
        <v/>
      </c>
      <c r="M43" s="19">
        <f>ROUNDDOWN(Z43,0)/$V43</f>
        <v/>
      </c>
      <c r="O43" s="36" t="inlineStr">
        <is>
          <t>Ꭰ Ꭱ Ꭲ Ꭳ Ꭴ Ꭵ Ꭶ Ꭷ Ꭸ Ꭹ Ꭺ Ꭻ Ꭼ Ꭽ Ꭾ Ꭿ Ꮀ Ꮁ Ꮂ Ꮃ Ꮄ Ꮅ Ꮆ Ꮇ Ꮈ Ꮉ Ꮊ Ꮋ Ꮌ Ꮍ Ꮎ Ꮏ Ꮐ Ꮑ Ꮒ Ꮓ Ꮔ Ꮕ Ꮖ Ꮗ Ꮘ Ꮙ Ꮚ Ꮛ Ꮜ Ꮝ Ꮞ Ꮟ Ꮠ Ꮡ Ꮢ Ꮣ Ꮤ Ꮥ Ꮦ Ꮧ Ꮨ Ꮩ Ꮪ Ꮫ Ꮬ Ꮭ Ꮮ Ꮯ Ꮰ Ꮱ Ꮲ Ꮳ Ꮴ Ꮵ Ꮶ Ꮷ Ꮸ Ꮹ Ꮺ Ꮻ Ꮼ Ꮽ Ꮾ Ꮿ Ᏸ Ᏹ Ᏺ Ᏻ Ᏼ Ᏽ ᏸ ᏹ ᏺ ᏻ ᏼ ᏽ</t>
        </is>
      </c>
      <c r="P43" s="37" t="inlineStr">
        <is>
          <t>Ꭰ Ꭱ Ꭲ Ꭳ Ꭴ Ꭵ Ꭶ Ꭷ Ꭸ Ꭹ Ꭺ Ꭻ Ꭼ Ꭽ Ꭾ Ꭿ Ꮀ Ꮁ Ꮂ Ꮃ Ꮄ Ꮅ Ꮆ Ꮇ Ꮈ Ꮉ Ꮊ Ꮋ Ꮌ Ꮍ Ꮎ Ꮏ Ꮐ Ꮑ Ꮒ Ꮓ Ꮔ Ꮕ Ꮖ Ꮗ Ꮘ Ꮙ Ꮚ Ꮛ Ꮜ Ꮝ Ꮞ Ꮟ Ꮠ Ꮡ Ꮢ Ꮣ Ꮤ Ꮥ Ꮦ Ꮧ Ꮨ Ꮩ Ꮪ Ꮫ Ꮬ Ꮭ Ꮮ Ꮯ Ꮰ Ꮱ Ꮲ Ꮳ Ꮴ Ꮵ Ꮶ Ꮷ Ꮸ Ꮹ Ꮺ Ꮻ Ꮼ Ꮽ Ꮾ Ꮿ Ᏸ Ᏹ Ᏺ Ᏻ Ᏼ Ᏽ ᏸ ᏹ ᏺ ᏻ ᏼ ᏽ</t>
        </is>
      </c>
      <c r="Q43" s="38" t="inlineStr">
        <is>
          <t>ᏸ ᏹ ᏺ ᏻ ᏼ ᏽ</t>
        </is>
      </c>
      <c r="R43" s="39" t="inlineStr">
        <is>
          <t>ᏸ ᏹ ᏺ ᏻ ᏼ ᏽ</t>
        </is>
      </c>
      <c r="S43" s="40" t="n"/>
      <c r="T43" s="41" t="inlineStr">
        <is>
          <t>Ꭰ Ꭱ Ꭲ Ꭳ Ꭴ Ꭵ Ꭶ Ꭷ Ꭸ Ꭹ Ꭺ Ꭻ Ꭼ Ꭽ Ꭾ Ꭿ Ꮀ Ꮁ Ꮂ Ꮃ Ꮄ Ꮅ Ꮆ Ꮇ Ꮈ Ꮉ Ꮊ Ꮋ Ꮌ Ꮍ Ꮎ Ꮏ Ꮐ Ꮑ Ꮒ Ꮓ Ꮔ Ꮕ Ꮖ Ꮗ Ꮘ Ꮙ Ꮚ Ꮛ Ꮜ Ꮝ Ꮞ Ꮟ Ꮠ Ꮡ Ꮢ Ꮣ Ꮤ Ꮥ Ꮦ Ꮧ Ꮨ Ꮩ Ꮪ Ꮫ Ꮬ Ꮭ Ꮮ Ꮯ Ꮰ Ꮱ Ꮲ Ꮳ Ꮴ Ꮵ Ꮶ Ꮷ Ꮸ Ꮹ Ꮺ Ꮻ Ꮼ Ꮽ Ꮾ Ꮿ Ᏸ Ᏹ Ᏺ Ᏻ Ᏼ Ᏽ ᏸ ᏹ ᏺ ᏻ ᏼ ᏽ</t>
        </is>
      </c>
      <c r="U43" s="42" t="inlineStr">
        <is>
          <t>Ꭰ Ꭱ Ꭲ Ꭳ Ꭴ Ꭵ Ꭶ Ꭷ Ꭸ Ꭹ Ꭺ Ꭻ Ꭼ Ꭽ Ꭾ Ꭿ Ꮀ Ꮁ Ꮂ Ꮃ Ꮄ Ꮅ Ꮆ Ꮇ Ꮈ Ꮉ Ꮊ Ꮋ Ꮌ Ꮍ Ꮎ Ꮏ Ꮐ Ꮑ Ꮒ Ꮓ Ꮔ Ꮕ Ꮖ Ꮗ Ꮘ Ꮙ Ꮚ Ꮛ Ꮜ Ꮝ Ꮞ Ꮟ Ꮠ Ꮡ Ꮢ Ꮣ Ꮤ Ꮥ Ꮦ Ꮧ Ꮨ Ꮩ Ꮪ Ꮫ Ꮬ Ꮭ Ꮮ Ꮯ Ꮰ Ꮱ Ꮲ Ꮳ Ꮴ Ꮵ Ꮶ Ꮷ Ꮸ Ꮹ Ꮺ Ꮻ Ꮼ Ꮽ Ꮾ Ꮿ Ᏸ Ᏹ Ᏺ Ᏻ Ᏼ Ᏽ ᏸ ᏹ ᏺ ᏻ ᏼ ᏽ</t>
        </is>
      </c>
      <c r="V43" s="14">
        <f>(LEN(O43)+1)/2</f>
        <v/>
      </c>
      <c r="W43" s="14">
        <f>ROUNDDOWN((LEN(P43)+1)/2,0)</f>
        <v/>
      </c>
      <c r="X43" s="14">
        <f>ROUNDDOWN((LEN(Q43)+1)/2,0)</f>
        <v/>
      </c>
      <c r="Y43" s="14">
        <f>ROUNDDOWN((LEN(R43)+1)/2,0)</f>
        <v/>
      </c>
      <c r="Z43" s="14">
        <f>ROUNDDOWN((LEN(S43)+1)/2,0)</f>
        <v/>
      </c>
      <c r="AA43" s="56" t="n">
        <v>46150.55822320493</v>
      </c>
    </row>
    <row r="44" ht="105" customHeight="1">
      <c r="A44" s="46" t="inlineStr">
        <is>
          <t>z-wide</t>
        </is>
      </c>
      <c r="B44" s="46" t="inlineStr">
        <is>
          <t>U+1400-U+14D5</t>
        </is>
      </c>
      <c r="C44" s="46" t="inlineStr">
        <is>
          <t>Unified Canadian Aboriginal Syllabics</t>
        </is>
      </c>
      <c r="D44" s="54">
        <f>HEX2DEC(MID(B44,3,FIND("-",E44)-3))</f>
        <v/>
      </c>
      <c r="E44" s="46" t="inlineStr">
        <is>
          <t>U+1400-U+167F</t>
        </is>
      </c>
      <c r="F44" s="14" t="n">
        <v>3</v>
      </c>
      <c r="G44" s="14" t="n">
        <v>3</v>
      </c>
      <c r="H44" s="14" t="n">
        <v>0</v>
      </c>
      <c r="I44" s="48" t="inlineStr">
        <is>
          <t>n</t>
        </is>
      </c>
      <c r="J44" s="19">
        <f>ROUNDDOWN(W44,0)/$V44</f>
        <v/>
      </c>
      <c r="K44" s="19">
        <f>ROUNDDOWN(X44,0)/$V44</f>
        <v/>
      </c>
      <c r="L44" s="19">
        <f>ROUNDDOWN(Y44,0)/$V44</f>
        <v/>
      </c>
      <c r="M44" s="19">
        <f>ROUNDDOWN(Z44,0)/$V44</f>
        <v/>
      </c>
      <c r="N44" s="35" t="inlineStr">
        <is>
          <t>Too wide</t>
        </is>
      </c>
      <c r="O44" s="36" t="inlineStr">
        <is>
          <t>᐀ ᐁ ᐂ ᐃ ᐄ ᐅ ᐆ ᐇ ᐈ ᐉ ᐊ ᐋ ᐌ ᐍ ᐎ ᐏ ᐐ ᐑ ᐒ ᐓ ᐔ ᐕ ᐖ ᐗ ᐘ ᐙ ᐚ ᐛ ᐜ ᐝ ᐞ ᐟ ᐠ ᐡ ᐢ ᐣ ᐤ ᐥ ᐦ ᐧ ᐨ ᐩ ᐪ ᐫ ᐬ ᐭ ᐮ ᐯ ᐰ ᐱ ᐲ ᐳ ᐴ ᐵ ᐶ ᐷ ᐸ ᐹ ᐺ ᐻ ᐼ ᐽ ᐾ ᐿ ᑀ ᑁ ᑂ ᑃ ᑄ ᑅ ᑆ ᑇ ᑈ ᑉ ᑊ ᑋ ᑌ ᑍ ᑎ ᑏ ᑐ ᑑ ᑒ ᑓ ᑔ ᑕ ᑖ ᑗ ᑘ ᑙ ᑚ ᑛ ᑜ ᑝ ᑞ ᑟ ᑠ ᑡ ᑢ ᑣ ᑤ ᑥ ᑦ ᑧ ᑨ ᑩ ᑪ ᑫ ᑬ ᑭ ᑮ ᑯ ᑰ ᑱ ᑲ ᑳ ᑴ ᑵ ᑶ ᑷ ᑸ ᑹ ᑺ ᑻ ᑼ ᑽ ᑾ ᑿ ᒀ ᒁ ᒂ ᒃ ᒄ ᒅ ᒆ ᒇ ᒈ ᒉ ᒊ ᒋ ᒌ ᒍ ᒎ ᒏ ᒐ ᒑ ᒒ ᒓ ᒔ ᒕ ᒖ ᒗ ᒘ ᒙ ᒚ ᒛ ᒜ ᒝ ᒞ ᒟ ᒠ ᒡ ᒢ ᒣ ᒤ ᒥ ᒦ ᒧ ᒨ ᒩ ᒪ ᒫ ᒬ ᒭ ᒮ ᒯ ᒰ ᒱ ᒲ ᒳ ᒴ ᒵ ᒶ ᒷ ᒸ ᒹ ᒺ ᒻ ᒼ ᒽ ᒾ ᒿ ᓀ ᓁ ᓂ ᓃ ᓄ ᓅ ᓆ ᓇ ᓈ ᓉ ᓊ ᓋ ᓌ ᓍ ᓎ ᓏ ᓐ ᓑ ᓒ ᓓ ᓔ ᓕ</t>
        </is>
      </c>
      <c r="P44" s="37" t="inlineStr">
        <is>
          <t>᐀ ᐁ ᐂ ᐃ ᐄ ᐅ ᐆ ᐇ ᐈ ᐉ ᐊ ᐋ ᐌ ᐍ ᐎ ᐏ ᐐ ᐑ ᐒ ᐓ ᐔ ᐕ ᐖ ᐗ ᐘ ᐙ ᐚ ᐛ ᐜ ᐝ ᐞ ᐟ ᐠ ᐡ ᐢ ᐣ ᐤ ᐥ ᐦ ᐧ ᐨ ᐩ ᐪ ᐫ ᐬ ᐭ ᐮ ᐯ ᐰ ᐱ ᐲ ᐳ ᐴ ᐵ ᐶ ᐷ ᐸ ᐹ ᐺ ᐻ ᐼ ᐽ ᐾ ᐿ ᑀ ᑁ ᑂ ᑃ ᑄ ᑅ ᑆ ᑇ ᑈ ᑉ ᑊ ᑋ ᑌ ᑍ ᑎ ᑏ ᑐ ᑑ ᑒ ᑓ ᑔ ᑕ ᑖ ᑗ ᑘ ᑙ ᑚ ᑛ ᑜ ᑝ ᑞ ᑟ ᑠ ᑡ ᑢ ᑣ ᑤ ᑥ ᑦ ᑧ ᑨ ᑩ ᑪ ᑫ ᑬ ᑭ ᑮ ᑯ ᑰ ᑱ ᑲ ᑳ ᑴ ᑵ ᑶ ᑷ ᑸ ᑹ ᑺ ᑻ ᑼ ᑽ ᑾ ᑿ ᒀ ᒁ ᒂ ᒃ ᒄ ᒅ ᒆ ᒇ ᒈ ᒉ ᒊ ᒋ ᒌ ᒍ ᒎ ᒏ ᒐ ᒑ ᒒ ᒓ ᒔ ᒕ ᒖ ᒗ ᒘ ᒙ ᒚ ᒛ ᒜ ᒝ ᒞ ᒟ ᒠ ᒡ ᒢ ᒣ ᒤ ᒥ ᒦ ᒧ ᒨ ᒩ ᒪ ᒫ ᒬ ᒭ ᒮ ᒯ ᒰ ᒱ ᒲ ᒳ ᒴ ᒵ ᒶ ᒷ ᒸ ᒹ ᒺ ᒻ ᒼ ᒽ ᒾ ᒿ ᓀ ᓁ ᓂ ᓃ ᓄ ᓅ ᓆ ᓇ ᓈ ᓉ ᓊ ᓋ ᓌ ᓍ ᓎ ᓏ ᓐ ᓑ ᓒ ᓓ ᓔ ᓕ</t>
        </is>
      </c>
      <c r="Q44" s="38" t="inlineStr">
        <is>
          <t>᐀ ᐁ ᐂ ᐃ ᐄ ᐅ ᐆ ᐇ ᐈ ᐉ ᐊ ᐋ ᐌ ᐍ ᐎ ᐏ ᐐ ᐑ ᐒ ᐓ ᐔ ᐕ ᐖ ᐗ ᐘ ᐙ ᐚ ᐛ ᐜ ᐝ ᐞ ᐟ ᐠ ᐡ ᐢ ᐣ ᐤ ᐥ ᐦ ᐨ ᐩ ᐪ ᐫ ᐬ ᐭ ᐮ ᐯ ᐰ ᐱ ᐲ ᐳ ᐴ ᐵ ᐶ ᐷ ᐸ ᐹ ᐺ ᐻ ᐼ ᐽ ᐾ ᐿ ᑀ ᑁ ᑂ ᑃ ᑄ ᑅ ᑆ ᑇ ᑈ ᑉ ᑊ ᑋ ᑌ ᑍ ᑎ ᑏ ᑐ ᑑ ᑒ ᑓ ᑔ ᑕ ᑖ ᑗ ᑘ ᑙ ᑚ ᑛ ᑜ ᑝ ᑞ ᑟ ᑠ ᑡ ᑢ ᑣ ᑤ ᑥ ᑦ ᑧ ᑨ ᑩ ᑪ ᑫ ᑬ ᑭ ᑮ ᑯ ᑰ ᑱ ᑲ ᑳ ᑴ ᑵ ᑶ ᑷ ᑸ ᑹ ᑺ ᑻ ᑼ ᑽ ᑾ ᑿ ᒀ ᒁ ᒂ ᒃ ᒄ ᒅ ᒆ ᒇ ᒈ ᒉ ᒊ ᒋ ᒌ ᒍ ᒎ ᒏ ᒐ ᒑ ᒒ ᒓ ᒔ ᒕ ᒖ ᒗ ᒘ ᒙ ᒚ ᒛ ᒜ ᒝ ᒞ ᒟ ᒠ ᒡ ᒢ ᒣ ᒤ ᒥ ᒦ ᒧ ᒨ ᒩ ᒪ ᒫ ᒬ ᒭ ᒮ ᒯ ᒰ ᒱ ᒲ ᒳ ᒴ ᒵ ᒶ ᒷ ᒸ ᒹ ᒺ ᒻ ᒼ ᒽ ᒾ ᒿ ᓀ ᓁ ᓂ ᓃ ᓄ ᓅ ᓆ ᓇ ᓈ ᓉ ᓊ ᓋ ᓌ ᓍ ᓎ ᓏ ᓐ ᓑ ᓒ ᓓ ᓔ ᓕ</t>
        </is>
      </c>
      <c r="R44" s="43" t="inlineStr">
        <is>
          <t>ᐅ ᐆ ᐇ ᐈ ᐉ ᐊ ᐋ ᐖ ᐛ ᐜ ᐞ ᐡ ᐢ ᐣ ᐤ ᐥ ᐩ ᐪ ᐭ ᐳ ᐴ ᐵ ᐶ ᐷ ᐸ ᐹ ᑈ ᑉ ᑋ ᑍ ᑎ ᑏ ᑐ ᑑ ᑒ ᑓ ᑔ ᑕ ᑖ ᑢ ᑦ ᑫ ᑬ ᑮ ᑰ ᑱ ᑳ ᑴ ᑷ ᑹ ᑺ ᑼ ᑿ ᒁ ᒃ ᒄ ᒈ ᒉ ᒊ ᒋ ᒌ ᒎ ᒏ ᒐ ᒑ ᒒ ᒕ ᒗ ᒘ ᒚ ᒝ ᒟ ᒡ ᒢ ᒣ ᒤ ᒥ ᒦ ᒧ ᒨ ᒩ ᒫ ᒬ ᒯ ᒱ ᒲ ᒴ ᒷ ᒹ ᒻ ᒼ ᒽ ᒾ ᓀ ᓁ ᓂ ᓃ ᓄ ᓅ ᓆ ᓇ ᓈ ᓌ ᓎ ᓏ ᓐ ᓑ ᓒ ᓓ ᓔ ᓕ</t>
        </is>
      </c>
      <c r="S44" s="40" t="n"/>
      <c r="T44" s="41" t="inlineStr">
        <is>
          <t>᐀ ᐁ ᐂ ᐃ ᐄ ᐅ ᐆ ᐇ ᐈ ᐉ ᐊ ᐋ ᐌ ᐍ ᐎ ᐏ ᐐ ᐑ ᐒ ᐓ ᐔ ᐕ ᐖ ᐗ ᐘ ᐙ ᐚ ᐛ ᐜ ᐝ ᐞ ᐟ ᐠ ᐡ ᐢ ᐣ ᐤ ᐥ ᐦ ᐧ ᐨ ᐩ ᐪ ᐫ ᐬ ᐭ ᐮ ᐯ ᐰ ᐱ ᐲ ᐳ ᐴ ᐵ ᐶ ᐷ ᐸ ᐹ ᐺ ᐻ ᐼ ᐽ ᐾ ᐿ ᑀ ᑁ ᑂ ᑃ ᑄ ᑅ ᑆ ᑇ ᑈ ᑉ ᑊ ᑋ ᑌ ᑍ ᑎ ᑏ ᑐ ᑑ ᑒ ᑓ ᑔ ᑕ ᑖ ᑗ ᑘ ᑙ ᑚ ᑛ ᑜ ᑝ ᑞ ᑟ ᑠ ᑡ ᑢ ᑣ ᑤ ᑥ ᑦ ᑧ ᑨ ᑩ ᑪ ᑫ ᑬ ᑭ ᑮ ᑯ ᑰ ᑱ ᑲ ᑳ ᑴ ᑵ ᑶ ᑷ ᑸ ᑹ ᑺ ᑻ ᑼ ᑽ ᑾ ᑿ ᒀ ᒁ ᒂ ᒃ ᒄ ᒅ ᒆ ᒇ ᒈ ᒉ ᒊ ᒋ ᒌ ᒍ ᒎ ᒏ ᒐ ᒑ ᒒ ᒓ ᒔ ᒕ ᒖ ᒗ ᒘ ᒙ ᒚ ᒛ ᒜ ᒝ ᒞ ᒟ ᒠ ᒡ ᒢ ᒣ ᒤ ᒥ ᒦ ᒧ ᒨ ᒩ ᒪ ᒫ ᒬ ᒭ ᒮ ᒯ ᒰ ᒱ ᒲ ᒳ ᒴ ᒵ ᒶ ᒷ ᒸ ᒹ ᒺ ᒻ ᒼ ᒽ ᒾ ᒿ ᓀ ᓁ ᓂ ᓃ ᓄ ᓅ ᓆ ᓇ ᓈ ᓉ ᓊ ᓋ ᓌ ᓍ ᓎ ᓏ ᓐ ᓑ ᓒ ᓓ ᓔ ᓕ</t>
        </is>
      </c>
      <c r="U44" s="42" t="inlineStr">
        <is>
          <t>᐀ ᐁ ᐂ ᐃ ᐄ ᐅ ᐆ ᐇ ᐈ ᐉ ᐊ ᐋ ᐌ ᐍ ᐎ ᐏ ᐐ ᐑ ᐒ ᐓ ᐔ ᐕ ᐖ ᐗ ᐘ ᐙ ᐚ ᐛ ᐜ ᐝ ᐞ ᐟ ᐠ ᐡ ᐢ ᐣ ᐤ ᐥ ᐦ ᐧ ᐨ ᐩ ᐪ ᐫ ᐬ ᐭ ᐮ ᐯ ᐰ ᐱ ᐲ ᐳ ᐴ ᐵ ᐶ ᐷ ᐸ ᐹ ᐺ ᐻ ᐼ ᐽ ᐾ ᐿ ᑀ ᑁ ᑂ ᑃ ᑄ ᑅ ᑆ ᑇ ᑈ ᑉ ᑊ ᑋ ᑌ ᑍ ᑎ ᑏ ᑐ ᑑ ᑒ ᑓ ᑔ ᑕ ᑖ ᑗ ᑘ ᑙ ᑚ ᑛ ᑜ ᑝ ᑞ ᑟ ᑠ ᑡ ᑢ ᑣ ᑤ ᑥ ᑦ ᑧ ᑨ ᑩ ᑪ ᑫ ᑬ ᑭ ᑮ ᑯ ᑰ ᑱ ᑲ ᑳ ᑴ ᑵ ᑶ ᑷ ᑸ ᑹ ᑺ ᑻ ᑼ ᑽ ᑾ ᑿ ᒀ ᒁ ᒂ ᒃ ᒄ ᒅ ᒆ ᒇ ᒈ ᒉ ᒊ ᒋ ᒌ ᒍ ᒎ ᒏ ᒐ ᒑ ᒒ ᒓ ᒔ ᒕ ᒖ ᒗ ᒘ ᒙ ᒚ ᒛ ᒜ ᒝ ᒞ ᒟ ᒠ ᒡ ᒢ ᒣ ᒤ ᒥ ᒦ ᒧ ᒨ ᒩ ᒪ ᒫ ᒬ ᒭ ᒮ ᒯ ᒰ ᒱ ᒲ ᒳ ᒴ ᒵ ᒶ ᒷ ᒸ ᒹ ᒺ ᒻ ᒼ ᒽ ᒾ ᒿ ᓀ ᓁ ᓂ ᓃ ᓄ ᓅ ᓆ ᓇ ᓈ ᓉ ᓊ ᓋ ᓌ ᓍ ᓎ ᓏ ᓐ ᓑ ᓒ ᓓ ᓔ ᓕ</t>
        </is>
      </c>
      <c r="V44" s="14">
        <f>(LEN(O44)+1)/2</f>
        <v/>
      </c>
      <c r="W44" s="14">
        <f>ROUNDDOWN((LEN(P44)+1)/2,0)</f>
        <v/>
      </c>
      <c r="X44" s="14">
        <f>ROUNDDOWN((LEN(Q44)+1)/2,0)</f>
        <v/>
      </c>
      <c r="Y44" s="14">
        <f>ROUNDDOWN((LEN(R44)+1)/2,0)</f>
        <v/>
      </c>
      <c r="Z44" s="14">
        <f>ROUNDDOWN((LEN(S44)+1)/2,0)</f>
        <v/>
      </c>
      <c r="AA44" s="56" t="n">
        <v>46150.55822474067</v>
      </c>
    </row>
    <row r="45" ht="105" customHeight="1">
      <c r="A45" s="46" t="inlineStr">
        <is>
          <t>z-wide</t>
        </is>
      </c>
      <c r="B45" s="46" t="inlineStr">
        <is>
          <t>U+14D6-U+15AA</t>
        </is>
      </c>
      <c r="C45" s="46" t="inlineStr">
        <is>
          <t>Unified Canadian Aboriginal Syllabics</t>
        </is>
      </c>
      <c r="D45" s="54">
        <f>HEX2DEC(MID(B45,3,FIND("-",E45)-3))</f>
        <v/>
      </c>
      <c r="E45" s="46" t="inlineStr">
        <is>
          <t>U+1400-U+167F</t>
        </is>
      </c>
      <c r="F45" s="14" t="n">
        <v>3</v>
      </c>
      <c r="G45" s="14" t="n">
        <v>3</v>
      </c>
      <c r="H45" s="14" t="n">
        <v>0</v>
      </c>
      <c r="I45" s="48" t="inlineStr">
        <is>
          <t>n</t>
        </is>
      </c>
      <c r="J45" s="19">
        <f>ROUNDDOWN(W45,0)/$V45</f>
        <v/>
      </c>
      <c r="K45" s="19">
        <f>ROUNDDOWN(X45,0)/$V45</f>
        <v/>
      </c>
      <c r="L45" s="19">
        <f>ROUNDDOWN(Y45,0)/$V45</f>
        <v/>
      </c>
      <c r="M45" s="19">
        <f>ROUNDDOWN(Z45,0)/$V45</f>
        <v/>
      </c>
      <c r="N45" s="35" t="inlineStr">
        <is>
          <t>Too wide</t>
        </is>
      </c>
      <c r="O45" s="36" t="inlineStr">
        <is>
          <t>ᓖ ᓗ ᓘ ᓙ ᓚ ᓛ ᓜ ᓝ ᓞ ᓟ ᓠ ᓡ ᓢ ᓣ ᓤ ᓥ ᓦ ᓧ ᓨ ᓩ ᓪ ᓫ ᓬ ᓭ ᓮ ᓯ ᓰ ᓱ ᓲ ᓳ ᓴ ᓵ ᓶ ᓷ ᓸ ᓹ ᓺ ᓻ ᓼ ᓽ ᓾ ᓿ ᔀ ᔁ ᔂ ᔃ ᔄ ᔅ ᔆ ᔇ ᔈ ᔉ ᔊ ᔋ ᔌ ᔍ ᔎ ᔏ ᔐ ᔑ ᔒ ᔓ ᔔ ᔕ ᔖ ᔗ ᔘ ᔙ ᔚ ᔛ ᔜ ᔝ ᔞ ᔟ ᔠ ᔡ ᔢ ᔣ ᔤ ᔥ ᔦ ᔧ ᔨ ᔩ ᔪ ᔫ ᔬ ᔭ ᔮ ᔯ ᔰ ᔱ ᔲ ᔳ ᔴ ᔵ ᔶ ᔷ ᔸ ᔹ ᔺ ᔻ ᔼ ᔽ ᔾ ᔿ ᕀ ᕁ ᕂ ᕃ ᕄ ᕅ ᕆ ᕇ ᕈ ᕉ ᕊ ᕋ ᕌ ᕍ ᕎ ᕏ ᕐ ᕑ ᕒ ᕓ ᕔ ᕕ ᕖ ᕗ ᕘ ᕙ ᕚ ᕛ ᕜ ᕝ ᕞ ᕟ ᕠ ᕡ ᕢ ᕣ ᕤ ᕥ ᕦ ᕧ ᕨ ᕩ ᕪ ᕫ ᕬ ᕭ ᕮ ᕯ ᕰ ᕱ ᕲ ᕳ ᕴ ᕵ ᕶ ᕷ ᕸ ᕹ ᕺ ᕻ ᕼ ᕽ ᕾ ᕿ ᖀ ᖁ ᖂ ᖃ ᖄ ᖅ ᖆ ᖇ ᖈ ᖉ ᖊ ᖋ ᖌ ᖍ ᖎ ᖏ ᖐ ᖑ ᖒ ᖓ ᖔ ᖕ ᖖ ᖗ ᖘ ᖙ ᖚ ᖛ ᖜ ᖝ ᖞ ᖟ ᖠ ᖡ ᖢ ᖣ ᖤ ᖥ ᖦ ᖧ ᖨ ᖩ ᖪ</t>
        </is>
      </c>
      <c r="P45" s="37" t="inlineStr">
        <is>
          <t>ᓖ ᓗ ᓘ ᓙ ᓚ ᓛ ᓜ ᓝ ᓞ ᓟ ᓠ ᓡ ᓢ ᓣ ᓤ ᓥ ᓦ ᓧ ᓨ ᓩ ᓪ ᓫ ᓬ ᓭ ᓮ ᓯ ᓰ ᓱ ᓲ ᓳ ᓴ ᓵ ᓶ ᓷ ᓸ ᓹ ᓺ ᓻ ᓼ ᓽ ᓾ ᓿ ᔀ ᔁ ᔂ ᔃ ᔄ ᔅ ᔆ ᔇ ᔈ ᔉ ᔊ ᔋ ᔌ ᔍ ᔎ ᔏ ᔐ ᔑ ᔒ ᔓ ᔔ ᔕ ᔖ ᔗ ᔘ ᔙ ᔚ ᔛ ᔜ ᔝ ᔞ ᔟ ᔠ ᔡ ᔢ ᔣ ᔤ ᔥ ᔦ ᔧ ᔨ ᔩ ᔪ ᔫ ᔬ ᔭ ᔮ ᔯ ᔰ ᔱ ᔲ ᔳ ᔴ ᔵ ᔶ ᔷ ᔸ ᔹ ᔺ ᔻ ᔼ ᔽ ᔾ ᔿ ᕀ ᕁ ᕂ ᕃ ᕄ ᕅ ᕆ ᕇ ᕈ ᕉ ᕊ ᕋ ᕌ ᕍ ᕎ ᕏ ᕐ ᕑ ᕒ ᕓ ᕔ ᕕ ᕖ ᕗ ᕘ ᕙ ᕚ ᕛ ᕜ ᕝ ᕞ ᕟ ᕠ ᕡ ᕢ ᕣ ᕤ ᕥ ᕦ ᕧ ᕨ ᕩ ᕪ ᕫ ᕬ ᕭ ᕮ ᕯ ᕰ ᕱ ᕲ ᕳ ᕴ ᕵ ᕶ ᕷ ᕸ ᕹ ᕺ ᕻ ᕼ ᕽ ᕾ ᕿ ᖀ ᖁ ᖂ ᖃ ᖄ ᖅ ᖆ ᖇ ᖈ ᖉ ᖊ ᖋ ᖌ ᖍ ᖎ ᖏ ᖐ ᖑ ᖒ ᖓ ᖔ ᖕ ᖖ ᖗ ᖘ ᖙ ᖚ ᖛ ᖜ ᖝ ᖞ ᖟ ᖠ ᖡ ᖢ ᖣ ᖤ ᖥ ᖦ ᖧ ᖨ ᖩ ᖪ</t>
        </is>
      </c>
      <c r="Q45" s="38" t="inlineStr">
        <is>
          <t>ᓖ ᓗ ᓘ ᓙ ᓚ ᓛ ᓜ ᓝ ᓞ ᓟ ᓠ ᓡ ᓢ ᓣ ᓤ ᓥ ᓦ ᓧ ᓨ ᓩ ᓪ ᓫ ᓬ ᓭ ᓮ ᓯ ᓰ ᓱ ᓲ ᓳ ᓴ ᓵ ᓶ ᓷ ᓸ ᓹ ᓺ ᓻ ᓼ ᓽ ᓾ ᓿ ᔀ ᔁ ᔂ ᔃ ᔄ ᔅ ᔆ ᔇ ᔈ ᔉ ᔊ ᔋ ᔌ ᔍ ᔎ ᔏ ᔐ ᔑ ᔒ ᔓ ᔔ ᔕ ᔖ ᔗ ᔘ ᔙ ᔚ ᔛ ᔜ ᔝ ᔞ ᔟ ᔠ ᔡ ᔢ ᔣ ᔤ ᔥ ᔦ ᔧ ᔨ ᔩ ᔪ ᔫ ᔬ ᔭ ᔮ ᔯ ᔰ ᔱ ᔲ ᔳ ᔴ ᔵ ᔶ ᔷ ᔸ ᔹ ᔺ ᔻ ᔼ ᔽ ᔾ ᔿ ᕀ ᕁ ᕂ ᕃ ᕄ ᕅ ᕆ ᕇ ᕈ ᕉ ᕊ ᕋ ᕌ ᕍ ᕎ ᕏ ᕐ ᕑ ᕒ ᕓ ᕔ ᕕ ᕖ ᕗ ᕘ ᕙ ᕚ ᕛ ᕜ ᕝ ᕞ ᕟ ᕠ ᕡ ᕢ ᕣ ᕤ ᕥ ᕦ ᕧ ᕨ ᕩ ᕪ ᕫ ᕬ ᕭ ᕮ ᕯ ᕰ ᕱ ᕲ ᕳ ᕴ ᕵ ᕶ ᕷ ᕸ ᕹ ᕺ ᕻ ᕼ ᕽ ᕾ ᕿ ᖀ ᖁ ᖂ ᖃ ᖄ ᖅ ᖆ ᖇ ᖈ ᖉ ᖊ ᖋ ᖌ ᖍ ᖎ ᖏ ᖐ ᖑ ᖒ ᖓ ᖔ ᖕ ᖖ ᖗ ᖘ ᖙ ᖚ ᖛ ᖜ ᖝ ᖞ ᖟ ᖠ ᖡ ᖢ ᖣ ᖤ ᖥ ᖦ ᖧ ᖨ ᖩ ᖪ</t>
        </is>
      </c>
      <c r="R45" s="43" t="inlineStr">
        <is>
          <t>ᓖ ᓗ ᓘ ᓙ ᓚ ᓛ ᓢ ᓤ ᓧ ᓩ ᓪ ᓫ ᓬ ᓭ ᓮ ᓯ ᓰ ᓱ ᓲ ᓳ ᓴ ᓵ ᓶ ᓷ ᓸ ᓹ ᓺ ᓻ ᓼ ᓽ ᓾ ᓿ ᔀ ᔁ ᔂ ᔃ ᔅ ᔆ ᔇ ᔉ ᔊ ᔋ ᔐ ᔑ ᔒ ᔓ ᔕ ᔗ ᔘ ᔙ ᔚ ᔛ ᔜ ᔦ ᔧ ᔨ ᔩ ᔪ ᔫ ᔬ ᔭ ᔮ ᔯ ᔲ ᔴ ᔵ ᔷ ᔺ ᔼ ᔾ ᔿ ᕀ ᕂ ᕃ ᕄ ᕅ ᕆ ᕇ ᕈ ᕉ ᕊ ᕋ ᕌ ᕍ ᕎ ᕏ ᕐ ᕑ ᕒ ᕗ ᕘ ᕙ ᕚ ᕝ ᕞ ᕟ ᕠ ᕡ ᕢ ᕣ ᕤ ᕥ ᕦ ᕧ ᕪ ᕫ ᕬ ᕭ ᕮ ᕰ ᕱ ᕲ ᕳ ᕴ ᕵ ᕶ ᕷ ᕸ ᕹ ᕺ ᕻ ᖆ ᖈ ᖉ ᖊ ᖋ ᖌ ᖍ ᖕ ᖗ ᖘ ᖙ ᖚ ᖛ ᖜ ᖝ ᖞ ᖟ ᖠ ᖡ ᖢ ᖣ ᖤ ᖥ ᖦ ᖧ ᖨ ᖩ ᖪ</t>
        </is>
      </c>
      <c r="S45" s="40" t="n"/>
      <c r="T45" s="41" t="inlineStr">
        <is>
          <t>ᓖ ᓗ ᓘ ᓙ ᓚ ᓛ ᓜ ᓝ ᓞ ᓟ ᓠ ᓡ ᓢ ᓣ ᓤ ᓥ ᓦ ᓧ ᓨ ᓩ ᓪ ᓫ ᓬ ᓭ ᓮ ᓯ ᓰ ᓱ ᓲ ᓳ ᓴ ᓵ ᓶ ᓷ ᓸ ᓹ ᓺ ᓻ ᓼ ᓽ ᓾ ᓿ ᔀ ᔁ ᔂ ᔃ ᔄ ᔅ ᔆ ᔇ ᔈ ᔉ ᔊ ᔋ ᔌ ᔍ ᔎ ᔏ ᔐ ᔑ ᔒ ᔓ ᔔ ᔕ ᔖ ᔗ ᔘ ᔙ ᔚ ᔛ ᔜ ᔝ ᔞ ᔟ ᔠ ᔡ ᔢ ᔣ ᔤ ᔥ ᔦ ᔧ ᔨ ᔩ ᔪ ᔫ ᔬ ᔭ ᔮ ᔯ ᔰ ᔱ ᔲ ᔳ ᔴ ᔵ ᔶ ᔷ ᔸ ᔹ ᔺ ᔻ ᔼ ᔽ ᔾ ᔿ ᕀ ᕁ ᕂ ᕃ ᕄ ᕅ ᕆ ᕇ ᕈ ᕉ ᕊ ᕋ ᕌ ᕍ ᕎ ᕏ ᕐ ᕑ ᕒ ᕓ ᕔ ᕕ ᕖ ᕗ ᕘ ᕙ ᕚ ᕛ ᕜ ᕝ ᕞ ᕟ ᕠ ᕡ ᕢ ᕣ ᕤ ᕥ ᕦ ᕧ ᕨ ᕩ ᕪ ᕫ ᕬ ᕭ ᕮ ᕯ ᕰ ᕱ ᕲ ᕳ ᕴ ᕵ ᕶ ᕷ ᕸ ᕹ ᕺ ᕻ ᕼ ᕽ ᕾ ᕿ ᖀ ᖁ ᖂ ᖃ ᖄ ᖅ ᖆ ᖇ ᖈ ᖉ ᖊ ᖋ ᖌ ᖍ ᖎ ᖏ ᖐ ᖑ ᖒ ᖓ ᖔ ᖕ ᖖ ᖗ ᖘ ᖙ ᖚ ᖛ ᖜ ᖝ ᖞ ᖟ ᖠ ᖡ ᖢ ᖣ ᖤ ᖥ ᖦ ᖧ ᖨ ᖩ ᖪ</t>
        </is>
      </c>
      <c r="U45" s="42" t="inlineStr">
        <is>
          <t>ᓖ ᓗ ᓘ ᓙ ᓚ ᓛ ᓜ ᓝ ᓞ ᓟ ᓠ ᓡ ᓢ ᓣ ᓤ ᓥ ᓦ ᓧ ᓨ ᓩ ᓪ ᓫ ᓬ ᓭ ᓮ ᓯ ᓰ ᓱ ᓲ ᓳ ᓴ ᓵ ᓶ ᓷ ᓸ ᓹ ᓺ ᓻ ᓼ ᓽ ᓾ ᓿ ᔀ ᔁ ᔂ ᔃ ᔄ ᔅ ᔆ ᔇ ᔈ ᔉ ᔊ ᔋ ᔌ ᔍ ᔎ ᔏ ᔐ ᔑ ᔒ ᔓ ᔔ ᔕ ᔖ ᔗ ᔘ ᔙ ᔚ ᔛ ᔜ ᔝ ᔞ ᔟ ᔠ ᔡ ᔢ ᔣ ᔤ ᔥ ᔦ ᔧ ᔨ ᔩ ᔪ ᔫ ᔬ ᔭ ᔮ ᔯ ᔰ ᔱ ᔲ ᔳ ᔴ ᔵ ᔶ ᔷ ᔸ ᔹ ᔺ ᔻ ᔼ ᔽ ᔾ ᔿ ᕀ ᕁ ᕂ ᕃ ᕄ ᕅ ᕆ ᕇ ᕈ ᕉ ᕊ ᕋ ᕌ ᕍ ᕎ ᕏ ᕐ ᕑ ᕒ ᕓ ᕔ ᕕ ᕖ ᕗ ᕘ ᕙ ᕚ ᕛ ᕜ ᕝ ᕞ ᕟ ᕠ ᕡ ᕢ ᕣ ᕤ ᕥ ᕦ ᕧ ᕨ ᕩ ᕪ ᕫ ᕬ ᕭ ᕮ ᕯ ᕰ ᕱ ᕲ ᕳ ᕴ ᕵ ᕶ ᕷ ᕸ ᕹ ᕺ ᕻ ᕼ ᕽ ᕾ ᕿ ᖀ ᖁ ᖂ ᖃ ᖄ ᖅ ᖆ ᖇ ᖈ ᖉ ᖊ ᖋ ᖌ ᖍ ᖎ ᖏ ᖐ ᖑ ᖒ ᖓ ᖔ ᖕ ᖖ ᖗ ᖘ ᖙ ᖚ ᖛ ᖜ ᖝ ᖞ ᖟ ᖠ ᖡ ᖢ ᖣ ᖤ ᖥ ᖦ ᖧ ᖨ ᖩ ᖪ</t>
        </is>
      </c>
      <c r="V45" s="14">
        <f>(LEN(O45)+1)/2</f>
        <v/>
      </c>
      <c r="W45" s="14">
        <f>ROUNDDOWN((LEN(P45)+1)/2,0)</f>
        <v/>
      </c>
      <c r="X45" s="14">
        <f>ROUNDDOWN((LEN(Q45)+1)/2,0)</f>
        <v/>
      </c>
      <c r="Y45" s="14">
        <f>ROUNDDOWN((LEN(R45)+1)/2,0)</f>
        <v/>
      </c>
      <c r="Z45" s="14">
        <f>ROUNDDOWN((LEN(S45)+1)/2,0)</f>
        <v/>
      </c>
      <c r="AA45" s="56" t="n">
        <v>46150.5582263311</v>
      </c>
    </row>
    <row r="46" ht="120" customHeight="1">
      <c r="A46" s="46" t="inlineStr">
        <is>
          <t>z-wide</t>
        </is>
      </c>
      <c r="B46" s="46" t="inlineStr">
        <is>
          <t>U+15AB-U+167F</t>
        </is>
      </c>
      <c r="C46" s="46" t="inlineStr">
        <is>
          <t>Unified Canadian Aboriginal Syllabics</t>
        </is>
      </c>
      <c r="D46" s="54">
        <f>HEX2DEC(MID(B46,3,FIND("-",E46)-3))</f>
        <v/>
      </c>
      <c r="E46" s="46" t="inlineStr">
        <is>
          <t>U+1400-U+167F</t>
        </is>
      </c>
      <c r="F46" s="14" t="n">
        <v>3</v>
      </c>
      <c r="G46" s="14" t="n">
        <v>3</v>
      </c>
      <c r="H46" s="14" t="n">
        <v>0</v>
      </c>
      <c r="I46" s="48" t="inlineStr">
        <is>
          <t>n</t>
        </is>
      </c>
      <c r="J46" s="19">
        <f>ROUNDDOWN(W46,0)/$V46</f>
        <v/>
      </c>
      <c r="K46" s="19">
        <f>ROUNDDOWN(X46,0)/$V46</f>
        <v/>
      </c>
      <c r="L46" s="19">
        <f>ROUNDDOWN(Y46,0)/$V46</f>
        <v/>
      </c>
      <c r="M46" s="19">
        <f>ROUNDDOWN(Z46,0)/$V46</f>
        <v/>
      </c>
      <c r="N46" s="35" t="inlineStr">
        <is>
          <t>Too wide</t>
        </is>
      </c>
      <c r="O46" s="36" t="inlineStr">
        <is>
          <t>ᖫ ᖬ ᖭ ᖮ ᖯ ᖰ ᖱ ᖲ ᖳ ᖴ ᖵ ᖶ ᖷ ᖸ ᖹ ᖺ ᖻ ᖼ ᖽ ᖾ ᖿ ᗀ ᗁ ᗂ ᗃ ᗄ ᗅ ᗆ ᗇ ᗈ ᗉ ᗊ ᗋ ᗌ ᗍ ᗎ ᗏ ᗐ ᗑ ᗒ ᗓ ᗔ ᗕ ᗖ ᗗ ᗘ ᗙ ᗚ ᗛ ᗜ ᗝ ᗞ ᗟ ᗠ ᗡ ᗢ ᗣ ᗤ ᗥ ᗦ ᗧ ᗨ ᗩ ᗪ ᗫ ᗬ ᗭ ᗮ ᗯ ᗰ ᗱ ᗲ ᗳ ᗴ ᗵ ᗶ ᗷ ᗸ ᗹ ᗺ ᗻ ᗼ ᗽ ᗾ ᗿ ᘀ ᘁ ᘂ ᘃ ᘄ ᘅ ᘆ ᘇ ᘈ ᘉ ᘊ ᘋ ᘌ ᘍ ᘎ ᘏ ᘐ ᘑ ᘒ ᘓ ᘔ ᘕ ᘖ ᘗ ᘘ ᘙ ᘚ ᘛ ᘜ ᘝ ᘞ ᘟ ᘠ ᘡ ᘢ ᘣ ᘤ ᘥ ᘦ ᘧ ᘨ ᘩ ᘪ ᘫ ᘬ ᘭ ᘮ ᘯ ᘰ ᘱ ᘲ ᘳ ᘴ ᘵ ᘶ ᘷ ᘸ ᘹ ᘺ ᘻ ᘼ ᘽ ᘾ ᘿ ᙀ ᙁ ᙂ ᙃ ᙄ ᙅ ᙆ ᙇ ᙈ ᙉ ᙊ ᙋ ᙌ ᙍ ᙎ ᙏ ᙐ ᙑ ᙒ ᙓ ᙔ ᙕ ᙖ ᙗ ᙘ ᙙ ᙚ ᙛ ᙜ ᙝ ᙞ ᙟ ᙠ ᙡ ᙢ ᙣ ᙤ ᙥ ᙦ ᙧ ᙨ ᙩ ᙪ ᙫ ᙬ ᙭ ᙮ ᙯ ᙰ ᙱ ᙲ ᙳ ᙴ ᙵ ᙶ ᙷ ᙸ ᙹ ᙺ ᙻ ᙼ ᙽ ᙾ ᙿ</t>
        </is>
      </c>
      <c r="P46" s="37" t="inlineStr">
        <is>
          <t>ᖫ ᖬ ᖭ ᖮ ᖯ ᖰ ᖱ ᖲ ᖳ ᖴ ᖵ ᖶ ᖷ ᖸ ᖹ ᖺ ᖻ ᖼ ᖽ ᖾ ᖿ ᗀ ᗁ ᗂ ᗃ ᗄ ᗅ ᗆ ᗇ ᗈ ᗉ ᗊ ᗋ ᗌ ᗍ ᗎ ᗏ ᗐ ᗑ ᗒ ᗓ ᗔ ᗕ ᗖ ᗗ ᗘ ᗙ ᗚ ᗛ ᗜ ᗝ ᗞ ᗟ ᗠ ᗡ ᗢ ᗣ ᗤ ᗥ ᗦ ᗧ ᗨ ᗩ ᗪ ᗫ ᗬ ᗭ ᗮ ᗯ ᗰ ᗱ ᗲ ᗳ ᗴ ᗵ ᗶ ᗷ ᗸ ᗹ ᗺ ᗻ ᗼ ᗽ ᗾ ᗿ ᘀ ᘁ ᘂ ᘃ ᘄ ᘅ ᘆ ᘇ ᘈ ᘉ ᘊ ᘋ ᘌ ᘍ ᘎ ᘏ ᘐ ᘑ ᘒ ᘓ ᘔ ᘕ ᘖ ᘗ ᘘ ᘙ ᘚ ᘛ ᘜ ᘝ ᘞ ᘟ ᘠ ᘡ ᘢ ᘣ ᘤ ᘥ ᘦ ᘧ ᘨ ᘩ ᘪ ᘫ ᘬ ᘭ ᘮ ᘯ ᘰ ᘱ ᘲ ᘳ ᘴ ᘵ ᘶ ᘷ ᘸ ᘹ ᘺ ᘻ ᘼ ᘽ ᘾ ᘿ ᙀ ᙁ ᙂ ᙃ ᙄ ᙅ ᙆ ᙇ ᙈ ᙉ ᙊ ᙋ ᙌ ᙍ ᙎ ᙏ ᙐ ᙑ ᙒ ᙓ ᙔ ᙕ ᙖ ᙗ ᙘ ᙙ ᙚ ᙛ ᙜ ᙝ ᙞ ᙟ ᙠ ᙡ ᙢ ᙣ ᙤ ᙥ ᙦ ᙧ ᙨ ᙩ ᙪ ᙫ ᙬ ᙭ ᙮ ᙯ ᙰ ᙱ ᙲ ᙳ ᙴ ᙵ ᙶ ᙷ ᙸ ᙹ ᙺ ᙻ ᙼ ᙽ ᙾ ᙿ</t>
        </is>
      </c>
      <c r="Q46" s="38" t="inlineStr">
        <is>
          <t>ᖫ ᖬ ᖭ ᖮ ᖯ ᖰ ᖱ ᖲ ᖳ ᖴ ᖵ ᖶ ᖷ ᖸ ᖹ ᖺ ᖻ ᖼ ᖽ ᖾ ᖿ ᗀ ᗁ ᗂ ᗃ ᗄ ᗅ ᗆ ᗇ ᗈ ᗉ ᗊ ᗋ ᗌ ᗍ ᗎ ᗏ ᗐ ᗑ ᗒ ᗓ ᗔ ᗕ ᗖ ᗗ ᗘ ᗙ ᗚ ᗛ ᗜ ᗝ ᗞ ᗟ ᗠ ᗡ ᗢ ᗣ ᗤ ᗥ ᗦ ᗧ ᗨ ᗩ ᗪ ᗫ ᗬ ᗭ ᗮ ᗯ ᗰ ᗱ ᗲ ᗳ ᗴ ᗵ ᗶ ᗷ ᗸ ᗹ ᗺ ᗻ ᗼ ᗽ ᗾ ᗿ ᘀ ᘁ ᘂ ᘃ ᘄ ᘅ ᘆ ᘇ ᘈ ᘉ ᘊ ᘋ ᘌ ᘍ ᘎ ᘏ ᘐ ᘑ ᘒ ᘓ ᘔ ᘕ ᘖ ᘗ ᘘ ᘙ ᘚ ᘛ ᘜ ᘝ ᘞ ᘟ ᘠ ᘡ ᘢ ᘣ ᘤ ᘥ ᘦ ᘧ ᘨ ᘩ ᘪ ᘫ ᘬ ᘭ ᘮ ᘯ ᘰ ᘱ ᘲ ᘳ ᘴ ᘵ ᘶ ᘷ ᘸ ᘹ ᘺ ᘻ ᘼ ᘽ ᘾ ᘿ ᙀ ᙁ ᙂ ᙃ ᙄ ᙅ ᙆ ᙇ ᙈ ᙉ ᙊ ᙋ ᙌ ᙍ ᙎ ᙏ ᙐ ᙑ ᙒ ᙓ ᙔ ᙕ ᙖ ᙗ ᙘ ᙙ ᙚ ᙛ ᙜ ᙝ ᙞ ᙟ ᙠ ᙡ ᙢ ᙣ ᙤ ᙥ ᙦ ᙧ ᙨ ᙩ ᙪ ᙫ ᙬ ᙭ ᙮ ᙯ ᙰ ᙱ ᙲ ᙳ ᙴ ᙵ ᙶ ᙷ ᙸ ᙹ ᙺ ᙻ ᙼ ᙽ ᙾ ᙿ</t>
        </is>
      </c>
      <c r="R46" s="43" t="inlineStr">
        <is>
          <t>ᖫ ᖬ ᖭ ᖮ ᖰ ᖱ ᖲ ᖳ ᖵ ᖶ ᖷ ᖸ ᖹ ᖺ ᖻ ᖼ ᖽ ᖾ ᖿ ᗀ ᗁ ᗂ ᗃ ᗆ ᗇ ᗈ ᗉ ᗌ ᗍ ᗎ ᗏ ᗒ ᗓ ᗔ ᗕ ᗘ ᗙ ᗚ ᗛ ᗜ ᗝ ᗟ ᗠ ᗡ ᗢ ᗣ ᗤ ᗥ ᗦ ᗧ ᗨ ᗩ ᗫ ᗬ ᗭ ᗮ ᗱ ᗲ ᗳ ᗴ ᗸ ᗹ ᗺ ᗽ ᗾ ᗿ ᘀ ᘂ ᘃ ᘄ ᘅ ᘆ ᘇ ᘊ ᘋ ᘌ ᘍ ᘎ ᘏ ᘐ ᘑ ᘒ ᘓ ᘔ ᘕ ᘖ ᘗ ᘘ ᘙ ᘚ ᘛ ᘜ ᘝ ᘞ ᘟ ᘠ ᘡ ᘢ ᘣ ᘤ ᘥ ᘦ ᘧ ᘨ ᘩ ᘪ ᘫ ᘬ ᘭ ᘮ ᘯ ᘰ ᘱ ᘲ ᘳ ᘴ ᘵ ᘶ ᘷ ᘸ ᘹ ᘺ ᘻ ᘼ ᘽ ᘾ ᘿ ᙀ ᙁ ᙂ ᙃ ᙄ ᙅ ᙆ ᙇ ᙈ ᙉ ᙊ ᙋ ᙌ ᙍ ᙎ ᙏ ᙐ ᙑ ᙒ ᙓ ᙔ ᙕ ᙖ ᙗ ᙘ ᙙ ᙚ ᙛ ᙜ ᙝ ᙞ ᙟ ᙠ ᙡ ᙢ ᙣ ᙤ ᙥ ᙦ ᙧ ᙨ ᙩ ᙪ ᙫ ᙬ ᙷ ᙸ ᙹ ᙺ ᙻ ᙼ ᙽ ᙾ</t>
        </is>
      </c>
      <c r="S46" s="40" t="n"/>
      <c r="T46" s="41" t="inlineStr">
        <is>
          <t>ᖫ ᖬ ᖭ ᖮ ᖯ ᖰ ᖱ ᖲ ᖳ ᖴ ᖵ ᖶ ᖷ ᖸ ᖹ ᖺ ᖻ ᖼ ᖽ ᖾ ᖿ ᗀ ᗁ ᗂ ᗃ ᗄ ᗅ ᗆ ᗇ ᗈ ᗉ ᗊ ᗋ ᗌ ᗍ ᗎ ᗏ ᗐ ᗑ ᗒ ᗓ ᗔ ᗕ ᗖ ᗗ ᗘ ᗙ ᗚ ᗛ ᗜ ᗝ ᗞ ᗟ ᗠ ᗡ ᗢ ᗣ ᗤ ᗥ ᗦ ᗧ ᗨ ᗩ ᗪ ᗫ ᗬ ᗭ ᗮ ᗯ ᗰ ᗱ ᗲ ᗳ ᗴ ᗵ ᗶ ᗷ ᗸ ᗹ ᗺ ᗻ ᗼ ᗽ ᗾ ᗿ ᘀ ᘁ ᘂ ᘃ ᘄ ᘅ ᘆ ᘇ ᘈ ᘉ ᘊ ᘋ ᘌ ᘍ ᘎ ᘏ ᘐ ᘑ ᘒ ᘓ ᘔ ᘕ ᘖ ᘗ ᘘ ᘙ ᘚ ᘛ ᘜ ᘝ ᘞ ᘟ ᘠ ᘡ ᘢ ᘣ ᘤ ᘥ ᘦ ᘧ ᘨ ᘩ ᘪ ᘫ ᘬ ᘭ ᘮ ᘯ ᘰ ᘱ ᘲ ᘳ ᘴ ᘵ ᘶ ᘷ ᘸ ᘹ ᘺ ᘻ ᘼ ᘽ ᘾ ᘿ ᙀ ᙁ ᙂ ᙃ ᙄ ᙅ ᙆ ᙇ ᙈ ᙉ ᙊ ᙋ ᙌ ᙍ ᙎ ᙏ ᙐ ᙑ ᙒ ᙓ ᙔ ᙕ ᙖ ᙗ ᙘ ᙙ ᙚ ᙛ ᙜ ᙝ ᙞ ᙟ ᙠ ᙡ ᙢ ᙣ ᙤ ᙥ ᙦ ᙧ ᙨ ᙩ ᙪ ᙫ ᙬ ᙭ ᙮ ᙯ ᙰ ᙱ ᙲ ᙳ ᙴ ᙵ ᙶ ᙷ ᙸ ᙹ ᙺ ᙻ ᙼ ᙽ ᙾ ᙿ</t>
        </is>
      </c>
      <c r="U46" s="42" t="inlineStr">
        <is>
          <t>ᖫ ᖬ ᖭ ᖮ ᖯ ᖰ ᖱ ᖲ ᖳ ᖴ ᖵ ᖶ ᖷ ᖸ ᖹ ᖺ ᖻ ᖼ ᖽ ᖾ ᖿ ᗀ ᗁ ᗂ ᗃ ᗄ ᗅ ᗆ ᗇ ᗈ ᗉ ᗊ ᗋ ᗌ ᗍ ᗎ ᗏ ᗐ ᗑ ᗒ ᗓ ᗔ ᗕ ᗖ ᗗ ᗘ ᗙ ᗚ ᗛ ᗜ ᗝ ᗞ ᗟ ᗠ ᗡ ᗢ ᗣ ᗤ ᗥ ᗦ ᗧ ᗨ ᗩ ᗪ ᗫ ᗬ ᗭ ᗮ ᗯ ᗰ ᗱ ᗲ ᗳ ᗴ ᗵ ᗶ ᗷ ᗸ ᗹ ᗺ ᗻ ᗼ ᗽ ᗾ ᗿ ᘀ ᘁ ᘂ ᘃ ᘄ ᘅ ᘆ ᘇ ᘈ ᘉ ᘊ ᘋ ᘌ ᘍ ᘎ ᘏ ᘐ ᘑ ᘒ ᘓ ᘔ ᘕ ᘖ ᘗ ᘘ ᘙ ᘚ ᘛ ᘜ ᘝ ᘞ ᘟ ᘠ ᘡ ᘢ ᘣ ᘤ ᘥ ᘦ ᘧ ᘨ ᘩ ᘪ ᘫ ᘬ ᘭ ᘮ ᘯ ᘰ ᘱ ᘲ ᘳ ᘴ ᘵ ᘶ ᘷ ᘸ ᘹ ᘺ ᘻ ᘼ ᘽ ᘾ ᘿ ᙀ ᙁ ᙂ ᙃ ᙄ ᙅ ᙆ ᙇ ᙈ ᙉ ᙊ ᙋ ᙌ ᙍ ᙎ ᙏ ᙐ ᙑ ᙒ ᙓ ᙔ ᙕ ᙖ ᙗ ᙘ ᙙ ᙚ ᙛ ᙜ ᙝ ᙞ ᙟ ᙠ ᙡ ᙢ ᙣ ᙤ ᙥ ᙦ ᙧ ᙨ ᙩ ᙪ ᙫ ᙬ ᙭ ᙮ ᙯ ᙰ ᙱ ᙲ ᙳ ᙴ ᙵ ᙶ ᙷ ᙸ ᙹ ᙺ ᙻ ᙼ ᙽ ᙾ ᙿ</t>
        </is>
      </c>
      <c r="V46" s="14">
        <f>(LEN(O46)+1)/2</f>
        <v/>
      </c>
      <c r="W46" s="14">
        <f>ROUNDDOWN((LEN(P46)+1)/2,0)</f>
        <v/>
      </c>
      <c r="X46" s="14">
        <f>ROUNDDOWN((LEN(Q46)+1)/2,0)</f>
        <v/>
      </c>
      <c r="Y46" s="14">
        <f>ROUNDDOWN((LEN(R46)+1)/2,0)</f>
        <v/>
      </c>
      <c r="Z46" s="14">
        <f>ROUNDDOWN((LEN(S46)+1)/2,0)</f>
        <v/>
      </c>
      <c r="AA46" s="56" t="n">
        <v>46150.55822792865</v>
      </c>
    </row>
    <row r="47" ht="25.5" customHeight="1">
      <c r="A47" s="46" t="inlineStr">
        <is>
          <t>z-wide</t>
        </is>
      </c>
      <c r="B47" s="46" t="inlineStr">
        <is>
          <t>U+1680-U+169C</t>
        </is>
      </c>
      <c r="C47" s="46" t="inlineStr">
        <is>
          <t>Ogham</t>
        </is>
      </c>
      <c r="D47" s="54">
        <f>HEX2DEC(MID(B47,3,FIND("-",E47)-3))</f>
        <v/>
      </c>
      <c r="E47" s="46" t="inlineStr">
        <is>
          <t>U+1680-U+169F</t>
        </is>
      </c>
      <c r="F47" s="14" t="n">
        <v>3</v>
      </c>
      <c r="G47" s="14" t="n">
        <v>0</v>
      </c>
      <c r="H47" s="14" t="n">
        <v>0</v>
      </c>
      <c r="I47" s="48" t="inlineStr">
        <is>
          <t>n</t>
        </is>
      </c>
      <c r="J47" s="19">
        <f>ROUNDDOWN(W47,0)/$V47</f>
        <v/>
      </c>
      <c r="K47" s="19">
        <f>ROUNDDOWN(X47,0)/$V47</f>
        <v/>
      </c>
      <c r="L47" s="19">
        <f>ROUNDDOWN(Y47,0)/$V47</f>
        <v/>
      </c>
      <c r="M47" s="19">
        <f>ROUNDDOWN(Z47,0)/$V47</f>
        <v/>
      </c>
      <c r="N47" s="35" t="inlineStr">
        <is>
          <t>Too wide</t>
        </is>
      </c>
      <c r="O47" s="36" t="inlineStr">
        <is>
          <t xml:space="preserve">  ᚁ ᚂ ᚃ ᚄ ᚅ ᚆ ᚇ ᚈ ᚉ ᚊ ᚋ ᚌ ᚍ ᚎ ᚏ ᚐ ᚑ ᚒ ᚓ ᚔ ᚕ ᚖ ᚗ ᚘ ᚙ ᚚ ᚛ ᚜</t>
        </is>
      </c>
      <c r="P47" s="37" t="inlineStr">
        <is>
          <t>ᚁ ᚂ ᚃ ᚄ ᚅ ᚆ ᚇ ᚈ ᚉ ᚊ ᚋ ᚌ ᚍ ᚎ ᚏ ᚐ ᚑ ᚒ ᚓ ᚔ ᚕ ᚖ ᚗ ᚘ ᚙ ᚚ ᚛ ᚜</t>
        </is>
      </c>
      <c r="Q47" s="38" t="inlineStr">
        <is>
          <t>ᚁ ᚂ ᚃ ᚄ ᚅ ᚆ ᚇ ᚈ ᚉ ᚊ ᚋ ᚌ ᚍ ᚎ ᚏ ᚐ ᚑ ᚒ ᚓ ᚔ ᚕ ᚖ ᚗ ᚘ ᚙ ᚚ ᚛ ᚜</t>
        </is>
      </c>
      <c r="R47" s="43" t="inlineStr"/>
      <c r="S47" s="40" t="n"/>
      <c r="T47" s="41" t="inlineStr">
        <is>
          <t xml:space="preserve">  ᚁ ᚂ ᚃ ᚄ ᚅ ᚆ ᚇ ᚈ ᚉ ᚊ ᚋ ᚌ ᚍ ᚎ ᚏ ᚐ ᚑ ᚒ ᚓ ᚔ ᚕ ᚖ ᚗ ᚘ ᚙ ᚚ ᚛ ᚜</t>
        </is>
      </c>
      <c r="U47" s="42" t="inlineStr">
        <is>
          <t xml:space="preserve">  ᚁ ᚂ ᚃ ᚄ ᚅ ᚆ ᚇ ᚈ ᚉ ᚊ ᚋ ᚌ ᚍ ᚎ ᚏ ᚐ ᚑ ᚒ ᚓ ᚔ ᚕ ᚖ ᚗ ᚘ ᚙ ᚚ ᚛ ᚜</t>
        </is>
      </c>
      <c r="V47" s="14">
        <f>(LEN(O47)+1)/2</f>
        <v/>
      </c>
      <c r="W47" s="14">
        <f>ROUNDDOWN((LEN(P47)+1)/2,0)</f>
        <v/>
      </c>
      <c r="X47" s="14">
        <f>ROUNDDOWN((LEN(Q47)+1)/2,0)</f>
        <v/>
      </c>
      <c r="Y47" s="14">
        <f>ROUNDDOWN((LEN(R47)+1)/2,0)</f>
        <v/>
      </c>
      <c r="Z47" s="14">
        <f>ROUNDDOWN((LEN(S47)+1)/2,0)</f>
        <v/>
      </c>
      <c r="AA47" s="56" t="n">
        <v>46150.55822828913</v>
      </c>
    </row>
    <row r="48" ht="66" customHeight="1">
      <c r="B48" s="46" t="inlineStr">
        <is>
          <t>U+16A0-U+16F8</t>
        </is>
      </c>
      <c r="C48" s="46" t="inlineStr">
        <is>
          <t>Runic</t>
        </is>
      </c>
      <c r="D48" s="54">
        <f>HEX2DEC(MID(B48,3,FIND("-",E48)-3))</f>
        <v/>
      </c>
      <c r="E48" s="46" t="inlineStr">
        <is>
          <t>U+16A0-U+16FF</t>
        </is>
      </c>
      <c r="F48" s="14" t="n">
        <v>3</v>
      </c>
      <c r="G48" s="14" t="n">
        <v>3</v>
      </c>
      <c r="H48" s="14" t="n">
        <v>4</v>
      </c>
      <c r="I48" s="48" t="inlineStr">
        <is>
          <t>y</t>
        </is>
      </c>
      <c r="J48" s="19">
        <f>ROUNDDOWN(W48,0)/$V48</f>
        <v/>
      </c>
      <c r="K48" s="19">
        <f>ROUNDDOWN(X48,0)/$V48</f>
        <v/>
      </c>
      <c r="L48" s="19">
        <f>ROUNDDOWN(Y48,0)/$V48</f>
        <v/>
      </c>
      <c r="M48" s="19">
        <f>ROUNDDOWN(Z48,0)/$V48</f>
        <v/>
      </c>
      <c r="O48" s="36" t="inlineStr">
        <is>
          <t>ᚠ ᚡ ᚢ ᚣ ᚤ ᚥ ᚦ ᚧ ᚨ ᚩ ᚪ ᚫ ᚬ ᚭ ᚮ ᚯ ᚰ ᚱ ᚲ ᚳ ᚴ ᚵ ᚶ ᚷ ᚸ ᚹ ᚺ ᚻ ᚼ ᚽ ᚾ ᚿ ᛀ ᛁ ᛂ ᛃ ᛄ ᛅ ᛆ ᛇ ᛈ ᛉ ᛊ ᛋ ᛌ ᛍ ᛎ ᛏ ᛐ ᛑ ᛒ ᛓ ᛔ ᛕ ᛖ ᛗ ᛘ ᛙ ᛚ ᛛ ᛜ ᛝ ᛞ ᛟ ᛠ ᛡ ᛢ ᛣ ᛤ ᛥ ᛦ ᛧ ᛨ ᛩ ᛪ ᛫ ᛬ ᛭ ᛮ ᛯ ᛰ ᛱ ᛲ ᛳ ᛴ ᛵ ᛶ ᛷ ᛸ</t>
        </is>
      </c>
      <c r="P48" s="37" t="inlineStr">
        <is>
          <t>ᚠ ᚡ ᚢ ᚣ ᚤ ᚥ ᚦ ᚧ ᚨ ᚩ ᚪ ᚫ ᚬ ᚭ ᚮ ᚯ ᚰ ᚱ ᚲ ᚳ ᚴ ᚵ ᚶ ᚷ ᚸ ᚹ ᚺ ᚻ ᚼ ᚽ ᚾ ᚿ ᛀ ᛁ ᛂ ᛃ ᛄ ᛅ ᛆ ᛇ ᛈ ᛉ ᛊ ᛋ ᛌ ᛍ ᛎ ᛏ ᛐ ᛑ ᛒ ᛓ ᛔ ᛕ ᛖ ᛗ ᛘ ᛙ ᛚ ᛛ ᛜ ᛝ ᛞ ᛟ ᛠ ᛡ ᛢ ᛣ ᛤ ᛥ ᛦ ᛧ ᛨ ᛩ ᛪ ᛫ ᛬ ᛭ ᛮ ᛯ ᛰ ᛱ ᛲ ᛳ ᛴ ᛵ ᛶ ᛷ ᛸ</t>
        </is>
      </c>
      <c r="Q48" s="38" t="inlineStr">
        <is>
          <t>ᚠ ᚡ ᚢ ᚣ ᚤ ᚥ ᚦ ᚧ ᚨ ᚪ ᚫ ᚰ ᚱ ᚲ ᚳ ᚴ ᚵ ᚶ ᚷ ᚸ ᚹ ᚺ ᚻ ᚼ ᚽ ᚾ ᚿ ᛀ ᛁ ᛂ ᛃ ᛄ ᛆ ᛇ ᛈ ᛉ ᛊ ᛋ ᛌ ᛍ ᛎ ᛏ ᛐ ᛑ ᛒ ᛓ ᛔ ᛕ ᛖ ᛗ ᛘ ᛙ ᛚ ᛛ ᛜ ᛝ ᛞ ᛠ ᛡ ᛢ ᛣ ᛤ ᛥ ᛦ ᛧ ᛨ ᛩ ᛪ ᛫ ᛬ ᛭ ᛮ ᛯ ᛰ ᛱ ᛲ ᛳ ᛴ ᛵ ᛶ ᛷ ᛸ</t>
        </is>
      </c>
      <c r="R48" s="39" t="inlineStr">
        <is>
          <t>ᚠ ᚡ ᚢ ᚣ ᚤ ᚥ ᚦ ᚧ ᚨ ᚪ ᚫ ᚰ ᚱ ᚲ ᚳ ᚴ ᚵ ᚶ ᚸ ᚹ ᚺ ᚻ ᚼ ᚽ ᚾ ᚿ ᛀ ᛂ ᛃ ᛄ ᛆ ᛇ ᛈ ᛉ ᛊ ᛋ ᛍ ᛎ ᛏ ᛐ ᛑ ᛒ ᛓ ᛔ ᛗ ᛘ ᛙ ᛚ ᛛ ᛜ ᛝ ᛞ ᛡ ᛣ ᛤ ᛥ ᛦ ᛨ ᛩ ᛪ ᛭ ᛮ ᛯ ᛰ ᛱ ᛲ ᛳ ᛴ ᛵ ᛶ ᛷ ᛸ</t>
        </is>
      </c>
      <c r="S48" s="40" t="n"/>
      <c r="T48" s="41" t="inlineStr">
        <is>
          <t>ᚠ ᚡ ᚢ ᚣ ᚤ ᚥ ᚦ ᚧ ᚨ ᚩ ᚪ ᚫ ᚬ ᚭ ᚮ ᚯ ᚰ ᚱ ᚲ ᚳ ᚴ ᚵ ᚶ ᚷ ᚸ ᚹ ᚺ ᚻ ᚼ ᚽ ᚾ ᚿ ᛀ ᛁ ᛂ ᛃ ᛄ ᛅ ᛆ ᛇ ᛈ ᛉ ᛊ ᛋ ᛌ ᛍ ᛎ ᛏ ᛐ ᛑ ᛒ ᛓ ᛔ ᛕ ᛖ ᛗ ᛘ ᛙ ᛚ ᛛ ᛜ ᛝ ᛞ ᛟ ᛠ ᛡ ᛢ ᛣ ᛤ ᛥ ᛦ ᛧ ᛨ ᛩ ᛪ ᛫ ᛬ ᛭ ᛮ ᛯ ᛰ ᛱ ᛲ ᛳ ᛴ ᛵ ᛶ ᛷ ᛸ</t>
        </is>
      </c>
      <c r="U48" s="42" t="inlineStr">
        <is>
          <t>ᚠ ᚡ ᚢ ᚣ ᚤ ᚥ ᚦ ᚧ ᚨ ᚩ ᚪ ᚫ ᚬ ᚭ ᚮ ᚯ ᚰ ᚱ ᚲ ᚳ ᚴ ᚵ ᚶ ᚷ ᚸ ᚹ ᚺ ᚻ ᚼ ᚽ ᚾ ᚿ ᛀ ᛁ ᛂ ᛃ ᛄ ᛅ ᛆ ᛇ ᛈ ᛉ ᛊ ᛋ ᛌ ᛍ ᛎ ᛏ ᛐ ᛑ ᛒ ᛓ ᛔ ᛕ ᛖ ᛗ ᛘ ᛙ ᛚ ᛛ ᛜ ᛝ ᛞ ᛟ ᛠ ᛡ ᛢ ᛣ ᛤ ᛥ ᛦ ᛧ ᛨ ᛩ ᛪ ᛫ ᛬ ᛭ ᛮ ᛯ ᛰ ᛱ ᛲ ᛳ ᛴ ᛵ ᛶ ᛷ ᛸ</t>
        </is>
      </c>
      <c r="V48" s="14">
        <f>(LEN(O48)+1)/2</f>
        <v/>
      </c>
      <c r="W48" s="14">
        <f>ROUNDDOWN((LEN(P48)+1)/2,0)</f>
        <v/>
      </c>
      <c r="X48" s="14">
        <f>ROUNDDOWN((LEN(Q48)+1)/2,0)</f>
        <v/>
      </c>
      <c r="Y48" s="14">
        <f>ROUNDDOWN((LEN(R48)+1)/2,0)</f>
        <v/>
      </c>
      <c r="Z48" s="14">
        <f>ROUNDDOWN((LEN(S48)+1)/2,0)</f>
        <v/>
      </c>
      <c r="AA48" s="56" t="n">
        <v>46150.55822917251</v>
      </c>
    </row>
    <row r="49" ht="25.5" customHeight="1">
      <c r="A49" s="46" t="inlineStr">
        <is>
          <t>z-Bitmapped</t>
        </is>
      </c>
      <c r="B49" s="46" t="inlineStr">
        <is>
          <t>U+1700-U+171F</t>
        </is>
      </c>
      <c r="C49" s="46" t="inlineStr">
        <is>
          <t>Tagalog</t>
        </is>
      </c>
      <c r="D49" s="54">
        <f>HEX2DEC(MID(B49,3,FIND("-",E49)-3))</f>
        <v/>
      </c>
      <c r="E49" s="46" t="inlineStr">
        <is>
          <t>U+1700-U+171F</t>
        </is>
      </c>
      <c r="F49" s="14" t="n">
        <v>3</v>
      </c>
      <c r="G49" s="14" t="n">
        <v>0</v>
      </c>
      <c r="H49" s="14" t="n">
        <v>0</v>
      </c>
      <c r="I49" s="48" t="inlineStr">
        <is>
          <t>n</t>
        </is>
      </c>
      <c r="J49" s="19">
        <f>ROUNDDOWN(W49,0)/$V49</f>
        <v/>
      </c>
      <c r="K49" s="19">
        <f>ROUNDDOWN(X49,0)/$V49</f>
        <v/>
      </c>
      <c r="L49" s="19">
        <f>ROUNDDOWN(Y49,0)/$V49</f>
        <v/>
      </c>
      <c r="M49" s="19">
        <f>ROUNDDOWN(Z49,0)/$V49</f>
        <v/>
      </c>
      <c r="N49" s="35" t="inlineStr">
        <is>
          <t>Font rendering issues (bitmapped font?). Double-height.</t>
        </is>
      </c>
      <c r="O49" s="36" t="inlineStr">
        <is>
          <t>ᜀ ᜁ ᜂ ᜃ ᜄ ᜅ ᜆ ᜇ ᜈ ᜉ ᜊ ᜋ ᜌ ᜍ ᜎ ᜏ ᜐ ᜑ ᜒ ᜓ ᜔ ᜕ ᜟ</t>
        </is>
      </c>
      <c r="P49" s="37" t="inlineStr">
        <is>
          <t>ᜀ ᜁ ᜂ ᜃ ᜄ ᜅ ᜆ ᜇ ᜈ ᜉ ᜊ ᜋ ᜌ ᜍ ᜎ ᜏ ᜐ ᜑ ᜟ</t>
        </is>
      </c>
      <c r="Q49" s="38" t="inlineStr">
        <is>
          <t>ᜀ ᜁ ᜂ ᜃ ᜄ ᜅ ᜆ ᜇ ᜈ ᜉ ᜊ ᜋ ᜌ ᜍ ᜎ ᜏ ᜐ ᜑ ᜟ</t>
        </is>
      </c>
      <c r="R49" s="43" t="inlineStr">
        <is>
          <t>ᜂ ᜄ ᜈ ᜏ</t>
        </is>
      </c>
      <c r="S49" s="40" t="n"/>
      <c r="V49" s="14">
        <f>(LEN(O49)+1)/2</f>
        <v/>
      </c>
      <c r="W49" s="14">
        <f>ROUNDDOWN((LEN(P49)+1)/2,0)</f>
        <v/>
      </c>
      <c r="X49" s="14">
        <f>ROUNDDOWN((LEN(Q49)+1)/2,0)</f>
        <v/>
      </c>
      <c r="Y49" s="14">
        <f>ROUNDDOWN((LEN(R49)+1)/2,0)</f>
        <v/>
      </c>
      <c r="Z49" s="14">
        <f>ROUNDDOWN((LEN(S49)+1)/2,0)</f>
        <v/>
      </c>
      <c r="AA49" s="56" t="n">
        <v>46150.55822946376</v>
      </c>
    </row>
    <row r="50" ht="25.5" customHeight="1">
      <c r="B50" s="46" t="inlineStr">
        <is>
          <t>U+1720-U+1736</t>
        </is>
      </c>
      <c r="C50" s="46" t="inlineStr">
        <is>
          <t>Hanunoo</t>
        </is>
      </c>
      <c r="D50" s="54">
        <f>HEX2DEC(MID(B50,3,FIND("-",E50)-3))</f>
        <v/>
      </c>
      <c r="E50" s="46" t="inlineStr">
        <is>
          <t>U+1720-U+173F</t>
        </is>
      </c>
      <c r="F50" s="14" t="n">
        <v>3</v>
      </c>
      <c r="G50" s="14" t="n">
        <v>3</v>
      </c>
      <c r="H50" s="14" t="n">
        <v>2</v>
      </c>
      <c r="I50" s="48" t="inlineStr">
        <is>
          <t>y</t>
        </is>
      </c>
      <c r="J50" s="19">
        <f>ROUNDDOWN(W50,0)/$V50</f>
        <v/>
      </c>
      <c r="K50" s="19">
        <f>ROUNDDOWN(X50,0)/$V50</f>
        <v/>
      </c>
      <c r="L50" s="19">
        <f>ROUNDDOWN(Y50,0)/$V50</f>
        <v/>
      </c>
      <c r="M50" s="19">
        <f>ROUNDDOWN(Z50,0)/$V50</f>
        <v/>
      </c>
      <c r="N50" s="35" t="inlineStr">
        <is>
          <t>Double-height.</t>
        </is>
      </c>
      <c r="O50" s="36" t="inlineStr">
        <is>
          <t>ᜠ ᜡ ᜢ ᜣ ᜤ ᜥ ᜦ ᜧ ᜨ ᜩ ᜪ ᜫ ᜬ ᜭ ᜮ ᜯ ᜰ ᜱ ᜲ ᜳ ᜴ ᜵ ᜶</t>
        </is>
      </c>
      <c r="P50" s="37" t="inlineStr">
        <is>
          <t>ᜠ ᜡ ᜢ ᜣ ᜤ ᜥ ᜦ ᜧ ᜨ ᜩ ᜪ ᜫ ᜬ ᜭ ᜮ ᜯ ᜰ ᜱ ᜵ ᜶</t>
        </is>
      </c>
      <c r="Q50" s="38" t="inlineStr">
        <is>
          <t>ᜠ ᜡ ᜢ ᜣ ᜤ ᜥ ᜦ ᜧ ᜨ ᜩ ᜪ ᜫ ᜬ ᜭ ᜮ ᜯ ᜰ ᜱ ᜵ ᜶</t>
        </is>
      </c>
      <c r="R50" s="39" t="inlineStr">
        <is>
          <t>ᜢ ᜣ ᜤ ᜥ ᜦ ᜧ ᜪ ᜫ ᜭ ᜮ ᜱ ᜵ ᜶</t>
        </is>
      </c>
      <c r="S50" s="40" t="n"/>
      <c r="V50" s="14">
        <f>(LEN(O50)+1)/2</f>
        <v/>
      </c>
      <c r="W50" s="14">
        <f>ROUNDDOWN((LEN(P50)+1)/2,0)</f>
        <v/>
      </c>
      <c r="X50" s="14">
        <f>ROUNDDOWN((LEN(Q50)+1)/2,0)</f>
        <v/>
      </c>
      <c r="Y50" s="14">
        <f>ROUNDDOWN((LEN(R50)+1)/2,0)</f>
        <v/>
      </c>
      <c r="Z50" s="14">
        <f>ROUNDDOWN((LEN(S50)+1)/2,0)</f>
        <v/>
      </c>
      <c r="AA50" s="56" t="n">
        <v>46150.55822976033</v>
      </c>
    </row>
    <row r="51" ht="25.5" customHeight="1">
      <c r="A51" s="46" t="inlineStr">
        <is>
          <t>z-Bitmapped</t>
        </is>
      </c>
      <c r="B51" s="46" t="inlineStr">
        <is>
          <t>U+1740-U+1753</t>
        </is>
      </c>
      <c r="C51" s="46" t="inlineStr">
        <is>
          <t>Buhid</t>
        </is>
      </c>
      <c r="D51" s="54">
        <f>HEX2DEC(MID(B51,3,FIND("-",E51)-3))</f>
        <v/>
      </c>
      <c r="E51" s="46" t="inlineStr">
        <is>
          <t>U+1740-U+175F</t>
        </is>
      </c>
      <c r="F51" s="14" t="n">
        <v>3</v>
      </c>
      <c r="G51" s="14" t="n">
        <v>0</v>
      </c>
      <c r="H51" s="14" t="n">
        <v>0</v>
      </c>
      <c r="I51" s="48" t="inlineStr">
        <is>
          <t>n</t>
        </is>
      </c>
      <c r="J51" s="19">
        <f>ROUNDDOWN(W51,0)/$V51</f>
        <v/>
      </c>
      <c r="K51" s="19">
        <f>ROUNDDOWN(X51,0)/$V51</f>
        <v/>
      </c>
      <c r="L51" s="19">
        <f>ROUNDDOWN(Y51,0)/$V51</f>
        <v/>
      </c>
      <c r="M51" s="19">
        <f>ROUNDDOWN(Z51,0)/$V51</f>
        <v/>
      </c>
      <c r="N51" s="35" t="inlineStr">
        <is>
          <t>Double-height.</t>
        </is>
      </c>
      <c r="O51" s="36" t="inlineStr">
        <is>
          <t>ᝀ ᝁ ᝂ ᝃ ᝄ ᝅ ᝆ ᝇ ᝈ ᝉ ᝊ ᝋ ᝌ ᝍ ᝎ ᝏ ᝐ ᝑ ᝒ ᝓ</t>
        </is>
      </c>
      <c r="P51" s="37" t="inlineStr">
        <is>
          <t>ᝀ ᝁ ᝂ ᝃ ᝄ ᝅ ᝆ ᝇ ᝈ ᝉ ᝊ ᝋ ᝌ ᝍ ᝎ ᝏ ᝐ ᝑ</t>
        </is>
      </c>
      <c r="Q51" s="38" t="inlineStr">
        <is>
          <t>ᝀ ᝁ ᝂ ᝃ ᝄ ᝅ ᝆ ᝇ ᝈ ᝉ ᝊ ᝋ ᝌ ᝍ ᝎ ᝏ ᝐ ᝑ</t>
        </is>
      </c>
      <c r="R51" s="43" t="inlineStr">
        <is>
          <t>ᝀ ᝁ ᝂ ᝄ ᝅ ᝇ ᝈ ᝉ ᝊ ᝋ ᝌ ᝍ ᝎ ᝏ ᝐ ᝑ</t>
        </is>
      </c>
      <c r="S51" s="40" t="n"/>
      <c r="V51" s="14">
        <f>(LEN(O51)+1)/2</f>
        <v/>
      </c>
      <c r="W51" s="14">
        <f>ROUNDDOWN((LEN(P51)+1)/2,0)</f>
        <v/>
      </c>
      <c r="X51" s="14">
        <f>ROUNDDOWN((LEN(Q51)+1)/2,0)</f>
        <v/>
      </c>
      <c r="Y51" s="14">
        <f>ROUNDDOWN((LEN(R51)+1)/2,0)</f>
        <v/>
      </c>
      <c r="Z51" s="14">
        <f>ROUNDDOWN((LEN(S51)+1)/2,0)</f>
        <v/>
      </c>
      <c r="AA51" s="56" t="n">
        <v>46150.55823004399</v>
      </c>
    </row>
    <row r="52" ht="25.5" customHeight="1">
      <c r="A52" s="46" t="inlineStr">
        <is>
          <t>z-Bitmapped</t>
        </is>
      </c>
      <c r="B52" s="46" t="inlineStr">
        <is>
          <t>U+1760-U+1773</t>
        </is>
      </c>
      <c r="C52" s="46" t="inlineStr">
        <is>
          <t>Tagbanwa</t>
        </is>
      </c>
      <c r="D52" s="54">
        <f>HEX2DEC(MID(B52,3,FIND("-",E52)-3))</f>
        <v/>
      </c>
      <c r="E52" s="46" t="inlineStr">
        <is>
          <t>U+1760-U+177F</t>
        </is>
      </c>
      <c r="F52" s="14" t="n">
        <v>3</v>
      </c>
      <c r="G52" s="14" t="n">
        <v>0</v>
      </c>
      <c r="H52" s="14" t="n">
        <v>0</v>
      </c>
      <c r="I52" s="48" t="inlineStr">
        <is>
          <t>n</t>
        </is>
      </c>
      <c r="J52" s="19">
        <f>ROUNDDOWN(W52,0)/$V52</f>
        <v/>
      </c>
      <c r="K52" s="19">
        <f>ROUNDDOWN(X52,0)/$V52</f>
        <v/>
      </c>
      <c r="L52" s="19">
        <f>ROUNDDOWN(Y52,0)/$V52</f>
        <v/>
      </c>
      <c r="M52" s="19">
        <f>ROUNDDOWN(Z52,0)/$V52</f>
        <v/>
      </c>
      <c r="N52" s="35" t="inlineStr">
        <is>
          <t>Font rendering issues (bitmapped font?). Double-height.</t>
        </is>
      </c>
      <c r="O52" s="36" t="inlineStr">
        <is>
          <t>ᝠ ᝡ ᝢ ᝣ ᝤ ᝥ ᝦ ᝧ ᝨ ᝩ ᝪ ᝫ ᝬ ᝮ ᝯ ᝰ ᝲ ᝳ</t>
        </is>
      </c>
      <c r="P52" s="37" t="inlineStr">
        <is>
          <t>ᝠ ᝡ ᝢ ᝣ ᝤ ᝥ ᝦ ᝧ ᝨ ᝩ ᝪ ᝫ ᝬ ᝮ ᝯ ᝰ</t>
        </is>
      </c>
      <c r="Q52" s="38" t="inlineStr">
        <is>
          <t>ᝠ ᝡ ᝢ ᝣ ᝤ ᝥ ᝦ ᝧ ᝨ ᝩ ᝪ ᝫ ᝬ ᝮ ᝯ ᝰ</t>
        </is>
      </c>
      <c r="R52" s="43" t="inlineStr">
        <is>
          <t>ᝢ ᝣ ᝪ</t>
        </is>
      </c>
      <c r="S52" s="40" t="n"/>
      <c r="V52" s="14">
        <f>(LEN(O52)+1)/2</f>
        <v/>
      </c>
      <c r="W52" s="14">
        <f>ROUNDDOWN((LEN(P52)+1)/2,0)</f>
        <v/>
      </c>
      <c r="X52" s="14">
        <f>ROUNDDOWN((LEN(Q52)+1)/2,0)</f>
        <v/>
      </c>
      <c r="Y52" s="14">
        <f>ROUNDDOWN((LEN(R52)+1)/2,0)</f>
        <v/>
      </c>
      <c r="Z52" s="14">
        <f>ROUNDDOWN((LEN(S52)+1)/2,0)</f>
        <v/>
      </c>
      <c r="AA52" s="56" t="n">
        <v>46150.55823032624</v>
      </c>
    </row>
    <row r="53" ht="45" customHeight="1">
      <c r="B53" s="46" t="inlineStr">
        <is>
          <t>U+1780-U+17F9</t>
        </is>
      </c>
      <c r="C53" s="46" t="inlineStr">
        <is>
          <t>Khmer</t>
        </is>
      </c>
      <c r="D53" s="54">
        <f>HEX2DEC(MID(B53,3,FIND("-",E53)-3))</f>
        <v/>
      </c>
      <c r="E53" s="46" t="inlineStr">
        <is>
          <t>U+1780-U+17FF</t>
        </is>
      </c>
      <c r="F53" s="14" t="n">
        <v>3</v>
      </c>
      <c r="G53" s="14" t="n">
        <v>3</v>
      </c>
      <c r="H53" s="14" t="n">
        <v>2</v>
      </c>
      <c r="I53" s="48" t="inlineStr">
        <is>
          <t>y</t>
        </is>
      </c>
      <c r="J53" s="19">
        <f>ROUNDDOWN(W53,0)/$V53</f>
        <v/>
      </c>
      <c r="K53" s="19">
        <f>ROUNDDOWN(X53,0)/$V53</f>
        <v/>
      </c>
      <c r="L53" s="19">
        <f>ROUNDDOWN(Y53,0)/$V53</f>
        <v/>
      </c>
      <c r="M53" s="19">
        <f>ROUNDDOWN(Z53,0)/$V53</f>
        <v/>
      </c>
      <c r="N53" s="35" t="inlineStr">
        <is>
          <t>Many combined characters. Double-height.</t>
        </is>
      </c>
      <c r="O53" s="36" t="inlineStr">
        <is>
          <t>ក ខ គ ឃ ង ច ឆ ជ ឈ ញ ដ ឋ ឌ ឍ ណ ត ថ ទ ធ ន ប ផ ព ភ ម យ រ ល វ ឝ ឞ ស ហ ឡ អ ឣ ឤ ឥ ឦ ឧ ឨ ឩ ឪ ឫ ឬ ឭ ឮ ឯ ឰ ឱ ឲ ឳ ឴ ឵ ា ិ ី ឹ ឺ ុ ូ ួ ើ ឿ ៀ េ ែ ៃ ោ ៅ ំ ះ ៈ ៉ ៊ ់ ៌ ៍ ៎ ៏ ័ ៑ ្ ៓ ។ ៕ ៖ ៗ ៘ ៙ ៚ ៛ ៜ ៝ ០ ១ ២ ៣ ៤ ៥ ៦ ៧ ៨ ៩ ៰ ៱ ៲ ៳ ៴ ៵ ៶ ៷ ៸ ៹</t>
        </is>
      </c>
      <c r="P53" s="37" t="inlineStr">
        <is>
          <t>ក ខ គ ឃ ង ច ឆ ជ ឈ ញ ដ ឋ ឌ ឍ ណ ត ថ ទ ធ ន ប ផ ព ភ ម យ រ ល វ ឝ ឞ ស ហ ឡ អ ឣ ឤ ឥ ឦ ឧ ឨ ឩ ឪ ឫ ឬ ឭ ឮ ឯ ឰ ឱ ឲ ឳ ។ ៕ ៖ ៗ ៘ ៙ ៚ ៛ ៜ ០ ១ ២ ៣ ៤ ៥ ៦ ៧ ៨ ៩ ៰ ៱ ៲ ៳ ៴ ៵ ៶ ៷ ៸ ៹</t>
        </is>
      </c>
      <c r="Q53" s="38" t="inlineStr">
        <is>
          <t>ក ខ គ ឃ ង ច ឆ ជ ឈ ញ ដ ឋ ឌ ឍ ណ ត ថ ទ ធ ន ប ផ ព ភ ម យ រ ល វ ឝ ឞ ស ហ ឡ អ ឣ ឤ ឥ ឦ ឧ ឨ ឩ ឪ ឫ ឬ ឭ ឮ ឯ ឰ ឱ ឲ ឳ ។ ៕ ៖ ៗ ៘ ៙ ៚ ៛ ៜ</t>
        </is>
      </c>
      <c r="R53" s="39" t="inlineStr">
        <is>
          <t>ក ខ គ ឃ ង ច ឆ ជ ញ ដ ឋ ឌ ណ ត ថ ទ ធ ន ប ផ ព ភ ម យ រ ល វ ឝ ឞ ស ហ អ ឣ ឥ ឧ ឨ ឪ ឫ ឭ ឮ ឯ ឰ ឱ ឲ ឳ ។ ៖ ៗ ៙ ៛ ៜ</t>
        </is>
      </c>
      <c r="S53" s="40" t="n"/>
      <c r="V53" s="14">
        <f>(LEN(O53)+1)/2</f>
        <v/>
      </c>
      <c r="W53" s="14">
        <f>ROUNDDOWN((LEN(P53)+1)/2,0)</f>
        <v/>
      </c>
      <c r="X53" s="14">
        <f>ROUNDDOWN((LEN(Q53)+1)/2,0)</f>
        <v/>
      </c>
      <c r="Y53" s="14">
        <f>ROUNDDOWN((LEN(R53)+1)/2,0)</f>
        <v/>
      </c>
      <c r="Z53" s="14">
        <f>ROUNDDOWN((LEN(S53)+1)/2,0)</f>
        <v/>
      </c>
      <c r="AA53" s="56" t="n">
        <v>46150.5582309462</v>
      </c>
    </row>
    <row r="54" ht="45" customHeight="1">
      <c r="A54" s="46" t="inlineStr">
        <is>
          <t>z-Bitmapped</t>
        </is>
      </c>
      <c r="B54" s="46" t="inlineStr">
        <is>
          <t>U+1800-U+18AA</t>
        </is>
      </c>
      <c r="C54" s="46" t="inlineStr">
        <is>
          <t>Mongolian</t>
        </is>
      </c>
      <c r="D54" s="54">
        <f>HEX2DEC(MID(B54,3,FIND("-",E54)-3))</f>
        <v/>
      </c>
      <c r="E54" s="46" t="inlineStr">
        <is>
          <t>U+1800-U+18AF</t>
        </is>
      </c>
      <c r="F54" s="14" t="n">
        <v>3</v>
      </c>
      <c r="G54" s="14" t="n">
        <v>0</v>
      </c>
      <c r="H54" s="14" t="n">
        <v>0</v>
      </c>
      <c r="I54" s="48" t="inlineStr">
        <is>
          <t>n</t>
        </is>
      </c>
      <c r="J54" s="19">
        <f>ROUNDDOWN(W54,0)/$V54</f>
        <v/>
      </c>
      <c r="K54" s="19">
        <f>ROUNDDOWN(X54,0)/$V54</f>
        <v/>
      </c>
      <c r="L54" s="19">
        <f>ROUNDDOWN(Y54,0)/$V54</f>
        <v/>
      </c>
      <c r="M54" s="19">
        <f>ROUNDDOWN(Z54,0)/$V54</f>
        <v/>
      </c>
      <c r="N54" s="35" t="inlineStr">
        <is>
          <t>Many combined characters. Font rendering issues (bitmapped font?). Double-height.</t>
        </is>
      </c>
      <c r="O54" s="36" t="inlineStr">
        <is>
          <t>᠀ ᠁ ᠂ ᠃ ᠄ ᠅ ᠆ ᠇ ᠈ ᠉ ᠊ ᠋ ᠌ ᠍ ᠏ ᠐ ᠑ ᠒ ᠓ ᠔ ᠕ ᠖ ᠗ ᠘ ᠙ ᠠ ᠡ ᠢ ᠣ ᠤ ᠥ ᠦ ᠧ ᠨ ᠩ ᠪ ᠫ ᠬ ᠭ ᠮ ᠯ ᠰ ᠱ ᠲ ᠳ ᠴ ᠵ ᠶ ᠷ ᠸ ᠹ ᠺ ᠻ ᠼ ᠽ ᠾ ᠿ ᡀ ᡁ ᡂ ᡃ ᡄ ᡅ ᡆ ᡇ ᡈ ᡉ ᡊ ᡋ ᡌ ᡍ ᡎ ᡏ ᡐ ᡑ ᡒ ᡓ ᡔ ᡕ ᡖ ᡗ ᡘ ᡙ ᡚ ᡛ ᡜ ᡝ ᡞ ᡟ ᡠ ᡡ ᡢ ᡣ ᡤ ᡥ ᡦ ᡧ ᡨ ᡩ ᡪ ᡫ ᡬ ᡭ ᡮ ᡯ ᡰ ᡱ ᡲ ᡳ ᡴ ᡵ ᡶ ᡷ ᡸ ᢀ ᢁ ᢂ ᢃ ᢄ ᢅ ᢆ ᢇ ᢈ ᢉ ᢊ ᢋ ᢌ ᢍ ᢎ ᢏ ᢐ ᢑ ᢒ ᢓ ᢔ ᢕ ᢖ ᢗ ᢘ ᢙ ᢚ ᢛ ᢜ ᢝ ᢞ ᢟ ᢠ ᢡ ᢢ ᢣ ᢤ ᢥ ᢦ ᢧ ᢨ ᢩ ᢪ</t>
        </is>
      </c>
      <c r="P54" s="37" t="inlineStr">
        <is>
          <t>᠀ ᠁ ᠂ ᠃ ᠄ ᠅ ᠆ ᠇ ᠈ ᠉ ᠊ ᠐ ᠑ ᠒ ᠓ ᠔ ᠕ ᠖ ᠗ ᠘ ᠙ ᠠ ᠡ ᠢ ᠣ ᠤ ᠥ ᠦ ᠧ ᠨ ᠩ ᠪ ᠫ ᠬ ᠭ ᠮ ᠯ ᠰ ᠱ ᠲ ᠳ ᠴ ᠵ ᠶ ᠷ ᠸ ᠹ ᠺ ᠻ ᠼ ᠽ ᠾ ᠿ ᡀ ᡁ ᡂ ᡄ ᡅ ᡆ ᡇ ᡈ ᡉ ᡊ ᡋ ᡌ ᡍ ᡎ ᡏ ᡐ ᡑ ᡒ ᡓ ᡔ ᡕ ᡖ ᡗ ᡘ ᡙ ᡚ ᡛ ᡜ ᡝ ᡞ ᡟ ᡠ ᡡ ᡢ ᡣ ᡤ ᡥ ᡦ ᡧ ᡨ ᡩ ᡪ ᡫ ᡬ ᡭ ᡮ ᡯ ᡰ ᡱ ᡲ ᡳ ᡴ ᡵ ᡶ ᡷ ᡸ ᢂ ᢃ ᢄ ᢇ ᢈ ᢉ ᢊ ᢋ ᢌ ᢍ ᢎ ᢏ ᢐ ᢑ ᢒ ᢓ ᢔ ᢕ ᢖ ᢗ ᢘ ᢙ ᢚ ᢛ ᢜ ᢝ ᢞ ᢟ ᢠ ᢡ ᢢ ᢣ ᢤ ᢥ ᢦ ᢧ ᢨ ᢪ</t>
        </is>
      </c>
      <c r="Q54" s="38" t="inlineStr">
        <is>
          <t>᠀ ᠂ ᠃ ᠄ ᠆ ᠇ ᠈ ᠉ ᠊ ᠠ ᠡ ᠢ ᠤ ᠦ ᠧ ᠨ ᠩ ᠪ ᠫ ᠬ ᠭ ᠮ ᠯ ᠰ ᠱ ᠲ ᠳ ᠴ ᠵ ᠶ ᠷ ᠸ ᠹ ᠺ ᠻ ᠼ ᠽ ᠾ ᠿ ᡀ ᡁ ᡂ ᡄ ᡅ ᡇ ᡉ ᡊ ᡋ ᡌ ᡍ ᡎ ᡏ ᡐ ᡑ ᡒ ᡓ ᡔ ᡕ ᡖ ᡗ ᡘ ᡙ ᡚ ᡛ ᡜ ᡝ ᡞ ᡟ ᡠ ᡡ ᡢ ᡣ ᡤ ᡥ ᡦ ᡧ ᡨ ᡩ ᡪ ᡫ ᡬ ᡭ ᡮ ᡯ ᡰ ᡱ ᡲ ᡳ ᡴ ᡵ ᡶ ᡷ ᢂ ᢃ ᢄ ᢇ ᢈ ᢉ ᢊ ᢋ ᢌ ᢍ ᢎ ᢏ ᢐ ᢑ ᢒ ᢓ ᢔ ᢕ ᢖ ᢗ ᢘ ᢙ ᢚ ᢛ ᢜ ᢝ ᢞ ᢟ ᢠ ᢡ ᢢ ᢣ ᢤ ᢥ ᢦ ᢧ ᢨ ᢪ</t>
        </is>
      </c>
      <c r="R54" s="43" t="inlineStr">
        <is>
          <t>᠀ ᠂ ᠆ ᠇ ᠈ ᠩ ᠪ ᠫ ᠬ ᠭ ᠳ ᠴ ᠵ ᠶ ᠷ ᠸ ᠹ ᠺ ᠻ ᠼ ᠽ ᡁ ᡂ ᡊ ᡋ ᡏ ᡐ ᡑ ᡒ ᡓ ᡔ ᡕ ᡖ ᡗ ᡘ ᡙ ᡚ ᡛ ᡜ ᡝ ᡞ ᡟ ᡡ ᡢ ᡣ ᡤ ᡥ ᡦ ᡧ ᡨ ᡪ ᡫ ᡬ ᡭ ᡰ ᡱ ᡲ ᡳ ᡴ ᡵ ᡶ ᡷ ᢂ ᢃ ᢄ ᢉ ᢋ ᢌ ᢍ ᢎ ᢏ ᢐ ᢑ ᢒ ᢓ ᢔ ᢕ ᢖ ᢗ ᢘ ᢙ ᢞ ᢟ ᢠ ᢣ ᢤ ᢥ ᢦ ᢧ ᢨ</t>
        </is>
      </c>
      <c r="S54" s="40" t="n"/>
      <c r="V54" s="14">
        <f>(LEN(O54)+1)/2</f>
        <v/>
      </c>
      <c r="W54" s="14">
        <f>ROUNDDOWN((LEN(P54)+1)/2,0)</f>
        <v/>
      </c>
      <c r="X54" s="14">
        <f>ROUNDDOWN((LEN(Q54)+1)/2,0)</f>
        <v/>
      </c>
      <c r="Y54" s="14">
        <f>ROUNDDOWN((LEN(R54)+1)/2,0)</f>
        <v/>
      </c>
      <c r="Z54" s="14">
        <f>ROUNDDOWN((LEN(S54)+1)/2,0)</f>
        <v/>
      </c>
      <c r="AA54" s="56" t="n">
        <v>46150.5582320567</v>
      </c>
    </row>
    <row r="55" ht="45" customHeight="1">
      <c r="A55" s="46" t="inlineStr">
        <is>
          <t>z-wide</t>
        </is>
      </c>
      <c r="B55" s="46" t="inlineStr">
        <is>
          <t>U+18B0-U+18F5</t>
        </is>
      </c>
      <c r="C55" s="46" t="inlineStr">
        <is>
          <t>Unified Canadian Aboriginal Syllabics Extended</t>
        </is>
      </c>
      <c r="D55" s="54">
        <f>HEX2DEC(MID(B55,3,FIND("-",E55)-3))</f>
        <v/>
      </c>
      <c r="E55" s="46" t="inlineStr">
        <is>
          <t>U+18B0-U+18FF</t>
        </is>
      </c>
      <c r="F55" s="14" t="n">
        <v>3</v>
      </c>
      <c r="G55" s="14" t="n">
        <v>3</v>
      </c>
      <c r="H55" s="14" t="n">
        <v>0</v>
      </c>
      <c r="I55" s="48" t="inlineStr">
        <is>
          <t>n</t>
        </is>
      </c>
      <c r="J55" s="19">
        <f>ROUNDDOWN(W55,0)/$V55</f>
        <v/>
      </c>
      <c r="K55" s="19">
        <f>ROUNDDOWN(X55,0)/$V55</f>
        <v/>
      </c>
      <c r="L55" s="19">
        <f>ROUNDDOWN(Y55,0)/$V55</f>
        <v/>
      </c>
      <c r="M55" s="19">
        <f>ROUNDDOWN(Z55,0)/$V55</f>
        <v/>
      </c>
      <c r="O55" s="36" t="inlineStr">
        <is>
          <t>ᢰ ᢱ ᢲ ᢳ ᢴ ᢵ ᢶ ᢷ ᢸ ᢹ ᢺ ᢻ ᢼ ᢽ ᢾ ᢿ ᣀ ᣁ ᣂ ᣃ ᣄ ᣅ ᣆ ᣇ ᣈ ᣉ ᣊ ᣋ ᣌ ᣍ ᣎ ᣏ ᣐ ᣑ ᣒ ᣓ ᣔ ᣕ ᣖ ᣗ ᣘ ᣙ ᣚ ᣛ ᣜ ᣝ ᣞ ᣟ ᣠ ᣡ ᣢ ᣣ ᣤ ᣥ ᣦ ᣧ ᣨ ᣩ ᣪ ᣫ ᣬ ᣭ ᣮ ᣯ ᣰ ᣱ ᣲ ᣳ ᣴ ᣵ</t>
        </is>
      </c>
      <c r="P55" s="37" t="inlineStr">
        <is>
          <t>ᢰ ᢱ ᢲ ᢳ ᢴ ᢵ ᢶ ᢷ ᢸ ᢹ ᢺ ᢻ ᢼ ᢽ ᢾ ᢿ ᣀ ᣁ ᣂ ᣃ ᣄ ᣅ ᣆ ᣇ ᣈ ᣉ ᣊ ᣋ ᣌ ᣍ ᣎ ᣏ ᣐ ᣑ ᣒ ᣓ ᣔ ᣕ ᣖ ᣗ ᣘ ᣙ ᣚ ᣛ ᣜ ᣝ ᣞ ᣟ ᣠ ᣡ ᣢ ᣣ ᣤ ᣥ ᣦ ᣧ ᣨ ᣩ ᣪ ᣫ ᣬ ᣭ ᣮ ᣯ ᣰ ᣱ ᣲ ᣳ ᣴ ᣵ</t>
        </is>
      </c>
      <c r="Q55" s="38" t="inlineStr">
        <is>
          <t>ᢰ ᢱ ᢲ ᢳ ᢴ ᢵ ᢶ ᢷ ᢸ ᢹ ᢺ ᢻ ᢼ ᢽ ᢾ ᢿ ᣀ ᣁ ᣂ ᣃ ᣄ ᣅ ᣆ ᣇ ᣈ ᣉ ᣊ ᣋ ᣌ ᣍ ᣎ ᣏ ᣐ ᣑ ᣒ ᣓ ᣔ ᣕ ᣖ ᣗ ᣘ ᣙ ᣚ ᣛ ᣜ ᣝ ᣞ ᣟ ᣠ ᣡ ᣢ ᣣ ᣤ ᣥ ᣦ ᣧ ᣨ ᣩ ᣪ ᣫ ᣬ ᣭ ᣮ ᣯ ᣰ ᣱ ᣲ ᣳ ᣴ ᣵ</t>
        </is>
      </c>
      <c r="R55" s="43" t="inlineStr">
        <is>
          <t>ᢰ ᢱ ᢲ ᢴ ᢵ ᢶ ᢷ ᢸ ᢺ ᢻ ᢼ ᢽ ᢾ ᢿ ᣃ ᣄ ᣅ ᣔ ᣕ ᣖ ᣗ ᣘ ᣙ ᣚ ᣛ ᣜ ᣝ ᣡ ᣢ ᣦ ᣧ ᣩ ᣫ ᣬ ᣮ ᣯ ᣱ ᣳ ᣴ ᣵ</t>
        </is>
      </c>
      <c r="S55" s="40" t="n"/>
      <c r="T55" s="41" t="inlineStr">
        <is>
          <t>ᢰ ᢱ ᢲ ᢳ ᢴ ᢵ ᢶ ᢷ ᢸ ᢹ ᢺ ᢻ ᢼ ᢽ ᢾ ᢿ ᣀ ᣁ ᣂ ᣃ ᣄ ᣅ ᣆ ᣇ ᣈ ᣉ ᣊ ᣋ ᣌ ᣍ ᣎ ᣏ ᣐ ᣑ ᣒ ᣓ ᣔ ᣕ ᣖ ᣗ ᣘ ᣙ ᣚ ᣛ ᣜ ᣝ ᣞ ᣟ ᣠ ᣡ ᣢ ᣣ ᣤ ᣥ ᣦ ᣧ ᣨ ᣩ ᣪ ᣫ ᣬ ᣭ ᣮ ᣯ ᣰ ᣱ ᣲ ᣳ ᣴ ᣵ</t>
        </is>
      </c>
      <c r="U55" s="42" t="inlineStr">
        <is>
          <t>ᢰ ᢱ ᢲ ᢳ ᢴ ᢵ ᢶ ᢷ ᢸ ᢹ ᢺ ᢻ ᢼ ᢽ ᢾ ᢿ ᣀ ᣁ ᣂ ᣃ ᣄ ᣅ ᣆ ᣇ ᣈ ᣉ ᣊ ᣋ ᣌ ᣍ ᣎ ᣏ ᣐ ᣑ ᣒ ᣓ ᣔ ᣕ ᣖ ᣗ ᣘ ᣙ ᣚ ᣛ ᣜ ᣝ ᣞ ᣟ ᣠ ᣡ ᣢ ᣣ ᣤ ᣥ ᣦ ᣧ ᣨ ᣩ ᣪ ᣫ ᣬ ᣭ ᣮ ᣯ ᣰ ᣱ ᣲ ᣳ ᣴ ᣵ</t>
        </is>
      </c>
      <c r="V55" s="14">
        <f>(LEN(O55)+1)/2</f>
        <v/>
      </c>
      <c r="W55" s="14">
        <f>ROUNDDOWN((LEN(P55)+1)/2,0)</f>
        <v/>
      </c>
      <c r="X55" s="14">
        <f>ROUNDDOWN((LEN(Q55)+1)/2,0)</f>
        <v/>
      </c>
      <c r="Y55" s="14">
        <f>ROUNDDOWN((LEN(R55)+1)/2,0)</f>
        <v/>
      </c>
      <c r="Z55" s="14">
        <f>ROUNDDOWN((LEN(S55)+1)/2,0)</f>
        <v/>
      </c>
      <c r="AA55" s="56" t="n">
        <v>46150.55823270676</v>
      </c>
    </row>
    <row r="56" ht="25.5" customHeight="1">
      <c r="A56" s="46" t="inlineStr">
        <is>
          <t>z-Bitmapped</t>
        </is>
      </c>
      <c r="B56" s="46" t="inlineStr">
        <is>
          <t>U+1900-U+194F</t>
        </is>
      </c>
      <c r="C56" s="46" t="inlineStr">
        <is>
          <t>Limbu</t>
        </is>
      </c>
      <c r="D56" s="54">
        <f>HEX2DEC(MID(B56,3,FIND("-",E56)-3))</f>
        <v/>
      </c>
      <c r="E56" s="46" t="inlineStr">
        <is>
          <t>U+1900-U+194F</t>
        </is>
      </c>
      <c r="F56" s="14" t="n">
        <v>3</v>
      </c>
      <c r="G56" s="14" t="n">
        <v>0</v>
      </c>
      <c r="H56" s="14" t="n">
        <v>0</v>
      </c>
      <c r="I56" s="48" t="inlineStr">
        <is>
          <t>n</t>
        </is>
      </c>
      <c r="J56" s="19">
        <f>ROUNDDOWN(W56,0)/$V56</f>
        <v/>
      </c>
      <c r="K56" s="19">
        <f>ROUNDDOWN(X56,0)/$V56</f>
        <v/>
      </c>
      <c r="L56" s="19">
        <f>ROUNDDOWN(Y56,0)/$V56</f>
        <v/>
      </c>
      <c r="M56" s="19">
        <f>ROUNDDOWN(Z56,0)/$V56</f>
        <v/>
      </c>
      <c r="N56" s="35" t="inlineStr">
        <is>
          <t>Font rendering issues (bitmapped font?). Double-height.</t>
        </is>
      </c>
      <c r="O56" s="36" t="inlineStr">
        <is>
          <t>ᤀ ᤁ ᤂ ᤃ ᤄ ᤅ ᤆ ᤇ ᤈ ᤉ ᤊ ᤋ ᤌ ᤍ ᤎ ᤏ ᤐ ᤑ ᤒ ᤓ ᤔ ᤕ ᤖ ᤗ ᤘ ᤙ ᤚ ᤛ ᤜ ᤝ ᤞ ᤠ ᤡ ᤢ ᤣ ᤤ ᤥ ᤦ ᤧ ᤨ ᤩ ᤪ ᤫ ᤰ ᤱ ᤲ ᤳ ᤴ ᤵ ᤶ ᤷ ᤸ ᤹ ᤺ ᤻ ᥀ ᥄ ᥅ ᥆ ᥇ ᥈ ᥉ ᥊ ᥋ ᥌ ᥍ ᥎ ᥏</t>
        </is>
      </c>
      <c r="P56" s="37" t="inlineStr">
        <is>
          <t>ᤀ ᤁ ᤂ ᤃ ᤄ ᤅ ᤆ ᤇ ᤈ ᤉ ᤊ ᤋ ᤌ ᤍ ᤎ ᤏ ᤐ ᤑ ᤒ ᤓ ᤔ ᤕ ᤖ ᤗ ᤘ ᤙ ᤚ ᤛ ᤜ ᤝ ᤞ ᥀ ᥄ ᥅ ᥆ ᥇ ᥈ ᥉ ᥊ ᥋ ᥌ ᥍ ᥎ ᥏</t>
        </is>
      </c>
      <c r="Q56" s="38" t="inlineStr">
        <is>
          <t>ᤀ ᤁ ᤂ ᤃ ᤄ ᤅ ᤆ ᤇ ᤈ ᤉ ᤊ ᤋ ᤌ ᤍ ᤎ ᤏ ᤐ ᤑ ᤒ ᤓ ᤔ ᤕ ᤖ ᤗ ᤘ ᤙ ᤚ ᤛ ᤜ ᤝ ᤞ ᥀ ᥄ ᥅</t>
        </is>
      </c>
      <c r="R56" s="43" t="inlineStr">
        <is>
          <t>ᤁ ᤉ ᤗ ᤚ ᥀ ᥄ ᥅</t>
        </is>
      </c>
      <c r="S56" s="40" t="n"/>
      <c r="V56" s="14">
        <f>(LEN(O56)+1)/2</f>
        <v/>
      </c>
      <c r="W56" s="14">
        <f>ROUNDDOWN((LEN(P56)+1)/2,0)</f>
        <v/>
      </c>
      <c r="X56" s="14">
        <f>ROUNDDOWN((LEN(Q56)+1)/2,0)</f>
        <v/>
      </c>
      <c r="Y56" s="14">
        <f>ROUNDDOWN((LEN(R56)+1)/2,0)</f>
        <v/>
      </c>
      <c r="Z56" s="14">
        <f>ROUNDDOWN((LEN(S56)+1)/2,0)</f>
        <v/>
      </c>
      <c r="AA56" s="56" t="n">
        <v>46150.55823310844</v>
      </c>
    </row>
    <row r="57" ht="30" customHeight="1">
      <c r="B57" s="46" t="inlineStr">
        <is>
          <t>U+1950-U+1974</t>
        </is>
      </c>
      <c r="C57" s="46" t="inlineStr">
        <is>
          <t>Tai Le</t>
        </is>
      </c>
      <c r="D57" s="54">
        <f>HEX2DEC(MID(B57,3,FIND("-",E57)-3))</f>
        <v/>
      </c>
      <c r="E57" s="46" t="inlineStr">
        <is>
          <t>U+1950-U+197F</t>
        </is>
      </c>
      <c r="F57" s="14" t="n">
        <v>3</v>
      </c>
      <c r="G57" s="14" t="n">
        <v>3</v>
      </c>
      <c r="H57" s="14" t="n">
        <v>3</v>
      </c>
      <c r="I57" s="48" t="inlineStr">
        <is>
          <t>y</t>
        </is>
      </c>
      <c r="J57" s="19">
        <f>ROUNDDOWN(W57,0)/$V57</f>
        <v/>
      </c>
      <c r="K57" s="19">
        <f>ROUNDDOWN(X57,0)/$V57</f>
        <v/>
      </c>
      <c r="L57" s="19">
        <f>ROUNDDOWN(Y57,0)/$V57</f>
        <v/>
      </c>
      <c r="M57" s="19">
        <f>ROUNDDOWN(Z57,0)/$V57</f>
        <v/>
      </c>
      <c r="O57" s="36" t="inlineStr">
        <is>
          <t>ᥐ ᥑ ᥒ ᥓ ᥔ ᥕ ᥖ ᥗ ᥘ ᥙ ᥚ ᥛ ᥜ ᥝ ᥞ ᥟ ᥠ ᥡ ᥢ ᥣ ᥤ ᥥ ᥦ ᥧ ᥨ ᥩ ᥪ ᥫ ᥬ ᥭ ᥰ ᥱ ᥲ ᥳ ᥴ</t>
        </is>
      </c>
      <c r="P57" s="37" t="inlineStr">
        <is>
          <t>ᥐ ᥑ ᥒ ᥓ ᥔ ᥕ ᥖ ᥗ ᥘ ᥙ ᥚ ᥛ ᥜ ᥝ ᥞ ᥟ ᥠ ᥡ ᥢ ᥣ ᥤ ᥥ ᥦ ᥧ ᥨ ᥩ ᥪ ᥫ ᥬ ᥭ ᥰ ᥱ ᥲ ᥳ ᥴ</t>
        </is>
      </c>
      <c r="Q57" s="38" t="inlineStr">
        <is>
          <t>ᥐ ᥑ ᥒ ᥓ ᥔ ᥕ ᥖ ᥗ ᥘ ᥙ ᥚ ᥛ ᥜ ᥝ ᥞ ᥟ ᥠ ᥡ ᥢ ᥣ ᥤ ᥥ ᥦ ᥧ ᥨ ᥪ ᥫ ᥬ ᥭ ᥰ ᥱ ᥲ ᥳ ᥴ</t>
        </is>
      </c>
      <c r="R57" s="39" t="inlineStr">
        <is>
          <t>ᥐ ᥑ ᥒ ᥓ ᥔ ᥕ ᥖ ᥗ ᥘ ᥙ ᥚ ᥛ ᥜ ᥝ ᥞ ᥟ ᥠ ᥡ ᥢ ᥣ ᥤ ᥥ ᥦ ᥧ ᥨ ᥪ ᥫ ᥬ ᥭ ᥰ ᥱ ᥲ ᥳ ᥴ</t>
        </is>
      </c>
      <c r="S57" s="40" t="n"/>
      <c r="T57" s="41" t="inlineStr">
        <is>
          <t>ᥐ ᥑ ᥒ ᥓ ᥔ ᥕ ᥖ ᥗ ᥘ ᥙ ᥚ ᥛ ᥜ ᥝ ᥞ ᥟ ᥠ ᥡ ᥢ ᥣ ᥤ ᥥ ᥦ ᥧ ᥨ ᥩ ᥪ ᥫ ᥬ ᥭ ᥰ ᥱ ᥲ ᥳ ᥴ</t>
        </is>
      </c>
      <c r="U57" s="42" t="inlineStr">
        <is>
          <t>ᥐ ᥑ ᥒ ᥓ ᥔ ᥕ ᥖ ᥗ ᥘ ᥙ ᥚ ᥛ ᥜ ᥝ ᥞ ᥟ ᥠ ᥡ ᥢ ᥣ ᥤ ᥥ ᥦ ᥧ ᥨ ᥩ ᥪ ᥫ ᥬ ᥭ ᥰ ᥱ ᥲ ᥳ ᥴ</t>
        </is>
      </c>
      <c r="V57" s="14">
        <f>(LEN(O57)+1)/2</f>
        <v/>
      </c>
      <c r="W57" s="14">
        <f>ROUNDDOWN((LEN(P57)+1)/2,0)</f>
        <v/>
      </c>
      <c r="X57" s="14">
        <f>ROUNDDOWN((LEN(Q57)+1)/2,0)</f>
        <v/>
      </c>
      <c r="Y57" s="14">
        <f>ROUNDDOWN((LEN(R57)+1)/2,0)</f>
        <v/>
      </c>
      <c r="Z57" s="14">
        <f>ROUNDDOWN((LEN(S57)+1)/2,0)</f>
        <v/>
      </c>
      <c r="AA57" s="56" t="n">
        <v>46150.55823350147</v>
      </c>
    </row>
    <row r="58" ht="30" customHeight="1">
      <c r="A58" s="46" t="inlineStr">
        <is>
          <t>z-Bitmapped</t>
        </is>
      </c>
      <c r="B58" s="46" t="inlineStr">
        <is>
          <t>U+1980-U+19DF</t>
        </is>
      </c>
      <c r="C58" s="46" t="inlineStr">
        <is>
          <t>New Tai Lue</t>
        </is>
      </c>
      <c r="D58" s="54">
        <f>HEX2DEC(MID(B58,3,FIND("-",E58)-3))</f>
        <v/>
      </c>
      <c r="E58" s="46" t="inlineStr">
        <is>
          <t>U+1980-U+19DF</t>
        </is>
      </c>
      <c r="F58" s="14" t="n">
        <v>3</v>
      </c>
      <c r="G58" s="14" t="n">
        <v>0</v>
      </c>
      <c r="H58" s="14" t="n">
        <v>0</v>
      </c>
      <c r="I58" s="48" t="inlineStr">
        <is>
          <t>n</t>
        </is>
      </c>
      <c r="J58" s="19">
        <f>ROUNDDOWN(W58,0)/$V58</f>
        <v/>
      </c>
      <c r="K58" s="19">
        <f>ROUNDDOWN(X58,0)/$V58</f>
        <v/>
      </c>
      <c r="L58" s="19">
        <f>ROUNDDOWN(Y58,0)/$V58</f>
        <v/>
      </c>
      <c r="M58" s="19">
        <f>ROUNDDOWN(Z58,0)/$V58</f>
        <v/>
      </c>
      <c r="N58" s="35" t="inlineStr">
        <is>
          <t>Font rendering issues (bitmapped font?)</t>
        </is>
      </c>
      <c r="O58" s="36" t="inlineStr">
        <is>
          <t>ᦀ ᦁ ᦂ ᦃ ᦄ ᦅ ᦆ ᦇ ᦈ ᦉ ᦊ ᦋ ᦌ ᦍ ᦎ ᦏ ᦐ ᦑ ᦒ ᦓ ᦔ ᦕ ᦖ ᦗ ᦘ ᦙ ᦚ ᦛ ᦜ ᦝ ᦞ ᦟ ᦠ ᦡ ᦢ ᦣ ᦤ ᦥ ᦦ ᦧ ᦨ ᦩ ᦪ ᦫ ᦰ ᦱ ᦲ ᦳ ᦴ ᦵ ᦶ ᦷ ᦸ ᦹ ᦺ ᦻ ᦼ ᦽ ᦾ ᦿ ᧀ ᧁ ᧂ ᧃ ᧄ ᧅ ᧆ ᧇ ᧈ ᧉ ᧐ ᧑ ᧒ ᧓ ᧔ ᧕ ᧖ ᧗ ᧘ ᧙ ᧚ ᧞ ᧟</t>
        </is>
      </c>
      <c r="P58" s="37" t="inlineStr">
        <is>
          <t>ᦀ ᦁ ᦂ ᦃ ᦄ ᦅ ᦆ ᦇ ᦈ ᦉ ᦊ ᦋ ᦌ ᦍ ᦎ ᦏ ᦐ ᦑ ᦒ ᦓ ᦔ ᦕ ᦖ ᦗ ᦘ ᦙ ᦚ ᦛ ᦜ ᦝ ᦞ ᦟ ᦠ ᦡ ᦢ ᦣ ᦤ ᦥ ᦦ ᦧ ᦨ ᦩ ᦪ ᦫ ᧁ ᧂ ᧃ ᧄ ᧅ ᧆ ᧇ ᧐ ᧑ ᧒ ᧓ ᧔ ᧕ ᧖ ᧗ ᧘ ᧙ ᧚ ᧞ ᧟</t>
        </is>
      </c>
      <c r="Q58" s="38" t="inlineStr">
        <is>
          <t>ᦀ ᦁ ᦂ ᦃ ᦄ ᦅ ᦆ ᦇ ᦈ ᦉ ᦊ ᦋ ᦌ ᦍ ᦎ ᦏ ᦐ ᦑ ᦒ ᦓ ᦔ ᦕ ᦖ ᦗ ᦘ ᦙ ᦚ ᦛ ᦜ ᦝ ᦞ ᦟ ᦠ ᦡ ᦢ ᦣ ᦤ ᦥ ᦦ ᦧ ᦨ ᦩ ᦪ ᦫ ᧁ ᧂ ᧃ ᧄ ᧅ ᧆ ᧇ ᧞ ᧟</t>
        </is>
      </c>
      <c r="R58" s="43" t="inlineStr">
        <is>
          <t>ᦀ ᦁ ᦃ ᦅ ᦆ ᦇ ᦈ ᦉ ᦊ ᦋ ᦌ ᦏ ᦑ ᦒ ᦓ ᦔ ᦘ ᦙ ᦚ ᦞ ᦡ ᦢ ᦣ ᦤ ᦥ ᦧ ᦨ ᦩ ᦪ ᦫ ᧁ ᧂ ᧃ ᧄ ᧆ ᧇ</t>
        </is>
      </c>
      <c r="S58" s="40" t="n"/>
      <c r="V58" s="14">
        <f>(LEN(O58)+1)/2</f>
        <v/>
      </c>
      <c r="W58" s="14">
        <f>ROUNDDOWN((LEN(P58)+1)/2,0)</f>
        <v/>
      </c>
      <c r="X58" s="14">
        <f>ROUNDDOWN((LEN(Q58)+1)/2,0)</f>
        <v/>
      </c>
      <c r="Y58" s="14">
        <f>ROUNDDOWN((LEN(R58)+1)/2,0)</f>
        <v/>
      </c>
      <c r="Z58" s="14">
        <f>ROUNDDOWN((LEN(S58)+1)/2,0)</f>
        <v/>
      </c>
      <c r="AA58" s="56" t="n">
        <v>46150.55823405103</v>
      </c>
    </row>
    <row r="59" ht="25.5" customHeight="1">
      <c r="A59" s="46" t="inlineStr">
        <is>
          <t>z-tall</t>
        </is>
      </c>
      <c r="B59" s="46" t="inlineStr">
        <is>
          <t>U+19E0-U+19FF</t>
        </is>
      </c>
      <c r="C59" s="46" t="inlineStr">
        <is>
          <t>Khmer Symbols</t>
        </is>
      </c>
      <c r="D59" s="54">
        <f>HEX2DEC(MID(B59,3,FIND("-",E59)-3))</f>
        <v/>
      </c>
      <c r="E59" s="46" t="inlineStr">
        <is>
          <t>U+19E0-U+19FF</t>
        </is>
      </c>
      <c r="F59" s="14" t="n">
        <v>3</v>
      </c>
      <c r="G59" s="14" t="n">
        <v>0</v>
      </c>
      <c r="H59" s="14" t="n">
        <v>0</v>
      </c>
      <c r="I59" s="48" t="inlineStr">
        <is>
          <t>n</t>
        </is>
      </c>
      <c r="J59" s="19">
        <f>ROUNDDOWN(W59,0)/$V59</f>
        <v/>
      </c>
      <c r="K59" s="19">
        <f>ROUNDDOWN(X59,0)/$V59</f>
        <v/>
      </c>
      <c r="L59" s="19">
        <f>ROUNDDOWN(Y59,0)/$V59</f>
        <v/>
      </c>
      <c r="M59" s="19">
        <f>ROUNDDOWN(Z59,0)/$V59</f>
        <v/>
      </c>
      <c r="N59" s="35" t="inlineStr">
        <is>
          <t>Tall, combined characters</t>
        </is>
      </c>
      <c r="O59" s="36" t="inlineStr">
        <is>
          <t>᧠ ᧡ ᧢ ᧣ ᧤ ᧥ ᧦ ᧧ ᧨ ᧩ ᧪ ᧫ ᧬ ᧭ ᧮ ᧯ ᧰ ᧱ ᧲ ᧳ ᧴ ᧵ ᧶ ᧷ ᧸ ᧹ ᧺ ᧻ ᧼ ᧽ ᧾ ᧿</t>
        </is>
      </c>
      <c r="P59" s="37" t="inlineStr">
        <is>
          <t>᧠ ᧡ ᧢ ᧣ ᧤ ᧥ ᧦ ᧧ ᧨ ᧩ ᧪ ᧫ ᧬ ᧭ ᧮ ᧯ ᧰ ᧱ ᧲ ᧳ ᧴ ᧵ ᧶ ᧷ ᧸ ᧹ ᧺ ᧻ ᧼ ᧽ ᧾ ᧿</t>
        </is>
      </c>
      <c r="Q59" s="38" t="inlineStr">
        <is>
          <t>᧠ ᧡ ᧢ ᧣ ᧤ ᧥ ᧦ ᧧ ᧨ ᧩ ᧪ ᧫ ᧬ ᧭ ᧮ ᧯ ᧰ ᧱ ᧲ ᧳ ᧴ ᧵ ᧶ ᧷ ᧸ ᧹ ᧺ ᧻ ᧼ ᧽ ᧾ ᧿</t>
        </is>
      </c>
      <c r="R59" s="43" t="inlineStr">
        <is>
          <t>᧠ ᧡ ᧢ ᧣ ᧤ ᧥ ᧦ ᧧ ᧨ ᧩ ᧪ ᧫ ᧮ ᧯ ᧰ ᧱ ᧲ ᧴ ᧵ ᧶ ᧷ ᧸ ᧹ ᧺ ᧻ ᧾ ᧿</t>
        </is>
      </c>
      <c r="S59" s="40" t="n"/>
      <c r="V59" s="14">
        <f>(LEN(O59)+1)/2</f>
        <v/>
      </c>
      <c r="W59" s="14">
        <f>ROUNDDOWN((LEN(P59)+1)/2,0)</f>
        <v/>
      </c>
      <c r="X59" s="14">
        <f>ROUNDDOWN((LEN(Q59)+1)/2,0)</f>
        <v/>
      </c>
      <c r="Y59" s="14">
        <f>ROUNDDOWN((LEN(R59)+1)/2,0)</f>
        <v/>
      </c>
      <c r="Z59" s="14">
        <f>ROUNDDOWN((LEN(S59)+1)/2,0)</f>
        <v/>
      </c>
      <c r="AA59" s="56" t="n">
        <v>46150.55823444306</v>
      </c>
    </row>
    <row r="60" ht="25.5" customHeight="1">
      <c r="A60" s="46" t="inlineStr">
        <is>
          <t>z-wide</t>
        </is>
      </c>
      <c r="B60" s="46" t="inlineStr">
        <is>
          <t>U+1A00-U+1A1F</t>
        </is>
      </c>
      <c r="C60" s="46" t="inlineStr">
        <is>
          <t>Buginese</t>
        </is>
      </c>
      <c r="D60" s="54">
        <f>HEX2DEC(MID(B60,3,FIND("-",E60)-3))</f>
        <v/>
      </c>
      <c r="E60" s="46" t="inlineStr">
        <is>
          <t>U+1A00-U+1A1F</t>
        </is>
      </c>
      <c r="F60" s="14" t="n">
        <v>3</v>
      </c>
      <c r="G60" s="14" t="n">
        <v>3</v>
      </c>
      <c r="H60" s="14" t="n">
        <v>3</v>
      </c>
      <c r="I60" s="48" t="inlineStr">
        <is>
          <t>y</t>
        </is>
      </c>
      <c r="J60" s="19">
        <f>ROUNDDOWN(W60,0)/$V60</f>
        <v/>
      </c>
      <c r="K60" s="19">
        <f>ROUNDDOWN(X60,0)/$V60</f>
        <v/>
      </c>
      <c r="L60" s="19">
        <f>ROUNDDOWN(Y60,0)/$V60</f>
        <v/>
      </c>
      <c r="M60" s="19">
        <f>ROUNDDOWN(Z60,0)/$V60</f>
        <v/>
      </c>
      <c r="N60" s="35" t="inlineStr">
        <is>
          <t>Some combined characters</t>
        </is>
      </c>
      <c r="O60" s="36" t="inlineStr">
        <is>
          <t>ᨀ ᨁ ᨂ ᨃ ᨄ ᨅ ᨆ ᨇ ᨈ ᨉ ᨊ ᨋ ᨌ ᨍ ᨎ ᨏ ᨐ ᨑ ᨒ ᨓ ᨔ ᨕ ᨖ ᨗ ᨘ ᨙ ᨚ ᨛ ᨞ ᨟</t>
        </is>
      </c>
      <c r="P60" s="37" t="inlineStr">
        <is>
          <t>ᨀ ᨁ ᨂ ᨃ ᨄ ᨅ ᨆ ᨇ ᨈ ᨉ ᨊ ᨋ ᨌ ᨍ ᨎ ᨏ ᨐ ᨑ ᨒ ᨓ ᨔ ᨕ ᨖ ᨞ ᨟</t>
        </is>
      </c>
      <c r="Q60" s="38" t="inlineStr">
        <is>
          <t>ᨀ ᨁ ᨂ ᨃ ᨄ ᨅ ᨆ ᨇ ᨈ ᨉ ᨊ ᨋ ᨌ ᨍ ᨎ ᨏ ᨐ ᨑ ᨒ ᨓ ᨔ ᨕ ᨖ ᨞ ᨟</t>
        </is>
      </c>
      <c r="R60" s="39" t="inlineStr">
        <is>
          <t>ᨀ ᨁ ᨂ ᨃ ᨄ ᨅ ᨆ ᨇ ᨈ ᨉ ᨊ ᨋ ᨌ ᨍ ᨎ ᨏ ᨐ ᨑ ᨒ ᨓ ᨔ ᨕ ᨖ</t>
        </is>
      </c>
      <c r="S60" s="40" t="n"/>
      <c r="T60" s="41" t="inlineStr">
        <is>
          <t>ᨀ ᨁ ᨂ ᨃ ᨄ ᨅ ᨆ ᨇ ᨈ ᨉ ᨊ ᨋ ᨌ ᨍ ᨎ ᨏ ᨐ ᨑ ᨒ ᨓ ᨔ ᨕ</t>
        </is>
      </c>
      <c r="U60" s="42" t="inlineStr">
        <is>
          <t>ᨀ ᨁ ᨂ ᨃ ᨄ ᨅ ᨆ ᨇ ᨈ ᨉ ᨊ ᨋ ᨌ ᨍ ᨎ ᨏ ᨐ ᨑ ᨒ ᨓ ᨔ ᨕ</t>
        </is>
      </c>
      <c r="V60" s="14">
        <f>(LEN(O60)+1)/2</f>
        <v/>
      </c>
      <c r="W60" s="14">
        <f>ROUNDDOWN((LEN(P60)+1)/2,0)</f>
        <v/>
      </c>
      <c r="X60" s="14">
        <f>ROUNDDOWN((LEN(Q60)+1)/2,0)</f>
        <v/>
      </c>
      <c r="Y60" s="14">
        <f>ROUNDDOWN((LEN(R60)+1)/2,0)</f>
        <v/>
      </c>
      <c r="Z60" s="14">
        <f>ROUNDDOWN((LEN(S60)+1)/2,0)</f>
        <v/>
      </c>
      <c r="AA60" s="56" t="n">
        <v>46150.55823479215</v>
      </c>
    </row>
    <row r="61" ht="38.25" customHeight="1">
      <c r="A61" s="46" t="inlineStr">
        <is>
          <t>z-Bitmapped</t>
        </is>
      </c>
      <c r="B61" s="46" t="inlineStr">
        <is>
          <t>U+1A20-U+1AAD</t>
        </is>
      </c>
      <c r="C61" s="46" t="inlineStr">
        <is>
          <t>Tai Tham</t>
        </is>
      </c>
      <c r="D61" s="54">
        <f>HEX2DEC(MID(B61,3,FIND("-",E61)-3))</f>
        <v/>
      </c>
      <c r="E61" s="46" t="inlineStr">
        <is>
          <t>U+1A20-U+1AAF</t>
        </is>
      </c>
      <c r="F61" s="14" t="n">
        <v>3</v>
      </c>
      <c r="G61" s="14" t="n">
        <v>0</v>
      </c>
      <c r="H61" s="14" t="n">
        <v>0</v>
      </c>
      <c r="I61" s="48" t="inlineStr">
        <is>
          <t>n</t>
        </is>
      </c>
      <c r="J61" s="19">
        <f>ROUNDDOWN(W61,0)/$V61</f>
        <v/>
      </c>
      <c r="K61" s="19">
        <f>ROUNDDOWN(X61,0)/$V61</f>
        <v/>
      </c>
      <c r="L61" s="19">
        <f>ROUNDDOWN(Y61,0)/$V61</f>
        <v/>
      </c>
      <c r="M61" s="19">
        <f>ROUNDDOWN(Z61,0)/$V61</f>
        <v/>
      </c>
      <c r="N61" s="35" t="inlineStr">
        <is>
          <t>Font rendering issues (bitmapped font?)</t>
        </is>
      </c>
      <c r="O61" s="36" t="inlineStr">
        <is>
          <t>ᨠ ᨡ ᨢ ᨣ ᨤ ᨥ ᨦ ᨧ ᨨ ᨩ ᨪ ᨫ ᨬ ᨭ ᨮ ᨯ ᨰ ᨱ ᨲ ᨳ ᨴ ᨵ ᨶ ᨷ ᨸ ᨹ ᨺ ᨻ ᨼ ᨽ ᨾ ᨿ ᩀ ᩁ ᩂ ᩃ ᩄ ᩅ ᩆ ᩇ ᩈ ᩉ ᩊ ᩋ ᩌ ᩍ ᩎ ᩏ ᩐ ᩑ ᩒ ᩓ ᩔ ᩕ ᩖ ᩗ ᩘ ᩙ ᩚ ᩛ ᩜ ᩝ ᩞ ᩠ ᩡ ᩢ ᩣ ᩤ ᩥ ᩦ ᩧ ᩨ ᩩ ᩪ ᩫ ᩬ ᩭ ᩮ ᩯ ᩰ ᩱ ᩲ ᩳ ᩴ ᩵ ᩶ ᩷ ᩸ ᩹ ᩺ ᩻ ᩼ ᩿ ᪀ ᪁ ᪂ ᪃ ᪄ ᪅ ᪆ ᪇ ᪈ ᪉ ᪐ ᪑ ᪒ ᪓ ᪔ ᪕ ᪖ ᪗ ᪘ ᪙ ᪠ ᪡ ᪢ ᪣ ᪤ ᪥ ᪦ ᪧ ᪨ ᪩ ᪪ ᪫ ᪬ ᪭</t>
        </is>
      </c>
      <c r="P61" s="37" t="inlineStr">
        <is>
          <t>ᨠ ᨡ ᨢ ᨣ ᨤ ᨥ ᨦ ᨧ ᨨ ᨩ ᨪ ᨫ ᨬ ᨭ ᨮ ᨯ ᨰ ᨱ ᨲ ᨳ ᨴ ᨵ ᨶ ᨷ ᨸ ᨹ ᨺ ᨻ ᨼ ᨽ ᨾ ᨿ ᩀ ᩁ ᩂ ᩃ ᩄ ᩅ ᩆ ᩇ ᩈ ᩉ ᩊ ᩋ ᩌ ᩍ ᩎ ᩏ ᩐ ᩑ ᩒ ᩓ ᩔ ᪀ ᪁ ᪂ ᪃ ᪄ ᪅ ᪆ ᪇ ᪈ ᪉ ᪐ ᪑ ᪒ ᪓ ᪔ ᪕ ᪖ ᪗ ᪘ ᪙ ᪠ ᪡ ᪢ ᪣ ᪤ ᪥ ᪦ ᪧ ᪨ ᪩ ᪪ ᪫ ᪬ ᪭</t>
        </is>
      </c>
      <c r="Q61" s="38" t="inlineStr">
        <is>
          <t>ᨠ ᨡ ᨢ ᨣ ᨤ ᨥ ᨦ ᨧ ᨨ ᨩ ᨪ ᨫ ᨬ ᨭ ᨮ ᨯ ᨰ ᨱ ᨲ ᨳ ᨴ ᨵ ᨶ ᨷ ᨸ ᨹ ᨺ ᨻ ᨼ ᨽ ᨾ ᨿ ᩀ ᩁ ᩂ ᩃ ᩄ ᩅ ᩆ ᩇ ᩈ ᩉ ᩊ ᩋ ᩌ ᩍ ᩎ ᩏ ᩐ ᩑ ᩒ ᩓ ᩔ ᪠ ᪡ ᪢ ᪣ ᪤ ᪥ ᪦ ᪧ ᪨ ᪩ ᪪ ᪫ ᪬ ᪭</t>
        </is>
      </c>
      <c r="R61" s="43" t="inlineStr">
        <is>
          <t>ᨠ ᨡ ᨢ ᨣ ᨤ ᨥ ᨦ ᨧ ᨨ ᨩ ᨪ ᨫ ᨬ ᨭ ᨮ ᨯ ᨰ ᨱ ᨲ ᨳ ᨴ ᨵ ᨶ ᨷ ᨹ ᨺ ᨻ ᨼ ᨽ ᨾ ᨿ ᩁ ᩂ ᩃ ᩄ ᩅ ᩆ ᩇ ᩈ ᩉ ᩊ ᩋ ᩌ ᩍ ᩏ ᩐ ᩑ ᩒ ᪠ ᪡ ᪣ ᪤ ᪦ ᪧ ᪨ ᪪ ᪬ ᪭</t>
        </is>
      </c>
      <c r="S61" s="40" t="n"/>
      <c r="V61" s="14">
        <f>(LEN(O61)+1)/2</f>
        <v/>
      </c>
      <c r="W61" s="14">
        <f>ROUNDDOWN((LEN(P61)+1)/2,0)</f>
        <v/>
      </c>
      <c r="X61" s="14">
        <f>ROUNDDOWN((LEN(Q61)+1)/2,0)</f>
        <v/>
      </c>
      <c r="Y61" s="14">
        <f>ROUNDDOWN((LEN(R61)+1)/2,0)</f>
        <v/>
      </c>
      <c r="Z61" s="14">
        <f>ROUNDDOWN((LEN(S61)+1)/2,0)</f>
        <v/>
      </c>
      <c r="AA61" s="56" t="n">
        <v>46150.55823537584</v>
      </c>
    </row>
    <row r="62" ht="38.25" customHeight="1">
      <c r="A62" s="46" t="inlineStr">
        <is>
          <t>z-combined</t>
        </is>
      </c>
      <c r="B62" s="46" t="inlineStr">
        <is>
          <t>U+1AB0-U+1ACE</t>
        </is>
      </c>
      <c r="C62" s="46" t="inlineStr">
        <is>
          <t>Combining Diacritical Marks Extended</t>
        </is>
      </c>
      <c r="D62" s="54">
        <f>HEX2DEC(MID(B62,3,FIND("-",E62)-3))</f>
        <v/>
      </c>
      <c r="E62" s="46" t="inlineStr">
        <is>
          <t>U+1AB0-U+1AFF</t>
        </is>
      </c>
      <c r="F62" s="14" t="n">
        <v>3</v>
      </c>
      <c r="G62" s="14" t="n">
        <v>0</v>
      </c>
      <c r="H62" s="14" t="n">
        <v>0</v>
      </c>
      <c r="I62" s="48" t="inlineStr">
        <is>
          <t>n</t>
        </is>
      </c>
      <c r="J62" s="19">
        <f>ROUNDDOWN(W62,0)/$V62</f>
        <v/>
      </c>
      <c r="K62" s="19">
        <f>ROUNDDOWN(X62,0)/$V62</f>
        <v/>
      </c>
      <c r="L62" s="19">
        <f>ROUNDDOWN(Y62,0)/$V62</f>
        <v/>
      </c>
      <c r="M62" s="19">
        <f>ROUNDDOWN(Z62,0)/$V62</f>
        <v/>
      </c>
      <c r="O62" s="36" t="inlineStr">
        <is>
          <t>᪰ ᪱ ᪲ ᪳ ᪴ ᪵ ᪶ ᪷ ᪸ ᪹ ᪺ ᪻ ᪼ ᪽ ᪾ ᪿ ᫀ ᫁ ᫂ ᫃ ᫄ ᫅ ᫆ ᫇ ᫈ ᫉ ᫊ ᫋ ᫌ ᫍ ᫎ</t>
        </is>
      </c>
      <c r="P62" s="37" t="inlineStr"/>
      <c r="Q62" s="38" t="inlineStr"/>
      <c r="R62" t="inlineStr"/>
      <c r="V62" s="14">
        <f>(LEN(O62)+1)/2</f>
        <v/>
      </c>
      <c r="W62" s="14">
        <f>ROUNDDOWN((LEN(P62)+1)/2,0)</f>
        <v/>
      </c>
      <c r="X62" s="14">
        <f>ROUNDDOWN((LEN(Q62)+1)/2,0)</f>
        <v/>
      </c>
      <c r="Y62" s="14">
        <f>ROUNDDOWN((LEN(R62)+1)/2,0)</f>
        <v/>
      </c>
      <c r="Z62" s="14">
        <f>ROUNDDOWN((LEN(S62)+1)/2,0)</f>
        <v/>
      </c>
      <c r="AA62" s="56" t="n">
        <v>46150.55823537651</v>
      </c>
    </row>
    <row r="63" ht="38.25" customHeight="1">
      <c r="A63" s="46" t="inlineStr">
        <is>
          <t>z-Bitmapped</t>
        </is>
      </c>
      <c r="B63" s="46" t="inlineStr">
        <is>
          <t>U+1B00-U+1B7E</t>
        </is>
      </c>
      <c r="C63" s="46" t="inlineStr">
        <is>
          <t>Balinese</t>
        </is>
      </c>
      <c r="D63" s="54">
        <f>HEX2DEC(MID(B63,3,FIND("-",E63)-3))</f>
        <v/>
      </c>
      <c r="E63" s="46" t="inlineStr">
        <is>
          <t>U+1B00-U+1B7F</t>
        </is>
      </c>
      <c r="F63" s="14" t="n">
        <v>3</v>
      </c>
      <c r="G63" s="14" t="n">
        <v>0</v>
      </c>
      <c r="H63" s="14" t="n">
        <v>0</v>
      </c>
      <c r="I63" s="48" t="inlineStr">
        <is>
          <t>n</t>
        </is>
      </c>
      <c r="J63" s="19">
        <f>ROUNDDOWN(W63,0)/$V63</f>
        <v/>
      </c>
      <c r="K63" s="19">
        <f>ROUNDDOWN(X63,0)/$V63</f>
        <v/>
      </c>
      <c r="L63" s="19">
        <f>ROUNDDOWN(Y63,0)/$V63</f>
        <v/>
      </c>
      <c r="M63" s="19">
        <f>ROUNDDOWN(Z63,0)/$V63</f>
        <v/>
      </c>
      <c r="N63" s="35" t="inlineStr">
        <is>
          <t>Font rendering issues (bitmapped font?)</t>
        </is>
      </c>
      <c r="O63" s="36" t="inlineStr">
        <is>
          <t>ᬀ ᬁ ᬂ ᬃ ᬄ ᬅ ᬆ ᬇ ᬈ ᬉ ᬊ ᬋ ᬌ ᬍ ᬎ ᬏ ᬐ ᬑ ᬒ ᬓ ᬔ ᬕ ᬖ ᬗ ᬘ ᬙ ᬚ ᬛ ᬜ ᬝ ᬞ ᬟ ᬠ ᬡ ᬢ ᬣ ᬤ ᬥ ᬦ ᬧ ᬨ ᬩ ᬪ ᬫ ᬬ ᬭ ᬮ ᬯ ᬰ ᬱ ᬲ ᬳ ᬴ ᬵ ᬶ ᬷ ᬸ ᬹ ᬺ ᬻ ᬼ ᬽ ᬾ ᬿ ᭀ ᭁ ᭂ ᭃ ᭄ ᭅ ᭆ ᭇ ᭈ ᭉ ᭊ ᭋ ᭌ ᭐ ᭑ ᭒ ᭓ ᭔ ᭕ ᭖ ᭗ ᭘ ᭙ ᭚ ᭛ ᭜ ᭝ ᭞ ᭟ ᭠ ᭡ ᭢ ᭣ ᭤ ᭥ ᭦ ᭧ ᭨ ᭩ ᭪ ᭫ ᭬ ᭭ ᭮ ᭯ ᭰ ᭱ ᭲ ᭳ ᭴ ᭵ ᭶ ᭷ ᭸ ᭹ ᭺ ᭻ ᭼ ᭽ ᭾</t>
        </is>
      </c>
      <c r="P63" s="37" t="inlineStr">
        <is>
          <t>ᬅ ᬆ ᬇ ᬈ ᬉ ᬊ ᬋ ᬌ ᬍ ᬎ ᬏ ᬐ ᬑ ᬒ ᬓ ᬔ ᬕ ᬖ ᬗ ᬘ ᬙ ᬚ ᬛ ᬜ ᬝ ᬞ ᬟ ᬠ ᬡ ᬢ ᬣ ᬤ ᬥ ᬦ ᬧ ᬨ ᬩ ᬪ ᬫ ᬬ ᬭ ᬮ ᬯ ᬰ ᬱ ᬲ ᬳ ᭅ ᭆ ᭇ ᭈ ᭉ ᭊ ᭋ ᭌ ᭐ ᭑ ᭒ ᭓ ᭔ ᭕ ᭖ ᭗ ᭘ ᭙ ᭚ ᭛ ᭜ ᭝ ᭞ ᭟ ᭠ ᭡ ᭢ ᭣ ᭤ ᭥ ᭦ ᭧ ᭨ ᭩ ᭪ ᭴ ᭵ ᭶ ᭷ ᭸ ᭹ ᭺ ᭻ ᭼ ᭽ ᭾</t>
        </is>
      </c>
      <c r="Q63" s="38" t="inlineStr">
        <is>
          <t>ᬅ ᬇ ᬉ ᬋ ᬍ ᬏ ᬐ ᬑ ᬓ ᬔ ᬕ ᬖ ᬗ ᬘ ᬙ ᬚ ᬛ ᬜ ᬝ ᬞ ᬟ ᬠ ᬡ ᬢ ᬣ ᬤ ᬥ ᬦ ᬧ ᬨ ᬩ ᬪ ᬫ ᬬ ᬭ ᬮ ᬯ ᬰ ᬱ ᬲ ᬳ ᭅ ᭆ ᭇ ᭈ ᭉ ᭊ ᭋ ᭌ ᭚ ᭛ ᭜ ᭝ ᭞ ᭟ ᭠ ᭡ ᭢ ᭣ ᭤ ᭥ ᭦ ᭧ ᭨ ᭩ ᭪ ᭴ ᭵ ᭶ ᭷ ᭸ ᭹ ᭺ ᭻ ᭼ ᭽ ᭾</t>
        </is>
      </c>
      <c r="R63" s="43" t="inlineStr">
        <is>
          <t>ᬅ ᬇ ᬉ ᬋ ᬏ ᬘ ᬚ ᬠ ᬣ ᬤ ᬥ ᬦ ᬧ ᬨ ᬫ ᬭ ᬯ ᬲ ᭈ ᭉ ᭊ ᭜ ᭝ ᭞ ᭟ ᭠ ᭢ ᭣ ᭤ ᭥ ᭦ ᭪</t>
        </is>
      </c>
      <c r="S63" s="40" t="n"/>
      <c r="V63" s="14">
        <f>(LEN(O63)+1)/2</f>
        <v/>
      </c>
      <c r="W63" s="14">
        <f>ROUNDDOWN((LEN(P63)+1)/2,0)</f>
        <v/>
      </c>
      <c r="X63" s="14">
        <f>ROUNDDOWN((LEN(Q63)+1)/2,0)</f>
        <v/>
      </c>
      <c r="Y63" s="14">
        <f>ROUNDDOWN((LEN(R63)+1)/2,0)</f>
        <v/>
      </c>
      <c r="Z63" s="14">
        <f>ROUNDDOWN((LEN(S63)+1)/2,0)</f>
        <v/>
      </c>
      <c r="AA63" s="56" t="n">
        <v>46150.55823603026</v>
      </c>
    </row>
    <row r="64" ht="25.5" customHeight="1">
      <c r="A64" s="46" t="inlineStr">
        <is>
          <t>z-Bitmapped</t>
        </is>
      </c>
      <c r="B64" s="46" t="inlineStr">
        <is>
          <t>U+1B80-U+1BBF</t>
        </is>
      </c>
      <c r="C64" s="46" t="inlineStr">
        <is>
          <t>Sundanese</t>
        </is>
      </c>
      <c r="D64" s="54">
        <f>HEX2DEC(MID(B64,3,FIND("-",E64)-3))</f>
        <v/>
      </c>
      <c r="E64" s="46" t="inlineStr">
        <is>
          <t>U+1B80-U+1BBF</t>
        </is>
      </c>
      <c r="F64" s="14" t="n">
        <v>3</v>
      </c>
      <c r="G64" s="14" t="n">
        <v>0</v>
      </c>
      <c r="H64" s="14" t="n">
        <v>0</v>
      </c>
      <c r="I64" s="48" t="inlineStr">
        <is>
          <t>n</t>
        </is>
      </c>
      <c r="J64" s="19">
        <f>ROUNDDOWN(W64,0)/$V64</f>
        <v/>
      </c>
      <c r="K64" s="19">
        <f>ROUNDDOWN(X64,0)/$V64</f>
        <v/>
      </c>
      <c r="L64" s="19">
        <f>ROUNDDOWN(Y64,0)/$V64</f>
        <v/>
      </c>
      <c r="M64" s="19">
        <f>ROUNDDOWN(Z64,0)/$V64</f>
        <v/>
      </c>
      <c r="N64" s="35" t="inlineStr">
        <is>
          <t>Font rendering issues (bitmapped font?)</t>
        </is>
      </c>
      <c r="O64" s="36" t="inlineStr">
        <is>
          <t>ᮀ ᮁ ᮂ ᮃ ᮄ ᮅ ᮆ ᮇ ᮈ ᮉ ᮊ ᮋ ᮌ ᮍ ᮎ ᮏ ᮐ ᮑ ᮒ ᮓ ᮔ ᮕ ᮖ ᮗ ᮘ ᮙ ᮚ ᮛ ᮜ ᮝ ᮞ ᮟ ᮠ ᮡ ᮢ ᮣ ᮤ ᮥ ᮦ ᮧ ᮨ ᮩ ᮪ ᮫ ᮬ ᮭ ᮮ ᮯ ᮰ ᮱ ᮲ ᮳ ᮴ ᮵ ᮶ ᮷ ᮸ ᮹ ᮺ ᮻ ᮼ ᮽ ᮾ ᮿ</t>
        </is>
      </c>
      <c r="P64" s="37" t="inlineStr">
        <is>
          <t>ᮃ ᮄ ᮅ ᮆ ᮇ ᮈ ᮉ ᮊ ᮋ ᮌ ᮍ ᮎ ᮏ ᮐ ᮑ ᮒ ᮓ ᮔ ᮕ ᮖ ᮗ ᮘ ᮙ ᮚ ᮛ ᮜ ᮝ ᮞ ᮟ ᮠ ᮮ ᮯ ᮰ ᮱ ᮲ ᮳ ᮴ ᮵ ᮶ ᮷ ᮸ ᮹ ᮻ ᮼ ᮽ ᮾ ᮿ</t>
        </is>
      </c>
      <c r="Q64" s="38" t="inlineStr">
        <is>
          <t>ᮃ ᮄ ᮅ ᮈ ᮉ ᮊ ᮋ ᮌ ᮍ ᮎ ᮏ ᮐ ᮑ ᮒ ᮓ ᮔ ᮕ ᮖ ᮗ ᮘ ᮙ ᮚ ᮛ ᮜ ᮝ ᮞ ᮟ ᮠ ᮮ ᮯ ᮻ ᮼ ᮽ ᮾ ᮿ</t>
        </is>
      </c>
      <c r="R64" s="43" t="inlineStr">
        <is>
          <t>ᮃ ᮄ ᮅ ᮈ ᮉ ᮋ ᮌ ᮍ ᮎ ᮏ ᮐ ᮒ ᮓ ᮔ ᮕ ᮖ ᮗ ᮙ ᮚ ᮛ ᮝ ᮞ ᮟ ᮠ ᮻ ᮾ ᮿ</t>
        </is>
      </c>
      <c r="S64" s="40" t="n"/>
      <c r="V64" s="14">
        <f>(LEN(O64)+1)/2</f>
        <v/>
      </c>
      <c r="W64" s="14">
        <f>ROUNDDOWN((LEN(P64)+1)/2,0)</f>
        <v/>
      </c>
      <c r="X64" s="14">
        <f>ROUNDDOWN((LEN(Q64)+1)/2,0)</f>
        <v/>
      </c>
      <c r="Y64" s="14">
        <f>ROUNDDOWN((LEN(R64)+1)/2,0)</f>
        <v/>
      </c>
      <c r="Z64" s="14">
        <f>ROUNDDOWN((LEN(S64)+1)/2,0)</f>
        <v/>
      </c>
      <c r="AA64" s="56" t="n">
        <v>46150.55823644867</v>
      </c>
    </row>
    <row r="65" ht="25.5" customHeight="1">
      <c r="A65" s="46" t="inlineStr">
        <is>
          <t>z-Bitmapped</t>
        </is>
      </c>
      <c r="B65" s="46" t="inlineStr">
        <is>
          <t>U+1BC0-U+1BFF</t>
        </is>
      </c>
      <c r="C65" s="46" t="inlineStr">
        <is>
          <t>Batak</t>
        </is>
      </c>
      <c r="D65" s="54">
        <f>HEX2DEC(MID(B65,3,FIND("-",E65)-3))</f>
        <v/>
      </c>
      <c r="E65" s="46" t="inlineStr">
        <is>
          <t>U+1BC0-U+1BFF</t>
        </is>
      </c>
      <c r="F65" s="14" t="n">
        <v>3</v>
      </c>
      <c r="G65" s="14" t="n">
        <v>0</v>
      </c>
      <c r="H65" s="14" t="n">
        <v>0</v>
      </c>
      <c r="I65" s="48" t="inlineStr">
        <is>
          <t>n</t>
        </is>
      </c>
      <c r="J65" s="19">
        <f>ROUNDDOWN(W65,0)/$V65</f>
        <v/>
      </c>
      <c r="K65" s="19">
        <f>ROUNDDOWN(X65,0)/$V65</f>
        <v/>
      </c>
      <c r="L65" s="19">
        <f>ROUNDDOWN(Y65,0)/$V65</f>
        <v/>
      </c>
      <c r="M65" s="19">
        <f>ROUNDDOWN(Z65,0)/$V65</f>
        <v/>
      </c>
      <c r="N65" s="35" t="inlineStr">
        <is>
          <t>Font rendering issues (bitmapped font?)</t>
        </is>
      </c>
      <c r="O65" s="36" t="inlineStr">
        <is>
          <t>ᯀ ᯁ ᯂ ᯃ ᯄ ᯅ ᯆ ᯇ ᯈ ᯉ ᯊ ᯋ ᯌ ᯍ ᯎ ᯏ ᯐ ᯑ ᯒ ᯓ ᯔ ᯕ ᯖ ᯗ ᯘ ᯙ ᯚ ᯛ ᯜ ᯝ ᯞ ᯟ ᯠ ᯡ ᯢ ᯣ ᯤ ᯥ ᯦ ᯧ ᯨ ᯩ ᯪ ᯫ ᯬ ᯭ ᯮ ᯯ ᯰ ᯱ ᯲ ᯳ ᯼ ᯽ ᯾ ᯿</t>
        </is>
      </c>
      <c r="P65" s="37" t="inlineStr">
        <is>
          <t>ᯀ ᯁ ᯂ ᯃ ᯄ ᯅ ᯆ ᯇ ᯈ ᯉ ᯊ ᯋ ᯌ ᯍ ᯎ ᯏ ᯐ ᯑ ᯒ ᯓ ᯔ ᯕ ᯖ ᯗ ᯘ ᯙ ᯚ ᯛ ᯜ ᯝ ᯞ ᯟ ᯠ ᯡ ᯢ ᯣ ᯤ ᯥ ᯼ ᯽ ᯾ ᯿</t>
        </is>
      </c>
      <c r="Q65" s="38" t="inlineStr">
        <is>
          <t>ᯀ ᯁ ᯂ ᯃ ᯄ ᯅ ᯆ ᯇ ᯈ ᯉ ᯊ ᯋ ᯌ ᯍ ᯎ ᯏ ᯐ ᯑ ᯒ ᯓ ᯔ ᯕ ᯖ ᯗ ᯘ ᯙ ᯚ ᯛ ᯜ ᯝ ᯞ ᯟ ᯠ ᯡ ᯢ ᯣ ᯤ ᯥ ᯼ ᯽ ᯾ ᯿</t>
        </is>
      </c>
      <c r="R65" s="43" t="inlineStr">
        <is>
          <t>ᯍ ᯖ ᯞ ᯢ ᯼ ᯽ ᯿</t>
        </is>
      </c>
      <c r="S65" s="40" t="n"/>
      <c r="V65" s="14">
        <f>(LEN(O65)+1)/2</f>
        <v/>
      </c>
      <c r="W65" s="14">
        <f>ROUNDDOWN((LEN(P65)+1)/2,0)</f>
        <v/>
      </c>
      <c r="X65" s="14">
        <f>ROUNDDOWN((LEN(Q65)+1)/2,0)</f>
        <v/>
      </c>
      <c r="Y65" s="14">
        <f>ROUNDDOWN((LEN(R65)+1)/2,0)</f>
        <v/>
      </c>
      <c r="Z65" s="14">
        <f>ROUNDDOWN((LEN(S65)+1)/2,0)</f>
        <v/>
      </c>
      <c r="AA65" s="56" t="n">
        <v>46150.55823690641</v>
      </c>
    </row>
    <row r="66" ht="25.5" customHeight="1">
      <c r="A66" s="46" t="inlineStr">
        <is>
          <t>z-Bitmapped</t>
        </is>
      </c>
      <c r="B66" s="46" t="inlineStr">
        <is>
          <t>U+1C00-U+1C4F</t>
        </is>
      </c>
      <c r="C66" s="46" t="inlineStr">
        <is>
          <t>Lepcha</t>
        </is>
      </c>
      <c r="D66" s="54">
        <f>HEX2DEC(MID(B66,3,FIND("-",E66)-3))</f>
        <v/>
      </c>
      <c r="E66" s="46" t="inlineStr">
        <is>
          <t>U+1C00-U+1C4F</t>
        </is>
      </c>
      <c r="F66" s="14" t="n">
        <v>3</v>
      </c>
      <c r="G66" s="14" t="n">
        <v>0</v>
      </c>
      <c r="H66" s="14" t="n">
        <v>0</v>
      </c>
      <c r="I66" s="48" t="inlineStr">
        <is>
          <t>n</t>
        </is>
      </c>
      <c r="J66" s="19">
        <f>ROUNDDOWN(W66,0)/$V66</f>
        <v/>
      </c>
      <c r="K66" s="19">
        <f>ROUNDDOWN(X66,0)/$V66</f>
        <v/>
      </c>
      <c r="L66" s="19">
        <f>ROUNDDOWN(Y66,0)/$V66</f>
        <v/>
      </c>
      <c r="M66" s="19">
        <f>ROUNDDOWN(Z66,0)/$V66</f>
        <v/>
      </c>
      <c r="N66" s="35" t="inlineStr">
        <is>
          <t>Font rendering issues (bitmapped font?)</t>
        </is>
      </c>
      <c r="O66" s="36" t="inlineStr">
        <is>
          <t>ᰀ ᰁ ᰂ ᰃ ᰄ ᰅ ᰆ ᰇ ᰈ ᰉ ᰊ ᰋ ᰌ ᰍ ᰎ ᰏ ᰐ ᰑ ᰒ ᰓ ᰔ ᰕ ᰖ ᰗ ᰘ ᰙ ᰚ ᰛ ᰜ ᰝ ᰞ ᰟ ᰠ ᰡ ᰢ ᰣ ᰤ ᰥ ᰦ ᰧ ᰨ ᰩ ᰪ ᰫ ᰬ ᰭ ᰮ ᰯ ᰰ ᰱ ᰲ ᰳ ᰴ ᰵ ᰶ ᰷ ᰻ ᰼ ᰽ ᰾ ᰿ ᱀ ᱁ ᱂ ᱃ ᱄ ᱅ ᱆ ᱇ ᱈ ᱉ ᱍ ᱎ ᱏ</t>
        </is>
      </c>
      <c r="P66" s="37" t="inlineStr">
        <is>
          <t>ᰀ ᰁ ᰂ ᰃ ᰄ ᰅ ᰆ ᰇ ᰈ ᰉ ᰊ ᰋ ᰌ ᰍ ᰎ ᰏ ᰐ ᰑ ᰒ ᰓ ᰔ ᰕ ᰖ ᰗ ᰘ ᰙ ᰚ ᰛ ᰜ ᰝ ᰞ ᰟ ᰠ ᰡ ᰢ ᰣ ᰻ ᰼ ᰽ ᰾ ᰿ ᱀ ᱁ ᱂ ᱃ ᱄ ᱅ ᱆ ᱇ ᱈ ᱉ ᱍ ᱎ ᱏ</t>
        </is>
      </c>
      <c r="Q66" s="38" t="inlineStr">
        <is>
          <t>ᰀ ᰁ ᰂ ᰃ ᰄ ᰅ ᰆ ᰇ ᰈ ᰉ ᰊ ᰋ ᰌ ᰍ ᰎ ᰏ ᰐ ᰑ ᰒ ᰓ ᰔ ᰕ ᰖ ᰗ ᰘ ᰙ ᰚ ᰛ ᰜ ᰝ ᰞ ᰟ ᰠ ᰡ ᰢ ᰣ ᰻ ᰼ ᰽ ᰾ ᰿ ᱍ ᱎ ᱏ</t>
        </is>
      </c>
      <c r="R66" s="43" t="inlineStr">
        <is>
          <t>ᰀ ᰁ ᰂ ᰃ ᰄ ᰅ ᰆ ᰇ ᰈ ᰉ ᰊ ᰋ ᰌ ᰍ ᰎ ᰏ ᰐ ᰑ ᰒ ᰓ ᰔ ᰕ ᰖ ᰗ ᰘ ᰙ ᰚ ᰛ ᰜ ᰝ ᰞ ᰟ ᰠ ᰡ ᰢ ᰣ ᰽ ᰾ ᱍ ᱎ ᱏ</t>
        </is>
      </c>
      <c r="S66" s="40" t="n"/>
      <c r="V66" s="14">
        <f>(LEN(O66)+1)/2</f>
        <v/>
      </c>
      <c r="W66" s="14">
        <f>ROUNDDOWN((LEN(P66)+1)/2,0)</f>
        <v/>
      </c>
      <c r="X66" s="14">
        <f>ROUNDDOWN((LEN(Q66)+1)/2,0)</f>
        <v/>
      </c>
      <c r="Y66" s="14">
        <f>ROUNDDOWN((LEN(R66)+1)/2,0)</f>
        <v/>
      </c>
      <c r="Z66" s="14">
        <f>ROUNDDOWN((LEN(S66)+1)/2,0)</f>
        <v/>
      </c>
      <c r="AA66" s="56" t="n">
        <v>46150.55823735538</v>
      </c>
    </row>
    <row r="67" ht="30" customHeight="1">
      <c r="A67" s="46" t="inlineStr">
        <is>
          <t>z-Bitmapped</t>
        </is>
      </c>
      <c r="B67" s="46" t="inlineStr">
        <is>
          <t>U+1C50-U+1C7F</t>
        </is>
      </c>
      <c r="C67" s="46" t="inlineStr">
        <is>
          <t>Ol Chiki</t>
        </is>
      </c>
      <c r="D67" s="54">
        <f>HEX2DEC(MID(B67,3,FIND("-",E67)-3))</f>
        <v/>
      </c>
      <c r="E67" s="46" t="inlineStr">
        <is>
          <t>U+1C50-U+1C7F</t>
        </is>
      </c>
      <c r="F67" s="14" t="n">
        <v>3</v>
      </c>
      <c r="G67" s="14" t="n">
        <v>0</v>
      </c>
      <c r="H67" s="14" t="n">
        <v>0</v>
      </c>
      <c r="I67" s="48" t="inlineStr">
        <is>
          <t>n</t>
        </is>
      </c>
      <c r="J67" s="19">
        <f>ROUNDDOWN(W67,0)/$V67</f>
        <v/>
      </c>
      <c r="K67" s="19">
        <f>ROUNDDOWN(X67,0)/$V67</f>
        <v/>
      </c>
      <c r="L67" s="19">
        <f>ROUNDDOWN(Y67,0)/$V67</f>
        <v/>
      </c>
      <c r="M67" s="19">
        <f>ROUNDDOWN(Z67,0)/$V67</f>
        <v/>
      </c>
      <c r="N67" s="35" t="inlineStr">
        <is>
          <t>Font rendering issues (bitmapped font?)</t>
        </is>
      </c>
      <c r="O67" s="36" t="inlineStr">
        <is>
          <t>᱐ ᱑ ᱒ ᱓ ᱔ ᱕ ᱖ ᱗ ᱘ ᱙ ᱚ ᱛ ᱜ ᱝ ᱞ ᱟ ᱠ ᱡ ᱢ ᱣ ᱤ ᱥ ᱦ ᱧ ᱨ ᱩ ᱪ ᱫ ᱬ ᱭ ᱮ ᱯ ᱰ ᱱ ᱲ ᱳ ᱴ ᱵ ᱶ ᱷ ᱸ ᱹ ᱺ ᱻ ᱼ ᱽ ᱾ ᱿</t>
        </is>
      </c>
      <c r="P67" s="37" t="inlineStr">
        <is>
          <t>᱐ ᱑ ᱒ ᱓ ᱔ ᱕ ᱖ ᱗ ᱘ ᱙ ᱚ ᱛ ᱜ ᱝ ᱞ ᱟ ᱠ ᱡ ᱢ ᱣ ᱤ ᱥ ᱦ ᱧ ᱨ ᱩ ᱪ ᱫ ᱬ ᱭ ᱮ ᱯ ᱰ ᱱ ᱲ ᱳ ᱴ ᱵ ᱶ ᱷ ᱸ ᱹ ᱺ ᱻ ᱼ ᱽ ᱾ ᱿</t>
        </is>
      </c>
      <c r="Q67" s="38" t="inlineStr">
        <is>
          <t>ᱚ ᱛ ᱜ ᱝ ᱞ ᱟ ᱠ ᱡ ᱢ ᱣ ᱤ ᱥ ᱦ ᱧ ᱨ ᱩ ᱪ ᱫ ᱬ ᱭ ᱮ ᱯ ᱰ ᱱ ᱲ ᱳ ᱴ ᱵ ᱶ ᱸ ᱹ ᱺ ᱻ ᱼ ᱽ ᱾ ᱿</t>
        </is>
      </c>
      <c r="R67" s="43" t="inlineStr">
        <is>
          <t>ᱚ ᱛ ᱜ ᱝ ᱞ ᱟ ᱠ ᱡ ᱢ ᱣ ᱤ ᱥ ᱦ ᱧ ᱨ ᱩ ᱪ ᱫ ᱬ ᱭ ᱮ ᱯ ᱰ ᱱ ᱲ ᱳ ᱴ ᱵ ᱶ ᱻ ᱽ ᱾</t>
        </is>
      </c>
      <c r="S67" s="40" t="n"/>
      <c r="V67" s="14">
        <f>(LEN(O67)+1)/2</f>
        <v/>
      </c>
      <c r="W67" s="14">
        <f>ROUNDDOWN((LEN(P67)+1)/2,0)</f>
        <v/>
      </c>
      <c r="X67" s="14">
        <f>ROUNDDOWN((LEN(Q67)+1)/2,0)</f>
        <v/>
      </c>
      <c r="Y67" s="14">
        <f>ROUNDDOWN((LEN(R67)+1)/2,0)</f>
        <v/>
      </c>
      <c r="Z67" s="14">
        <f>ROUNDDOWN((LEN(S67)+1)/2,0)</f>
        <v/>
      </c>
      <c r="AA67" s="56" t="n">
        <v>46150.55823776386</v>
      </c>
    </row>
    <row r="68" ht="25.5" customHeight="1">
      <c r="A68" s="46" t="inlineStr">
        <is>
          <t>z-wide</t>
        </is>
      </c>
      <c r="B68" s="46" t="inlineStr">
        <is>
          <t>U+1C80-U+1C88</t>
        </is>
      </c>
      <c r="C68" s="46" t="inlineStr">
        <is>
          <t>Cyrillic Extended-C</t>
        </is>
      </c>
      <c r="D68" s="54">
        <f>HEX2DEC(MID(B68,3,FIND("-",E68)-3))</f>
        <v/>
      </c>
      <c r="E68" s="46" t="inlineStr">
        <is>
          <t>U+1C80-U+1C8F</t>
        </is>
      </c>
      <c r="F68" s="14" t="n">
        <v>3</v>
      </c>
      <c r="G68" s="14" t="n">
        <v>3</v>
      </c>
      <c r="H68" s="14" t="n">
        <v>3</v>
      </c>
      <c r="I68" s="48" t="inlineStr">
        <is>
          <t>y</t>
        </is>
      </c>
      <c r="J68" s="19">
        <f>ROUNDDOWN(W68,0)/$V68</f>
        <v/>
      </c>
      <c r="K68" s="19">
        <f>ROUNDDOWN(X68,0)/$V68</f>
        <v/>
      </c>
      <c r="L68" s="19">
        <f>ROUNDDOWN(Y68,0)/$V68</f>
        <v/>
      </c>
      <c r="M68" s="19">
        <f>ROUNDDOWN(Z68,0)/$V68</f>
        <v/>
      </c>
      <c r="O68" s="36" t="inlineStr">
        <is>
          <t>ᲀ ᲁ ᲂ ᲃ ᲄ ᲅ ᲆ ᲇ ᲈ</t>
        </is>
      </c>
      <c r="P68" s="37" t="inlineStr">
        <is>
          <t>ᲀ ᲁ ᲂ ᲃ ᲄ ᲅ ᲆ ᲇ ᲈ</t>
        </is>
      </c>
      <c r="Q68" s="38" t="inlineStr">
        <is>
          <t>ᲀ ᲁ ᲃ ᲄ ᲅ ᲆ ᲇ ᲈ</t>
        </is>
      </c>
      <c r="R68" s="39" t="inlineStr">
        <is>
          <t>ᲀ ᲁ ᲃ ᲄ ᲅ ᲆ ᲇ ᲈ</t>
        </is>
      </c>
      <c r="S68" s="40" t="n"/>
      <c r="V68" s="14">
        <f>(LEN(O68)+1)/2</f>
        <v/>
      </c>
      <c r="W68" s="14">
        <f>ROUNDDOWN((LEN(P68)+1)/2,0)</f>
        <v/>
      </c>
      <c r="X68" s="14">
        <f>ROUNDDOWN((LEN(Q68)+1)/2,0)</f>
        <v/>
      </c>
      <c r="Y68" s="14">
        <f>ROUNDDOWN((LEN(R68)+1)/2,0)</f>
        <v/>
      </c>
      <c r="Z68" s="14">
        <f>ROUNDDOWN((LEN(S68)+1)/2,0)</f>
        <v/>
      </c>
      <c r="AA68" s="56" t="n">
        <v>46150.55823799699</v>
      </c>
    </row>
    <row r="69" ht="30" customHeight="1">
      <c r="A69" s="46" t="inlineStr">
        <is>
          <t>z-Bitmapped</t>
        </is>
      </c>
      <c r="B69" s="46" t="inlineStr">
        <is>
          <t>U+1C90-U+1CBF</t>
        </is>
      </c>
      <c r="C69" s="46" t="inlineStr">
        <is>
          <t>Georgian Extended</t>
        </is>
      </c>
      <c r="D69" s="54">
        <f>HEX2DEC(MID(B69,3,FIND("-",E69)-3))</f>
        <v/>
      </c>
      <c r="E69" s="46" t="inlineStr">
        <is>
          <t>U+1C90-U+1CBF</t>
        </is>
      </c>
      <c r="F69" s="14" t="n">
        <v>3</v>
      </c>
      <c r="G69" s="14" t="n">
        <v>0</v>
      </c>
      <c r="H69" s="14" t="n">
        <v>0</v>
      </c>
      <c r="I69" s="48" t="inlineStr">
        <is>
          <t>n</t>
        </is>
      </c>
      <c r="J69" s="19">
        <f>ROUNDDOWN(W69,0)/$V69</f>
        <v/>
      </c>
      <c r="K69" s="19">
        <f>ROUNDDOWN(X69,0)/$V69</f>
        <v/>
      </c>
      <c r="L69" s="19">
        <f>ROUNDDOWN(Y69,0)/$V69</f>
        <v/>
      </c>
      <c r="M69" s="19">
        <f>ROUNDDOWN(Z69,0)/$V69</f>
        <v/>
      </c>
      <c r="N69" s="35" t="inlineStr">
        <is>
          <t>Font rendering issues (bitmapped font?)</t>
        </is>
      </c>
      <c r="O69" s="36" t="inlineStr">
        <is>
          <t>Ა Ბ Გ Დ Ე Ვ Ზ Თ Ი Კ Ლ Მ Ნ Ო Პ Ჟ Რ Ს Ტ Უ Ფ Ქ Ღ Ყ Შ Ჩ Ც Ძ Წ Ჭ Ხ Ჯ Ჰ Ჱ Ჲ Ჳ Ჴ Ჵ Ჶ Ჷ Ჸ Ჹ Ჺ Ჽ Ჾ Ჿ</t>
        </is>
      </c>
      <c r="P69" s="37" t="inlineStr">
        <is>
          <t>Ა Ბ Გ Დ Ე Ვ Ზ Თ Ი Კ Ლ Მ Ნ Ო Პ Ჟ Რ Ს Ტ Უ Ფ Ქ Ღ Ყ Შ Ჩ Ც Ძ Წ Ჭ Ხ Ჯ Ჰ Ჱ Ჲ Ჳ Ჴ Ჵ Ჶ Ჷ Ჸ Ჹ Ჺ Ჽ Ჾ Ჿ</t>
        </is>
      </c>
      <c r="Q69" s="38" t="inlineStr"/>
      <c r="R69" s="43" t="inlineStr"/>
      <c r="S69" s="40" t="n"/>
      <c r="V69" s="14">
        <f>(LEN(O69)+1)/2</f>
        <v/>
      </c>
      <c r="W69" s="14">
        <f>ROUNDDOWN((LEN(P69)+1)/2,0)</f>
        <v/>
      </c>
      <c r="X69" s="14">
        <f>ROUNDDOWN((LEN(Q69)+1)/2,0)</f>
        <v/>
      </c>
      <c r="Y69" s="14">
        <f>ROUNDDOWN((LEN(R69)+1)/2,0)</f>
        <v/>
      </c>
      <c r="Z69" s="14">
        <f>ROUNDDOWN((LEN(S69)+1)/2,0)</f>
        <v/>
      </c>
      <c r="AA69" s="56" t="n">
        <v>46150.55823800333</v>
      </c>
    </row>
    <row r="70" ht="25.5" customHeight="1">
      <c r="A70" s="46" t="inlineStr">
        <is>
          <t>z-Bitmapped</t>
        </is>
      </c>
      <c r="B70" s="46" t="inlineStr">
        <is>
          <t>U+1CC0-U+1CC7</t>
        </is>
      </c>
      <c r="C70" s="46" t="inlineStr">
        <is>
          <t>Sundanese Supplement</t>
        </is>
      </c>
      <c r="D70" s="54">
        <f>HEX2DEC(MID(B70,3,FIND("-",E70)-3))</f>
        <v/>
      </c>
      <c r="E70" s="46" t="inlineStr">
        <is>
          <t>U+1CC0-U+1CCF</t>
        </is>
      </c>
      <c r="F70" s="14" t="n">
        <v>3</v>
      </c>
      <c r="G70" s="14" t="n">
        <v>0</v>
      </c>
      <c r="H70" s="14" t="n">
        <v>0</v>
      </c>
      <c r="I70" s="48" t="inlineStr">
        <is>
          <t>n</t>
        </is>
      </c>
      <c r="J70" s="19">
        <f>ROUNDDOWN(W70,0)/$V70</f>
        <v/>
      </c>
      <c r="K70" s="19">
        <f>ROUNDDOWN(X70,0)/$V70</f>
        <v/>
      </c>
      <c r="L70" s="19">
        <f>ROUNDDOWN(Y70,0)/$V70</f>
        <v/>
      </c>
      <c r="M70" s="19">
        <f>ROUNDDOWN(Z70,0)/$V70</f>
        <v/>
      </c>
      <c r="N70" s="35" t="inlineStr">
        <is>
          <t>Font rendering issues (bitmapped font?)</t>
        </is>
      </c>
      <c r="O70" s="36" t="inlineStr">
        <is>
          <t>᳀ ᳁ ᳂ ᳃ ᳄ ᳅ ᳆ ᳇</t>
        </is>
      </c>
      <c r="P70" s="37" t="inlineStr">
        <is>
          <t>᳀ ᳁ ᳂ ᳃ ᳄ ᳅ ᳆ ᳇</t>
        </is>
      </c>
      <c r="Q70" s="38" t="inlineStr">
        <is>
          <t>᳀ ᳁ ᳂ ᳃ ᳄ ᳅ ᳆ ᳇</t>
        </is>
      </c>
      <c r="R70" s="43" t="inlineStr">
        <is>
          <t>᳀ ᳁ ᳂ ᳃ ᳅</t>
        </is>
      </c>
      <c r="S70" s="40" t="n"/>
      <c r="V70" s="14">
        <f>(LEN(O70)+1)/2</f>
        <v/>
      </c>
      <c r="W70" s="14">
        <f>ROUNDDOWN((LEN(P70)+1)/2,0)</f>
        <v/>
      </c>
      <c r="X70" s="14">
        <f>ROUNDDOWN((LEN(Q70)+1)/2,0)</f>
        <v/>
      </c>
      <c r="Y70" s="14">
        <f>ROUNDDOWN((LEN(R70)+1)/2,0)</f>
        <v/>
      </c>
      <c r="Z70" s="14">
        <f>ROUNDDOWN((LEN(S70)+1)/2,0)</f>
        <v/>
      </c>
      <c r="AA70" s="56" t="n">
        <v>46150.55823821618</v>
      </c>
    </row>
    <row r="71" ht="25.5" customHeight="1">
      <c r="B71" s="46" t="inlineStr">
        <is>
          <t>U+1CD0-U+1CFA</t>
        </is>
      </c>
      <c r="C71" s="46" t="inlineStr">
        <is>
          <t>Vedic Extensions</t>
        </is>
      </c>
      <c r="D71" s="54">
        <f>HEX2DEC(MID(B71,3,FIND("-",E71)-3))</f>
        <v/>
      </c>
      <c r="E71" s="46" t="inlineStr">
        <is>
          <t>U+1CD0-U+1CFF</t>
        </is>
      </c>
      <c r="F71" s="14" t="n">
        <v>3</v>
      </c>
      <c r="G71" s="14" t="n">
        <v>0</v>
      </c>
      <c r="H71" s="14" t="n">
        <v>0</v>
      </c>
      <c r="I71" s="48" t="inlineStr">
        <is>
          <t>n</t>
        </is>
      </c>
      <c r="J71" s="19">
        <f>ROUNDDOWN(W71,0)/$V71</f>
        <v/>
      </c>
      <c r="K71" s="19">
        <f>ROUNDDOWN(X71,0)/$V71</f>
        <v/>
      </c>
      <c r="L71" s="19">
        <f>ROUNDDOWN(Y71,0)/$V71</f>
        <v/>
      </c>
      <c r="M71" s="19">
        <f>ROUNDDOWN(Z71,0)/$V71</f>
        <v/>
      </c>
      <c r="N71" s="35" t="inlineStr">
        <is>
          <t>Combined characters</t>
        </is>
      </c>
      <c r="O71" s="36" t="inlineStr">
        <is>
          <t>᳐ ᳑ ᳒ ᳓ ᳔ ᳕ ᳖ ᳗ ᳘ ᳙ ᳚ ᳛ ᳜ ᳝ ᳞ ᳟ ᳠ ᳡ ᳢ ᳣ ᳤ ᳥ ᳦ ᳧ ᳨ ᳩ ᳪ ᳫ ᳬ ᳭ ᳮ ᳯ ᳰ ᳱ ᳲ ᳳ ᳴ ᳵ ᳶ ᳷ ᳸ ᳹ ᳺ</t>
        </is>
      </c>
      <c r="P71" s="37" t="inlineStr">
        <is>
          <t>᳓ ᳵ ᳶ</t>
        </is>
      </c>
      <c r="Q71" s="38" t="inlineStr">
        <is>
          <t>᳓ ᳵ ᳶ</t>
        </is>
      </c>
      <c r="R71" s="43" t="inlineStr"/>
      <c r="S71" s="40" t="n"/>
      <c r="V71" s="14">
        <f>(LEN(O71)+1)/2</f>
        <v/>
      </c>
      <c r="W71" s="14">
        <f>ROUNDDOWN((LEN(P71)+1)/2,0)</f>
        <v/>
      </c>
      <c r="X71" s="14">
        <f>ROUNDDOWN((LEN(Q71)+1)/2,0)</f>
        <v/>
      </c>
      <c r="Y71" s="14">
        <f>ROUNDDOWN((LEN(R71)+1)/2,0)</f>
        <v/>
      </c>
      <c r="Z71" s="14">
        <f>ROUNDDOWN((LEN(S71)+1)/2,0)</f>
        <v/>
      </c>
      <c r="AA71" s="56" t="n">
        <v>46150.55823839887</v>
      </c>
    </row>
    <row r="72" ht="60" customHeight="1">
      <c r="A72" s="46" t="inlineStr">
        <is>
          <t>Phonetic</t>
        </is>
      </c>
      <c r="B72" s="46" t="inlineStr">
        <is>
          <t>U+1D00-U+1D7F</t>
        </is>
      </c>
      <c r="C72" s="46" t="inlineStr">
        <is>
          <t>Phonetic Extensions</t>
        </is>
      </c>
      <c r="D72" s="54">
        <f>HEX2DEC(MID(B72,3,FIND("-",E72)-3))</f>
        <v/>
      </c>
      <c r="E72" s="46" t="inlineStr">
        <is>
          <t>U+1D00-U+1D7F</t>
        </is>
      </c>
      <c r="F72" s="14" t="n">
        <v>3</v>
      </c>
      <c r="G72" s="14" t="n">
        <v>3</v>
      </c>
      <c r="H72" s="14" t="n">
        <v>4</v>
      </c>
      <c r="I72" s="48" t="inlineStr">
        <is>
          <t>y</t>
        </is>
      </c>
      <c r="J72" s="19">
        <f>ROUNDDOWN(W72,0)/$V72</f>
        <v/>
      </c>
      <c r="K72" s="19">
        <f>ROUNDDOWN(X72,0)/$V72</f>
        <v/>
      </c>
      <c r="L72" s="19">
        <f>ROUNDDOWN(Y72,0)/$V72</f>
        <v/>
      </c>
      <c r="M72" s="19">
        <f>ROUNDDOWN(Z72,0)/$V72</f>
        <v/>
      </c>
      <c r="O72" s="36" t="inlineStr">
        <is>
          <t>ᴀ ᴁ ᴂ ᴃ ᴄ ᴅ ᴆ ᴇ ᴈ ᴉ ᴊ ᴋ ᴌ ᴍ ᴎ ᴏ ᴐ ᴑ ᴒ ᴓ ᴔ ᴕ ᴖ ᴗ ᴘ ᴙ ᴚ ᴛ ᴜ ᴝ ᴞ ᴟ ᴠ ᴡ ᴢ ᴣ ᴤ ᴥ ᴦ ᴧ ᴨ ᴩ ᴪ ᴫ ᴬ ᴭ ᴮ ᴯ ᴰ ᴱ ᴲ ᴳ ᴴ ᴵ ᴶ ᴷ ᴸ ᴹ ᴺ ᴻ ᴼ ᴽ ᴾ ᴿ ᵀ ᵁ ᵂ ᵃ ᵄ ᵅ ᵆ ᵇ ᵈ ᵉ ᵊ ᵋ ᵌ ᵍ ᵎ ᵏ ᵐ ᵑ ᵒ ᵓ ᵔ ᵕ ᵖ ᵗ ᵘ ᵙ ᵚ ᵛ ᵜ ᵝ ᵞ ᵟ ᵠ ᵡ ᵢ ᵣ ᵤ ᵥ ᵦ ᵧ ᵨ ᵩ ᵪ ᵫ ᵬ ᵭ ᵮ ᵯ ᵰ ᵱ ᵲ ᵳ ᵴ ᵵ ᵶ ᵷ ᵸ ᵹ ᵺ ᵻ ᵼ ᵽ ᵾ ᵿ</t>
        </is>
      </c>
      <c r="P72" s="37" t="inlineStr">
        <is>
          <t>ᴀ ᴁ ᴂ ᴃ ᴄ ᴅ ᴆ ᴇ ᴈ ᴉ ᴊ ᴋ ᴌ ᴍ ᴎ ᴏ ᴐ ᴑ ᴒ ᴓ ᴔ ᴕ ᴖ ᴗ ᴘ ᴙ ᴚ ᴛ ᴜ ᴝ ᴞ ᴟ ᴠ ᴡ ᴢ ᴣ ᴤ ᴥ ᴦ ᴧ ᴨ ᴩ ᴪ ᴫ ᴬ ᴭ ᴮ ᴯ ᴰ ᴱ ᴲ ᴳ ᴴ ᴵ ᴶ ᴷ ᴸ ᴹ ᴺ ᴻ ᴼ ᴽ ᴾ ᴿ ᵀ ᵁ ᵂ ᵃ ᵄ ᵅ ᵆ ᵇ ᵈ ᵉ ᵊ ᵋ ᵌ ᵍ ᵎ ᵏ ᵐ ᵑ ᵒ ᵓ ᵔ ᵕ ᵖ ᵗ ᵘ ᵙ ᵚ ᵛ ᵜ ᵝ ᵞ ᵟ ᵠ ᵡ ᵢ ᵣ ᵤ ᵥ ᵦ ᵧ ᵨ ᵩ ᵪ ᵫ ᵬ ᵭ ᵮ ᵯ ᵰ ᵱ ᵲ ᵳ ᵴ ᵵ ᵶ ᵷ ᵸ ᵹ ᵺ ᵻ ᵼ ᵽ ᵾ ᵿ</t>
        </is>
      </c>
      <c r="Q72" s="38" t="inlineStr">
        <is>
          <t>ᴀ ᴄ ᴅ ᴆ ᴇ ᴈ ᴉ ᴊ ᴋ ᴍ ᴎ ᴘ ᴙ ᴚ ᴛ ᴜ ᴝ ᴞ ᴟ ᴠ ᴡ ᴢ ᴣ ᴤ ᴥ ᴦ ᴧ ᴨ ᴩ ᴪ ᴫ ᴲ ᴻ ᵄ ᵅ ᵊ ᵋ ᵌ ᵎ ᵑ ᵙ ᵚ ᵜ ᵝ ᵞ ᵟ ᵠ ᵡ ᵦ ᵧ ᵨ ᵩ ᵪ ᵫ ᵷ ᵸ ᵹ</t>
        </is>
      </c>
      <c r="R72" s="39" t="inlineStr">
        <is>
          <t>ᴀ ᴅ ᴆ ᴇ ᴈ ᴉ ᴊ ᴋ ᴍ ᴎ ᴘ ᴙ ᴚ ᴛ ᴝ ᴟ ᴣ ᴤ ᴥ ᴧ ᴨ ᴩ ᴪ ᴫ ᴲ ᴻ ᵄ ᵅ ᵊ ᵋ ᵌ ᵎ ᵑ ᵙ ᵚ ᵜ ᵝ ᵞ ᵟ ᵠ ᵡ ᵦ ᵧ ᵨ ᵩ ᵪ ᵫ ᵷ ᵸ ᵹ</t>
        </is>
      </c>
      <c r="S72" s="40" t="n"/>
      <c r="T72" s="41" t="inlineStr">
        <is>
          <t>ᴀ ᴁ ᴂ ᴃ ᴄ ᴅ ᴆ ᴇ ᴈ ᴉ ᴊ ᴋ ᴌ ᴍ ᴎ ᴏ ᴐ ᴑ ᴒ ᴓ ᴔ ᴕ ᴖ ᴗ ᴘ ᴙ ᴚ ᴛ ᴜ ᴝ ᴞ ᴟ ᴠ ᴡ ᴢ ᴣ ᴤ ᴥ ᴦ ᴧ ᴨ ᴩ ᴪ ᴫ ᴬ ᴭ ᴮ ᴯ ᴰ ᴱ ᴲ ᴳ ᴴ ᴵ ᴶ ᴷ ᴸ ᴹ ᴺ ᴻ ᴼ ᴽ ᴾ ᴿ ᵀ ᵁ ᵂ ᵃ ᵄ ᵅ ᵆ ᵇ ᵈ ᵉ ᵊ ᵋ ᵌ ᵍ ᵎ ᵏ ᵐ ᵑ ᵒ ᵓ ᵔ ᵕ ᵖ ᵗ ᵘ ᵙ ᵚ ᵛ ᵜ ᵝ ᵞ ᵟ ᵠ ᵡ ᵢ ᵣ ᵤ ᵥ ᵦ ᵧ ᵨ ᵩ ᵪ ᵫ ᵬ ᵭ ᵮ ᵯ ᵰ ᵱ ᵲ ᵳ ᵴ ᵵ ᵶ ᵷ ᵸ ᵹ ᵺ ᵻ ᵼ ᵽ ᵾ ᵿ</t>
        </is>
      </c>
      <c r="U72" s="42" t="inlineStr">
        <is>
          <t>ᴀ ᴁ ᴂ ᴃ ᴄ ᴅ ᴆ ᴇ ᴈ ᴉ ᴊ ᴋ ᴌ ᴍ ᴎ ᴏ ᴐ ᴑ ᴒ ᴓ ᴔ ᴕ ᴖ ᴗ ᴘ ᴙ ᴚ ᴛ ᴜ ᴝ ᴞ ᴟ ᴠ ᴡ ᴢ ᴣ ᴤ ᴥ ᴦ ᴧ ᴨ ᴩ ᴪ ᴫ ᴬ ᴭ ᴮ ᴯ ᴰ ᴱ ᴲ ᴳ ᴴ ᴵ ᴶ ᴷ ᴸ ᴹ ᴺ ᴻ ᴼ ᴽ ᴾ ᴿ ᵀ ᵁ ᵂ ᵃ ᵄ ᵅ ᵆ ᵇ ᵈ ᵉ ᵊ ᵋ ᵌ ᵍ ᵎ ᵏ ᵐ ᵑ ᵒ ᵓ ᵔ ᵕ ᵖ ᵗ ᵘ ᵙ ᵚ ᵛ ᵜ ᵝ ᵞ ᵟ ᵠ ᵡ ᵢ ᵣ ᵤ ᵥ ᵦ ᵧ ᵨ ᵩ ᵪ ᵫ ᵬ ᵭ ᵮ ᵯ ᵰ ᵱ ᵲ ᵳ ᵴ ᵵ ᵶ ᵷ ᵸ ᵹ ᵺ ᵻ ᵼ ᵽ ᵾ ᵿ</t>
        </is>
      </c>
      <c r="V72" s="14">
        <f>(LEN(O72)+1)/2</f>
        <v/>
      </c>
      <c r="W72" s="14">
        <f>ROUNDDOWN((LEN(P72)+1)/2,0)</f>
        <v/>
      </c>
      <c r="X72" s="14">
        <f>ROUNDDOWN((LEN(Q72)+1)/2,0)</f>
        <v/>
      </c>
      <c r="Y72" s="14">
        <f>ROUNDDOWN((LEN(R72)+1)/2,0)</f>
        <v/>
      </c>
      <c r="Z72" s="14">
        <f>ROUNDDOWN((LEN(S72)+1)/2,0)</f>
        <v/>
      </c>
      <c r="AA72" s="56" t="n">
        <v>46150.55823929256</v>
      </c>
    </row>
    <row r="73" ht="30" customHeight="1">
      <c r="A73" s="46" t="inlineStr">
        <is>
          <t>Phonetic</t>
        </is>
      </c>
      <c r="B73" s="46" t="inlineStr">
        <is>
          <t>U+1D80-U+1DBF</t>
        </is>
      </c>
      <c r="C73" s="46" t="inlineStr">
        <is>
          <t>Phonetic Extensions Supplement</t>
        </is>
      </c>
      <c r="D73" s="54">
        <f>HEX2DEC(MID(B73,3,FIND("-",E73)-3))</f>
        <v/>
      </c>
      <c r="E73" s="46" t="inlineStr">
        <is>
          <t>U+1D80-U+1DBF</t>
        </is>
      </c>
      <c r="F73" s="14" t="n">
        <v>3</v>
      </c>
      <c r="G73" s="14" t="n">
        <v>3</v>
      </c>
      <c r="H73" s="14" t="n">
        <v>0</v>
      </c>
      <c r="I73" s="48" t="inlineStr">
        <is>
          <t>n</t>
        </is>
      </c>
      <c r="J73" s="19">
        <f>ROUNDDOWN(W73,0)/$V73</f>
        <v/>
      </c>
      <c r="K73" s="19">
        <f>ROUNDDOWN(X73,0)/$V73</f>
        <v/>
      </c>
      <c r="L73" s="19">
        <f>ROUNDDOWN(Y73,0)/$V73</f>
        <v/>
      </c>
      <c r="M73" s="19">
        <f>ROUNDDOWN(Z73,0)/$V73</f>
        <v/>
      </c>
      <c r="O73" s="36" t="inlineStr">
        <is>
          <t>ᶀ ᶁ ᶂ ᶃ ᶄ ᶅ ᶆ ᶇ ᶈ ᶉ ᶊ ᶋ ᶌ ᶍ ᶎ ᶏ ᶐ ᶑ ᶒ ᶓ ᶔ ᶕ ᶖ ᶗ ᶘ ᶙ ᶚ ᶛ ᶜ ᶝ ᶞ ᶟ ᶠ ᶡ ᶢ ᶣ ᶤ ᶥ ᶦ ᶧ ᶨ ᶩ ᶪ ᶫ ᶬ ᶭ ᶮ ᶯ ᶰ ᶱ ᶲ ᶳ ᶴ ᶵ ᶶ ᶷ ᶸ ᶹ ᶺ ᶻ ᶼ ᶽ ᶾ ᶿ</t>
        </is>
      </c>
      <c r="P73" s="37" t="inlineStr">
        <is>
          <t>ᶀ ᶁ ᶂ ᶃ ᶄ ᶅ ᶆ ᶇ ᶈ ᶉ ᶊ ᶋ ᶌ ᶍ ᶎ ᶏ ᶐ ᶑ ᶒ ᶓ ᶔ ᶕ ᶖ ᶗ ᶘ ᶙ ᶚ ᶛ ᶜ ᶝ ᶞ ᶟ ᶠ ᶡ ᶢ ᶣ ᶤ ᶥ ᶦ ᶧ ᶨ ᶩ ᶪ ᶫ ᶬ ᶭ ᶮ ᶯ ᶰ ᶱ ᶲ ᶳ ᶴ ᶵ ᶶ ᶷ ᶸ ᶹ ᶺ ᶻ ᶼ ᶽ ᶾ ᶿ</t>
        </is>
      </c>
      <c r="Q73" s="38" t="inlineStr">
        <is>
          <t>ᶛ ᶞ ᶟ ᶢ ᶣ ᶥ ᶦ ᶫ ᶰ ᶲ ᶴ ᶶ ᶷ ᶸ ᶺ ᶾ ᶿ</t>
        </is>
      </c>
      <c r="R73" s="43" t="inlineStr">
        <is>
          <t>ᶛ ᶞ ᶟ ᶢ ᶣ ᶥ ᶦ ᶫ ᶰ ᶲ ᶴ ᶶ ᶷ ᶸ ᶺ ᶾ ᶿ</t>
        </is>
      </c>
      <c r="S73" s="40" t="n"/>
      <c r="V73" s="14">
        <f>(LEN(O73)+1)/2</f>
        <v/>
      </c>
      <c r="W73" s="14">
        <f>ROUNDDOWN((LEN(P73)+1)/2,0)</f>
        <v/>
      </c>
      <c r="X73" s="14">
        <f>ROUNDDOWN((LEN(Q73)+1)/2,0)</f>
        <v/>
      </c>
      <c r="Y73" s="14">
        <f>ROUNDDOWN((LEN(R73)+1)/2,0)</f>
        <v/>
      </c>
      <c r="Z73" s="14">
        <f>ROUNDDOWN((LEN(S73)+1)/2,0)</f>
        <v/>
      </c>
      <c r="AA73" s="56" t="n">
        <v>46150.55823974147</v>
      </c>
    </row>
    <row r="74" ht="38.25" customHeight="1">
      <c r="A74" s="46" t="inlineStr">
        <is>
          <t>z-combined</t>
        </is>
      </c>
      <c r="B74" s="46" t="inlineStr">
        <is>
          <t>U+1DC0-U+1DFF</t>
        </is>
      </c>
      <c r="C74" s="46" t="inlineStr">
        <is>
          <t>Combining Diacritical Marks Supplement</t>
        </is>
      </c>
      <c r="D74" s="54">
        <f>HEX2DEC(MID(B74,3,FIND("-",E74)-3))</f>
        <v/>
      </c>
      <c r="E74" s="46" t="inlineStr">
        <is>
          <t>U+1DC0-U+1DFF</t>
        </is>
      </c>
      <c r="F74" s="14" t="n">
        <v>3</v>
      </c>
      <c r="G74" s="14" t="n">
        <v>0</v>
      </c>
      <c r="H74" s="14" t="n">
        <v>0</v>
      </c>
      <c r="I74" s="48" t="inlineStr">
        <is>
          <t>n</t>
        </is>
      </c>
      <c r="J74" s="19">
        <f>ROUNDDOWN(W74,0)/$V74</f>
        <v/>
      </c>
      <c r="K74" s="19">
        <f>ROUNDDOWN(X74,0)/$V74</f>
        <v/>
      </c>
      <c r="L74" s="19">
        <f>ROUNDDOWN(Y74,0)/$V74</f>
        <v/>
      </c>
      <c r="M74" s="19">
        <f>ROUNDDOWN(Z74,0)/$V74</f>
        <v/>
      </c>
      <c r="N74" s="35" t="inlineStr">
        <is>
          <t>Combined characters</t>
        </is>
      </c>
      <c r="O74" s="36" t="inlineStr">
        <is>
          <t>᷀ ᷁ ᷂ ᷃ ᷄ ᷅ ᷆ ᷇ ᷈ ᷉ ᷊ ᷋ ᷌ ᷍ ᷎ ᷏ ᷐ ᷑ ᷒ ᷓ ᷔ ᷕ ᷖ ᷗ ᷘ ᷙ ᷚ ᷛ ᷜ ᷝ ᷞ ᷟ ᷠ ᷡ ᷢ ᷣ ᷤ ᷥ ᷦ ᷧ ᷨ ᷩ ᷪ ᷫ ᷬ ᷭ ᷮ ᷯ ᷰ ᷱ ᷲ ᷳ ᷴ ᷵ ᷶ ᷷ ᷸ ᷹ ᷺ ᷻ ᷼ ᷽ ᷾ ᷿</t>
        </is>
      </c>
      <c r="P74" s="37" t="inlineStr"/>
      <c r="Q74" s="38" t="inlineStr"/>
      <c r="R74" t="inlineStr"/>
      <c r="V74" s="14">
        <f>(LEN(O74)+1)/2</f>
        <v/>
      </c>
      <c r="W74" s="14">
        <f>ROUNDDOWN((LEN(P74)+1)/2,0)</f>
        <v/>
      </c>
      <c r="X74" s="14">
        <f>ROUNDDOWN((LEN(Q74)+1)/2,0)</f>
        <v/>
      </c>
      <c r="Y74" s="14">
        <f>ROUNDDOWN((LEN(R74)+1)/2,0)</f>
        <v/>
      </c>
      <c r="Z74" s="14">
        <f>ROUNDDOWN((LEN(S74)+1)/2,0)</f>
        <v/>
      </c>
      <c r="AA74" s="56" t="n">
        <v>46150.55823974235</v>
      </c>
    </row>
    <row r="75" ht="120" customHeight="1">
      <c r="A75" s="46" t="inlineStr">
        <is>
          <t>Latin-3B</t>
        </is>
      </c>
      <c r="B75" s="46" t="inlineStr">
        <is>
          <t>U+1E00-U+1EFF</t>
        </is>
      </c>
      <c r="C75" s="15" t="inlineStr">
        <is>
          <t>Latin Extended Additional</t>
        </is>
      </c>
      <c r="D75" s="54">
        <f>HEX2DEC(MID(B75,3,FIND("-",E75)-3))</f>
        <v/>
      </c>
      <c r="E75" s="46" t="inlineStr">
        <is>
          <t>U+1E00-U+1EFF</t>
        </is>
      </c>
      <c r="F75" s="14" t="n">
        <v>3</v>
      </c>
      <c r="G75" s="14" t="n">
        <v>3</v>
      </c>
      <c r="H75" s="14" t="n">
        <v>3</v>
      </c>
      <c r="I75" s="48" t="inlineStr">
        <is>
          <t>y</t>
        </is>
      </c>
      <c r="J75" s="19">
        <f>ROUNDDOWN(W75,0)/$V75</f>
        <v/>
      </c>
      <c r="K75" s="19">
        <f>ROUNDDOWN(X75,0)/$V75</f>
        <v/>
      </c>
      <c r="L75" s="19">
        <f>ROUNDDOWN(Y75,0)/$V75</f>
        <v/>
      </c>
      <c r="M75" s="19">
        <f>ROUNDDOWN(Z75,0)/$V75</f>
        <v/>
      </c>
      <c r="N75" s="35" t="inlineStr">
        <is>
          <t>All diacritic chars</t>
        </is>
      </c>
      <c r="O75" s="36" t="inlineStr">
        <is>
          <t>Ḁ ḁ Ḃ ḃ Ḅ ḅ Ḇ ḇ Ḉ ḉ Ḋ ḋ Ḍ ḍ Ḏ ḏ Ḑ ḑ Ḓ ḓ Ḕ ḕ Ḗ ḗ Ḙ ḙ Ḛ ḛ Ḝ ḝ Ḟ ḟ Ḡ ḡ Ḣ ḣ Ḥ ḥ Ḧ ḧ Ḩ ḩ Ḫ ḫ Ḭ ḭ Ḯ ḯ Ḱ ḱ Ḳ ḳ Ḵ ḵ Ḷ ḷ Ḹ ḹ Ḻ ḻ Ḽ ḽ Ḿ ḿ Ṁ ṁ Ṃ ṃ Ṅ ṅ Ṇ ṇ Ṉ ṉ Ṋ ṋ Ṍ ṍ Ṏ ṏ Ṑ ṑ Ṓ ṓ Ṕ ṕ Ṗ ṗ Ṙ ṙ Ṛ ṛ Ṝ ṝ Ṟ ṟ Ṡ ṡ Ṣ ṣ Ṥ ṥ Ṧ ṧ Ṩ ṩ Ṫ ṫ Ṭ ṭ Ṯ ṯ Ṱ ṱ Ṳ ṳ Ṵ ṵ Ṷ ṷ Ṹ ṹ Ṻ ṻ Ṽ ṽ Ṿ ṿ Ẁ ẁ Ẃ ẃ Ẅ ẅ Ẇ ẇ Ẉ ẉ Ẋ ẋ Ẍ ẍ Ẏ ẏ Ẑ ẑ Ẓ ẓ Ẕ ẕ ẖ ẗ ẘ ẙ ẚ ẛ ẜ ẝ ẞ ẟ Ạ ạ Ả ả Ấ ấ Ầ ầ Ẩ ẩ Ẫ ẫ Ậ ậ Ắ ắ Ằ ằ Ẳ ẳ Ẵ ẵ Ặ ặ Ẹ ẹ Ẻ ẻ Ẽ ẽ Ế ế Ề ề Ể ể Ễ ễ Ệ ệ Ỉ ỉ Ị ị Ọ ọ Ỏ ỏ Ố ố Ồ ồ Ổ ổ Ỗ ỗ Ộ ộ Ớ ớ Ờ ờ Ở ở Ỡ ỡ Ợ ợ Ụ ụ Ủ ủ Ứ ứ Ừ ừ Ử ử Ữ ữ Ự ự Ỳ ỳ Ỵ ỵ Ỷ ỷ Ỹ ỹ Ỻ ỻ Ỽ ỽ Ỿ ỿ</t>
        </is>
      </c>
      <c r="P75" s="37" t="inlineStr">
        <is>
          <t>Ḁ ḁ Ḃ ḃ Ḅ ḅ Ḇ ḇ Ḉ ḉ Ḋ ḋ Ḍ ḍ Ḏ ḏ Ḑ ḑ Ḓ ḓ Ḕ ḕ Ḗ ḗ Ḙ ḙ Ḛ ḛ Ḝ ḝ Ḟ ḟ Ḡ ḡ Ḣ ḣ Ḥ ḥ Ḧ ḧ Ḩ ḩ Ḫ ḫ Ḭ ḭ Ḯ ḯ Ḱ ḱ Ḳ ḳ Ḵ ḵ Ḷ ḷ Ḹ ḹ Ḻ ḻ Ḽ ḽ Ḿ ḿ Ṁ ṁ Ṃ ṃ Ṅ ṅ Ṇ ṇ Ṉ ṉ Ṋ ṋ Ṍ ṍ Ṏ ṏ Ṑ ṑ Ṓ ṓ Ṕ ṕ Ṗ ṗ Ṙ ṙ Ṛ ṛ Ṝ ṝ Ṟ ṟ Ṡ ṡ Ṣ ṣ Ṥ ṥ Ṧ ṧ Ṩ ṩ Ṫ ṫ Ṭ ṭ Ṯ ṯ Ṱ ṱ Ṳ ṳ Ṵ ṵ Ṷ ṷ Ṹ ṹ Ṻ ṻ Ṽ ṽ Ṿ ṿ Ẁ ẁ Ẃ ẃ Ẅ ẅ Ẇ ẇ Ẉ ẉ Ẋ ẋ Ẍ ẍ Ẏ ẏ Ẑ ẑ Ẓ ẓ Ẕ ẕ ẖ ẗ ẘ ẙ ẚ ẛ ẜ ẝ ẞ ẟ Ạ ạ Ả ả Ấ ấ Ầ ầ Ẩ ẩ Ẫ ẫ Ậ ậ Ắ ắ Ằ ằ Ẳ ẳ Ẵ ẵ Ặ ặ Ẹ ẹ Ẻ ẻ Ẽ ẽ Ế ế Ề ề Ể ể Ễ ễ Ệ ệ Ỉ ỉ Ị ị Ọ ọ Ỏ ỏ Ố ố Ồ ồ Ổ ổ Ỗ ỗ Ộ ộ Ớ ớ Ờ ờ Ở ở Ỡ ỡ Ợ ợ Ụ ụ Ủ ủ Ứ ứ Ừ ừ Ử ử Ữ ữ Ự ự Ỳ ỳ Ỵ ỵ Ỷ ỷ Ỹ ỹ Ỻ ỻ Ỽ ỽ Ỿ ỿ</t>
        </is>
      </c>
      <c r="Q75" s="38" t="inlineStr">
        <is>
          <t>ẟ ỻ ỽ</t>
        </is>
      </c>
      <c r="R75" s="39" t="inlineStr">
        <is>
          <t>ẟ ỻ ỽ</t>
        </is>
      </c>
      <c r="S75" s="40" t="n"/>
      <c r="T75" s="41" t="inlineStr">
        <is>
          <t>Ḁ ḁ Ḃ ḃ Ḅ ḅ Ḇ ḇ Ḉ ḉ Ḋ ḋ Ḍ ḍ Ḏ ḏ Ḑ ḑ Ḓ ḓ Ḕ ḕ Ḗ ḗ Ḙ ḙ Ḛ ḛ Ḝ ḝ Ḟ ḟ Ḡ ḡ Ḣ ḣ Ḥ ḥ Ḧ ḧ Ḩ ḩ Ḫ ḫ Ḭ ḭ Ḯ ḯ Ḱ ḱ Ḳ ḳ Ḵ ḵ Ḷ ḷ Ḹ ḹ Ḻ ḻ Ḽ ḽ Ḿ ḿ Ṁ ṁ Ṃ ṃ Ṅ ṅ Ṇ ṇ Ṉ ṉ Ṋ ṋ Ṍ ṍ Ṏ ṏ Ṑ ṑ Ṓ ṓ Ṕ ṕ Ṗ ṗ Ṙ ṙ Ṛ ṛ Ṝ ṝ Ṟ ṟ Ṡ ṡ Ṣ ṣ Ṥ ṥ Ṧ ṧ Ṩ ṩ Ṫ ṫ Ṭ ṭ Ṯ ṯ Ṱ ṱ Ṳ ṳ Ṵ ṵ Ṷ ṷ Ṹ ṹ Ṻ ṻ Ṽ ṽ Ṿ ṿ Ẁ ẁ Ẃ ẃ Ẅ ẅ Ẇ ẇ Ẉ ẉ Ẋ ẋ Ẍ ẍ Ẏ ẏ Ẑ ẑ Ẓ ẓ Ẕ ẕ ẖ ẗ ẘ ẙ ẚ ẛ ẜ ẝ ẞ ẟ Ạ ạ Ả ả Ấ ấ Ầ ầ Ẩ ẩ Ẫ ẫ Ậ ậ Ắ ắ Ằ ằ Ẳ ẳ Ẵ ẵ Ặ ặ Ẹ ẹ Ẻ ẻ Ẽ ẽ Ế ế Ề ề Ể ể Ễ ễ Ệ ệ Ỉ ỉ Ị ị Ọ ọ Ỏ ỏ Ố ố Ồ ồ Ổ ổ Ỗ ỗ Ộ ộ Ớ ớ Ờ ờ Ở ở Ỡ ỡ Ợ ợ Ụ ụ Ủ ủ Ứ ứ Ừ ừ Ử ử Ữ ữ Ự ự Ỳ ỳ Ỵ ỵ Ỷ ỷ Ỹ ỹ Ỻ ỻ Ỽ ỽ Ỿ ỿ</t>
        </is>
      </c>
      <c r="U75" s="42" t="inlineStr">
        <is>
          <t>ẞ ẟ Ẑ ẑ Ấ Ế Ố ấ ế ố Ậ Ệ Ộ ậ ệ ộ Ầ Ề Ồ ầ ề ồ Ẩ Ể Ổ ẩ ể ổ Ẫ Ễ Ỗ ẫ ễ ỗ Ḓ Ḙ Ḽ Ṋ Ṱ Ṷ ḓ ḙ ḽ ṋ ṱ ṷ Ẵ ẵ Ỡ Ữ ỡ ữ Ẽ Ṽ Ỹ ẽ ṽ ỹ Ṍ Ṹ ṍ ṹ Ṏ ṏ Ḛ Ḭ Ṵ ḛ ḭ ṵ Ḧ Ẅ Ẍ ḧ ẗ ẅ ẍ Ḯ ḯ Ṳ ṳ Ṻ ṻ Ḱ Ḿ Ṕ Ẃ ḱ ḿ ṕ ẃ Ṥ ṥ Ắ ắ Ḉ ḉ Ớ Ứ ớ ứ Ḗ Ṓ ḗ ṓ Ḹ Ṝ ḹ ṝ Ḡ ḡ Ḕ Ṑ ḕ ṑ Ṧ ṧ ẜ ẝ Ẳ ẳ Ả Ẻ Ỉ Ỏ Ủ Ỷ ả ẻ ỉ ỏ ủ ỷ Ở Ử ở ử Ằ ằ Ẁ Ỳ ẁ ỳ Ờ Ừ ờ ừ Ặ ặ Ḫ ḫ Ḝ ḝ Ḃ Ḋ Ḟ Ḣ Ṁ Ṅ Ṗ Ṙ Ṡ Ṫ Ẇ Ẋ Ẏ ḃ ḋ ḟ ḣ ṁ ṅ ṗ ṙ ṡ ṫ ẇ ẋ ẏ ẛ Ṩ ṩ Ạ Ḅ Ḍ Ẹ Ḥ Ị Ḳ Ḷ Ṃ Ṇ Ọ Ṛ Ṣ Ṭ Ụ Ṿ Ẉ Ỵ Ẓ ạ ḅ ḍ ẹ ḥ ị ḳ ḷ ṃ ṇ ọ ṛ ṣ ṭ ụ ṿ ẉ ỵ ẓ Ợ Ự ợ ự ẘ ẙ Ḁ ḁ Ḑ Ḩ ḑ ḩ Ḇ Ḏ Ḵ Ḻ Ṉ Ṟ Ṯ Ẕ ḇ ḏ ẖ ḵ ḻ ṉ ṟ ṯ ẕ Ỿ ỿ ẚ Ỻ ỻ Ỽ ỽ</t>
        </is>
      </c>
      <c r="V75" s="14">
        <f>(LEN(O75)+1)/2</f>
        <v/>
      </c>
      <c r="W75" s="14">
        <f>ROUNDDOWN((LEN(P75)+1)/2,0)</f>
        <v/>
      </c>
      <c r="X75" s="14">
        <f>ROUNDDOWN((LEN(Q75)+1)/2,0)</f>
        <v/>
      </c>
      <c r="Y75" s="14">
        <f>ROUNDDOWN((LEN(R75)+1)/2,0)</f>
        <v/>
      </c>
      <c r="Z75" s="14">
        <f>ROUNDDOWN((LEN(S75)+1)/2,0)</f>
        <v/>
      </c>
      <c r="AA75" s="56" t="n">
        <v>46150.55823994265</v>
      </c>
    </row>
    <row r="76" ht="105" customHeight="1">
      <c r="B76" s="46" t="inlineStr">
        <is>
          <t>U+1F00-U+1FFE</t>
        </is>
      </c>
      <c r="C76" s="46" t="inlineStr">
        <is>
          <t>Greek Extended</t>
        </is>
      </c>
      <c r="D76" s="54">
        <f>HEX2DEC(MID(B76,3,FIND("-",E76)-3))</f>
        <v/>
      </c>
      <c r="E76" s="46" t="inlineStr">
        <is>
          <t>U+1F00-U+1FFF</t>
        </is>
      </c>
      <c r="F76" s="14" t="n">
        <v>3</v>
      </c>
      <c r="G76" s="14" t="n">
        <v>3</v>
      </c>
      <c r="H76" s="14" t="n">
        <v>0</v>
      </c>
      <c r="I76" s="48" t="inlineStr">
        <is>
          <t>n</t>
        </is>
      </c>
      <c r="J76" s="19">
        <f>ROUNDDOWN(W76,0)/$V76</f>
        <v/>
      </c>
      <c r="K76" s="19">
        <f>ROUNDDOWN(X76,0)/$V76</f>
        <v/>
      </c>
      <c r="L76" s="19">
        <f>ROUNDDOWN(Y76,0)/$V76</f>
        <v/>
      </c>
      <c r="M76" s="19">
        <f>ROUNDDOWN(Z76,0)/$V76</f>
        <v/>
      </c>
      <c r="N76" s="35" t="inlineStr">
        <is>
          <t>All diacritic chars</t>
        </is>
      </c>
      <c r="O76" s="36" t="inlineStr">
        <is>
          <t>ἀ ἁ ἂ ἃ ἄ ἅ ἆ ἇ Ἀ Ἁ Ἂ Ἃ Ἄ Ἅ Ἆ Ἇ ἐ ἑ ἒ ἓ ἔ ἕ Ἐ Ἑ Ἒ Ἓ Ἔ Ἕ ἠ ἡ ἢ ἣ ἤ ἥ ἦ ἧ Ἠ Ἡ Ἢ Ἣ Ἤ Ἥ Ἦ Ἧ ἰ ἱ ἲ ἳ ἴ ἵ ἶ ἷ Ἰ Ἱ Ἲ Ἳ Ἴ Ἵ Ἶ Ἷ ὀ ὁ ὂ ὃ ὄ ὅ Ὀ Ὁ Ὂ Ὃ Ὄ Ὅ ὐ ὑ ὒ ὓ ὔ ὕ ὖ ὗ Ὑ Ὓ Ὕ Ὗ ὠ ὡ ὢ ὣ ὤ ὥ ὦ ὧ Ὠ Ὡ Ὢ Ὣ Ὤ Ὥ Ὦ Ὧ ὰ ά ὲ έ ὴ ή ὶ ί ὸ ό ὺ ύ ὼ ώ ᾀ ᾁ ᾂ ᾃ ᾄ ᾅ ᾆ ᾇ ᾈ ᾉ ᾊ ᾋ ᾌ ᾍ ᾎ ᾏ ᾐ ᾑ ᾒ ᾓ ᾔ ᾕ ᾖ ᾗ ᾘ ᾙ ᾚ ᾛ ᾜ ᾝ ᾞ ᾟ ᾠ ᾡ ᾢ ᾣ ᾤ ᾥ ᾦ ᾧ ᾨ ᾩ ᾪ ᾫ ᾬ ᾭ ᾮ ᾯ ᾰ ᾱ ᾲ ᾳ ᾴ ᾶ ᾷ Ᾰ Ᾱ Ὰ Ά ᾼ ᾽ ι ᾿ ῀ ῁ ῂ ῃ ῄ ῆ ῇ Ὲ Έ Ὴ Ή ῌ ῍ ῎ ῏ ῐ ῑ ῒ ΐ ῖ ῗ Ῐ Ῑ Ὶ Ί ῝ ῞ ῟ ῠ ῡ ῢ ΰ ῤ ῥ ῦ ῧ Ῠ Ῡ Ὺ Ύ Ῥ ῭ ΅ ` ῲ ῳ ῴ ῶ ῷ Ὸ Ό Ὼ Ώ ῼ ´ ῾</t>
        </is>
      </c>
      <c r="P76" s="37" t="inlineStr">
        <is>
          <t>ἀ ἁ ἂ ἃ ἄ ἅ ἆ ἇ Ἀ Ἁ Ἂ Ἃ Ἄ Ἅ Ἆ Ἇ ἐ ἑ ἒ ἓ ἔ ἕ Ἐ Ἑ Ἒ Ἓ Ἔ Ἕ ἠ ἡ ἢ ἣ ἤ ἥ ἦ ἧ Ἠ Ἡ Ἢ Ἣ Ἤ Ἥ Ἦ Ἧ ἰ ἱ ἲ ἳ ἴ ἵ ἶ ἷ Ἰ Ἱ Ἲ Ἳ Ἴ Ἵ Ἶ Ἷ ὀ ὁ ὂ ὃ ὄ ὅ Ὀ Ὁ Ὂ Ὃ Ὄ Ὅ ὐ ὑ ὒ ὓ ὔ ὕ ὖ ὗ Ὑ Ὓ Ὕ Ὗ ὠ ὡ ὢ ὣ ὤ ὥ ὦ ὧ Ὠ Ὡ Ὢ Ὣ Ὤ Ὥ Ὦ Ὧ ὰ ά ὲ έ ὴ ή ὶ ί ὸ ό ὺ ύ ὼ ώ ᾀ ᾁ ᾂ ᾃ ᾄ ᾅ ᾆ ᾇ ᾈ ᾉ ᾊ ᾋ ᾌ ᾍ ᾎ ᾏ ᾐ ᾑ ᾒ ᾓ ᾔ ᾕ ᾖ ᾗ ᾘ ᾙ ᾚ ᾛ ᾜ ᾝ ᾞ ᾟ ᾠ ᾡ ᾢ ᾣ ᾤ ᾥ ᾦ ᾧ ᾨ ᾩ ᾪ ᾫ ᾬ ᾭ ᾮ ᾯ ᾰ ᾱ ᾲ ᾳ ᾴ ᾶ ᾷ Ᾰ Ᾱ Ὰ Ά ᾼ ᾽ ι ᾿ ῀ ῁ ῂ ῃ ῄ ῆ ῇ Ὲ Έ Ὴ Ή ῌ ῍ ῎ ῏ ῐ ῑ ῒ ΐ ῖ ῗ Ῐ Ῑ Ὶ Ί ῝ ῞ ῟ ῠ ῡ ῢ ΰ ῤ ῥ ῦ ῧ Ῠ Ῡ Ὺ Ύ Ῥ ῭ ῲ ῳ ῴ ῶ ῷ Ὸ Ό Ὼ Ώ ῼ ῾</t>
        </is>
      </c>
      <c r="Q76" s="38" t="inlineStr">
        <is>
          <t>ι</t>
        </is>
      </c>
      <c r="R76" s="43" t="inlineStr"/>
      <c r="S76" s="40" t="n"/>
      <c r="T76" s="41" t="inlineStr">
        <is>
          <t>ἀ ἁ ἂ ἃ ἄ ἅ ἆ ἇ Ἀ Ἁ Ἂ Ἃ Ἄ Ἅ Ἆ Ἇ ἐ ἑ ἒ ἓ ἔ ἕ Ἐ Ἑ Ἒ Ἓ Ἔ Ἕ ἠ ἡ ἢ ἣ ἤ ἥ ἦ ἧ Ἠ Ἡ Ἢ Ἣ Ἤ Ἥ Ἦ Ἧ ἰ ἱ ἲ ἳ ἴ ἵ ἶ ἷ Ἰ Ἱ Ἲ Ἳ Ἴ Ἵ Ἶ Ἷ ὀ ὁ ὂ ὃ ὄ ὅ Ὀ Ὁ Ὂ Ὃ Ὄ Ὅ ὐ ὑ ὒ ὓ ὔ ὕ ὖ ὗ Ὑ Ὓ Ὕ Ὗ ὠ ὡ ὢ ὣ ὤ ὥ ὦ ὧ Ὠ Ὡ Ὢ Ὣ Ὤ Ὥ Ὦ Ὧ ὰ ά ὲ έ ὴ ή ὶ ί ὸ ό ὺ ύ ὼ ώ ᾀ ᾁ ᾂ ᾃ ᾄ ᾅ ᾆ ᾇ ᾈ ᾉ ᾊ ᾋ ᾌ ᾍ ᾎ ᾏ ᾐ ᾑ ᾒ ᾓ ᾔ ᾕ ᾖ ᾗ ᾘ ᾙ ᾚ ᾛ ᾜ ᾝ ᾞ ᾟ ᾠ ᾡ ᾢ ᾣ ᾤ ᾥ ᾦ ᾧ ᾨ ᾩ ᾪ ᾫ ᾬ ᾭ ᾮ ᾯ ᾰ ᾱ ᾲ ᾳ ᾴ ᾶ ᾷ Ᾰ Ᾱ Ὰ Ά ᾼ ι ῂ ῃ ῄ ῆ ῇ Ὲ Έ Ὴ Ή ῌ ῐ ῑ ῒ ΐ ῖ ῗ Ῐ Ῑ Ὶ Ί ῠ ῡ ῢ ΰ ῤ ῥ ῦ ῧ Ῠ Ῡ Ὺ Ύ Ῥ ῲ ῳ ῴ ῶ ῷ Ὸ Ό Ὼ Ώ ῼ</t>
        </is>
      </c>
      <c r="U76" s="42" t="inlineStr">
        <is>
          <t>Ᾱ Ῑ Ῡ Ἁ Ἑ Ἡ Ἱ Ὁ Ὑ Ὡ Ῥ Ἅ Ἕ Ἥ Ἵ Ὅ Ὕ Ὥ Ἇ Ἧ Ἷ Ὗ Ὧ Ἃ Ἓ Ἣ Ἳ Ὃ Ὓ Ὣ Ά Έ Ή Ί Ύ Ό Ώ Ἀ Ἐ Ἠ Ἰ Ὀ Ὠ Ἄ Ἔ Ἤ Ἴ Ὄ Ὤ Ἆ Ἦ Ἶ Ὦ Ἂ Ἒ Ἢ Ἲ Ὂ Ὢ Ὰ Ὲ Ὴ Ὶ Ὺ Ὸ Ὼ Ᾰ Ῐ Ῠ ᾱ ῑ ῡ ΐ ΰ ῗ ῧ ῒ ῢ ἁ ἑ ἡ ἱ ὁ ὑ ὡ ῥ ἅ ἕ ἥ ἵ ὅ ὕ ὥ ᾅ ᾕ ᾥ ἇ ἧ ἷ ὗ ὧ ᾇ ᾗ ᾧ ἃ ἓ ἣ ἳ ὃ ὓ ὣ ᾃ ᾓ ᾣ ᾁ ᾑ ᾡ ά έ ή ί ό ύ ώ ᾴ ῄ ῴ ᾶ ῆ ῖ ῦ ῶ ᾷ ῇ ῷ ἀ ἐ ἠ ἰ ὀ ὐ ὠ ῤ ἄ ἔ ἤ ἴ ὄ ὔ ὤ ᾄ ᾔ ᾤ ἆ ἦ ἶ ὖ ὦ ᾆ ᾖ ᾦ ἂ ἒ ἢ ἲ ὂ ὒ ὢ ᾂ ᾒ ᾢ ᾀ ᾐ ᾠ ὰ ὲ ὴ ὶ ὸ ὺ ὼ ᾲ ῂ ῲ ᾰ ῐ ῠ ᾳ ῃ ῳ ι ᾈ ᾉ ᾊ ᾋ ᾌ ᾍ ᾎ ᾏ ᾘ ᾙ ᾚ ᾛ ᾜ ᾝ ᾞ ᾟ ᾨ ᾩ ᾪ ᾫ ᾬ ᾭ ᾮ ᾯ ᾼ ῌ ῼ</t>
        </is>
      </c>
      <c r="V76" s="14">
        <f>(LEN(O76)+1)/2</f>
        <v/>
      </c>
      <c r="W76" s="14">
        <f>ROUNDDOWN((LEN(P76)+1)/2,0)</f>
        <v/>
      </c>
      <c r="X76" s="14">
        <f>ROUNDDOWN((LEN(Q76)+1)/2,0)</f>
        <v/>
      </c>
      <c r="Y76" s="14">
        <f>ROUNDDOWN((LEN(R76)+1)/2,0)</f>
        <v/>
      </c>
      <c r="Z76" s="14">
        <f>ROUNDDOWN((LEN(S76)+1)/2,0)</f>
        <v/>
      </c>
      <c r="AA76" s="56" t="n">
        <v>46150.55824013027</v>
      </c>
    </row>
    <row r="77" ht="45" customHeight="1">
      <c r="A77" s="46" t="inlineStr">
        <is>
          <t>Punct</t>
        </is>
      </c>
      <c r="B77" s="46" t="inlineStr">
        <is>
          <t>U+2000-U+205F</t>
        </is>
      </c>
      <c r="C77" s="46" t="inlineStr">
        <is>
          <t>General Punctuation</t>
        </is>
      </c>
      <c r="D77" s="54">
        <f>HEX2DEC(MID(B77,3,FIND("-",E77)-3))</f>
        <v/>
      </c>
      <c r="E77" s="46" t="inlineStr">
        <is>
          <t>U+2000-U+206F</t>
        </is>
      </c>
      <c r="F77" s="14" t="n">
        <v>3</v>
      </c>
      <c r="G77" s="14" t="n">
        <v>3</v>
      </c>
      <c r="H77" s="14" t="n">
        <v>3</v>
      </c>
      <c r="I77" s="48" t="inlineStr">
        <is>
          <t>y</t>
        </is>
      </c>
      <c r="J77" s="19">
        <f>ROUNDDOWN(W77,0)/$V77</f>
        <v/>
      </c>
      <c r="K77" s="19">
        <f>ROUNDDOWN(X77,0)/$V77</f>
        <v/>
      </c>
      <c r="L77" s="19">
        <f>ROUNDDOWN(Y77,0)/$V77</f>
        <v/>
      </c>
      <c r="M77" s="19">
        <f>ROUNDDOWN(Z77,0)/$V77</f>
        <v/>
      </c>
      <c r="N77" s="35" t="inlineStr">
        <is>
          <t>Adds confusion to ASCII. Double-height.</t>
        </is>
      </c>
      <c r="O77" s="36" t="inlineStr">
        <is>
          <t xml:space="preserve">                      ‐ ‑ ‒ – — ― ‖ ‗ ‘ ’ ‚ ‛ “ ” „ ‟ † ‡ • ‣ ․ ‥ … ‧   ‰ ‱ ′ ″ ‴ ‵ ‶ ‷ ‸ ‹ › ※ ‼ ‽ ‾ ‿ ⁀ ⁁ ⁂ ⁃ ⁄ ⁅ ⁆ ⁇ ⁈ ⁉ ⁊ ⁋ ⁌ ⁍ ⁎ ⁏ ⁐ ⁑ ⁒ ⁓ ⁔ ⁕ ⁖ ⁗ ⁘ ⁙ ⁚ ⁛ ⁜ ⁝ ⁞  </t>
        </is>
      </c>
      <c r="P77" s="37" t="inlineStr">
        <is>
          <t>‐ ‑ ‒ – — ― ‖ ‗ ‘ ’ ‚ ‛ “ ” „ ‟ † ‡ • ‣ ․ ‥ … ‧ ‰ ‱ ′ ″ ‴ ‵ ‶ ‷ ‸ ‹ › ※ ‼ ‽ ‾ ‿ ⁀ ⁁ ⁂ ⁃ ⁄ ⁅ ⁆ ⁇ ⁈ ⁉ ⁊ ⁋ ⁌ ⁍ ⁎ ⁏ ⁐ ⁑ ⁒ ⁓ ⁔ ⁕ ⁖ ⁗ ⁘ ⁙ ⁚ ⁛ ⁜ ⁝ ⁞</t>
        </is>
      </c>
      <c r="Q77" s="38" t="inlineStr">
        <is>
          <t>‐ ‑ ‘ ‚ ‛ “ „ ‟ † • ‣ ‧ ‰ ‱ ′ ‵ ‸ ‹ ※ ‽ ‿ ⁀ ⁁ ⁂ ⁃ ⁊ ⁋ ⁌ ⁍ ⁎ ⁏ ⁐ ⁑ ⁓ ⁔ ⁕ ⁖ ⁘ ⁙ ⁚ ⁛ ⁜ ⁝ ⁞</t>
        </is>
      </c>
      <c r="R77" s="39" t="inlineStr">
        <is>
          <t>‚ † • ‣ ‰ ‱ ‹ ※ ‽ ⁁ ⁃ ⁊ ⁋ ⁌ ⁍ ⁎ ⁑ ⁕ ⁜</t>
        </is>
      </c>
      <c r="S77" s="40" t="n"/>
      <c r="V77" s="14">
        <f>(LEN(O77)+1)/2</f>
        <v/>
      </c>
      <c r="W77" s="14">
        <f>ROUNDDOWN((LEN(P77)+1)/2,0)</f>
        <v/>
      </c>
      <c r="X77" s="14">
        <f>ROUNDDOWN((LEN(Q77)+1)/2,0)</f>
        <v/>
      </c>
      <c r="Y77" s="14">
        <f>ROUNDDOWN((LEN(R77)+1)/2,0)</f>
        <v/>
      </c>
      <c r="Z77" s="14">
        <f>ROUNDDOWN((LEN(S77)+1)/2,0)</f>
        <v/>
      </c>
      <c r="AA77" s="56" t="n">
        <v>46150.55824083549</v>
      </c>
    </row>
    <row r="78" ht="30" customHeight="1">
      <c r="B78" s="46" t="inlineStr">
        <is>
          <t>U+2070-U+209C</t>
        </is>
      </c>
      <c r="C78" s="46" t="inlineStr">
        <is>
          <t>Superscripts and Subscripts</t>
        </is>
      </c>
      <c r="D78" s="54">
        <f>HEX2DEC(MID(B78,3,FIND("-",E78)-3))</f>
        <v/>
      </c>
      <c r="E78" s="46" t="inlineStr">
        <is>
          <t>U+2070-U+209F</t>
        </is>
      </c>
      <c r="F78" s="14" t="n">
        <v>3</v>
      </c>
      <c r="G78" s="14" t="n">
        <v>3</v>
      </c>
      <c r="H78" s="14" t="n">
        <v>0</v>
      </c>
      <c r="I78" s="48" t="inlineStr">
        <is>
          <t>n</t>
        </is>
      </c>
      <c r="J78" s="19">
        <f>ROUNDDOWN(W78,0)/$V78</f>
        <v/>
      </c>
      <c r="K78" s="19">
        <f>ROUNDDOWN(X78,0)/$V78</f>
        <v/>
      </c>
      <c r="L78" s="19">
        <f>ROUNDDOWN(Y78,0)/$V78</f>
        <v/>
      </c>
      <c r="M78" s="19">
        <f>ROUNDDOWN(Z78,0)/$V78</f>
        <v/>
      </c>
      <c r="O78" s="36" t="inlineStr">
        <is>
          <t>⁰ ⁱ ⁴ ⁵ ⁶ ⁷ ⁸ ⁹ ⁺ ⁻ ⁼ ⁽ ⁾ ⁿ ₀ ₁ ₂ ₃ ₄ ₅ ₆ ₇ ₈ ₉ ₊ ₋ ₌ ₍ ₎ ₐ ₑ ₒ ₓ ₔ ₕ ₖ ₗ ₘ ₙ ₚ ₛ ₜ</t>
        </is>
      </c>
      <c r="P78" s="37" t="inlineStr">
        <is>
          <t>⁰ ⁱ ⁴ ⁵ ⁶ ⁷ ⁸ ⁹ ⁺ ⁻ ⁼ ⁽ ⁾ ⁿ ₀ ₁ ₂ ₃ ₄ ₅ ₆ ₇ ₈ ₉ ₊ ₋ ₌ ₍ ₎ ₐ ₑ ₒ ₓ ₔ ₕ ₖ ₗ ₘ ₙ ₚ ₛ ₜ</t>
        </is>
      </c>
      <c r="Q78" s="38" t="inlineStr">
        <is>
          <t>ₔ</t>
        </is>
      </c>
      <c r="R78" s="43" t="inlineStr">
        <is>
          <t>ₔ</t>
        </is>
      </c>
      <c r="S78" s="40" t="n"/>
      <c r="T78" s="26" t="inlineStr">
        <is>
          <t>⁰ ⁱ ⁴ ⁵ ⁶ ⁷ ⁸ ⁹ ⁺ ⁻ ⁼ ⁽ ⁾ ⁿ ₀ ₁ ₂ ₃ ₄ ₅ ₆ ₇ ₈ ₉ ₊ ₋ ₌ ₍ ₎ ₐ ₑ ₒ ₓ ₔ ₕ ₖ ₗ ₘ ₙ ₚ ₛ ₜ</t>
        </is>
      </c>
      <c r="U78" s="42" t="inlineStr">
        <is>
          <t>₀ ₁ ₂ ₃ ₄ ₅ ₆ ₇ ₈ ₉ ⁰ ⁴ ⁵ ⁶ ⁷ ⁸ ⁹ ₐ ₑ ₒ ₓ ₔ ₕ ₖ ₗ ₘ ₙ ₚ ₛ ₜ ⁱ ⁺ ⁻ ⁼ ⁽ ⁾ ⁿ ₊ ₋ ₌ ₍ ₎</t>
        </is>
      </c>
      <c r="V78" s="14">
        <f>(LEN(O78)+1)/2</f>
        <v/>
      </c>
      <c r="W78" s="14">
        <f>ROUNDDOWN((LEN(P78)+1)/2,0)</f>
        <v/>
      </c>
      <c r="X78" s="14">
        <f>ROUNDDOWN((LEN(Q78)+1)/2,0)</f>
        <v/>
      </c>
      <c r="Y78" s="14">
        <f>ROUNDDOWN((LEN(R78)+1)/2,0)</f>
        <v/>
      </c>
      <c r="Z78" s="14">
        <f>ROUNDDOWN((LEN(S78)+1)/2,0)</f>
        <v/>
      </c>
      <c r="AA78" s="56" t="n">
        <v>46150.55824100353</v>
      </c>
    </row>
    <row r="79" ht="30" customHeight="1">
      <c r="A79" s="46" t="inlineStr">
        <is>
          <t>Symbols</t>
        </is>
      </c>
      <c r="B79" s="46" t="inlineStr">
        <is>
          <t>U+20A0-U+20C0</t>
        </is>
      </c>
      <c r="C79" s="15" t="inlineStr">
        <is>
          <t>Currency Symbols</t>
        </is>
      </c>
      <c r="D79" s="54">
        <f>HEX2DEC(MID(B79,3,FIND("-",E79)-3))</f>
        <v/>
      </c>
      <c r="E79" s="46" t="inlineStr">
        <is>
          <t>U+20A0-U+20CF</t>
        </is>
      </c>
      <c r="F79" s="14" t="n">
        <v>3</v>
      </c>
      <c r="G79" s="14" t="n">
        <v>3</v>
      </c>
      <c r="H79" s="14" t="n">
        <v>4</v>
      </c>
      <c r="I79" s="48" t="inlineStr">
        <is>
          <t>y</t>
        </is>
      </c>
      <c r="J79" s="19">
        <f>ROUNDDOWN(W79,0)/$V79</f>
        <v/>
      </c>
      <c r="K79" s="19">
        <f>ROUNDDOWN(X79,0)/$V79</f>
        <v/>
      </c>
      <c r="L79" s="19">
        <f>ROUNDDOWN(Y79,0)/$V79</f>
        <v/>
      </c>
      <c r="M79" s="19">
        <f>ROUNDDOWN(Z79,0)/$V79</f>
        <v/>
      </c>
      <c r="O79" s="36" t="inlineStr">
        <is>
          <t>₠ ₡ ₢ ₣ ₤ ₥ ₦ ₧ ₨ ₩ ₪ ₫ € ₭ ₮ ₯ ₰ ₱ ₲ ₳ ₴ ₵ ₶ ₷ ₸ ₹ ₺ ₻ ₼ ₽ ₾ ₿ ⃀</t>
        </is>
      </c>
      <c r="P79" s="37" t="inlineStr">
        <is>
          <t>₠ ₡ ₢ ₣ ₤ ₥ ₦ ₧ ₨ ₩ ₪ ₫ € ₭ ₮ ₯ ₰ ₱ ₲ ₳ ₴ ₵ ₶ ₷ ₸ ₹ ₺ ₻ ₼ ₽ ₾ ₿ ⃀</t>
        </is>
      </c>
      <c r="Q79" s="38" t="inlineStr">
        <is>
          <t>₠ ₡ ₢ ₣ ₤ ₥ ₦ ₧ ₩ ₪ ₫ € ₭ ₮ ₯ ₰ ₱ ₲ ₳ ₴ ₵ ₶ ₷ ₸ ₹ ₺ ₻ ₼ ₽ ₾ ₿ ⃀</t>
        </is>
      </c>
      <c r="R79" s="39" t="inlineStr">
        <is>
          <t>₠ ₡ ₢ ₣ ₤ ₥ ₦ ₧ ₩ ₪ ₫ € ₭ ₮ ₯ ₰ ₱ ₲ ₳ ₴ ₵ ₶ ₸ ₹ ₺ ₻ ₼ ₽ ₾ ₿ ⃀</t>
        </is>
      </c>
      <c r="S79" s="40" t="n"/>
      <c r="T79" s="41" t="inlineStr">
        <is>
          <t>₠ ₡ ₢ ₣ ₤ ₥ ₦ ₧ ₨ ₩ ₪ ₫ € ₭ ₮ ₯ ₰ ₱ ₲ ₳ ₴ ₵ ₶ ₷ ₸ ₹ ₺ ₻ ₼ ₽ ₾ ₿ ⃀</t>
        </is>
      </c>
      <c r="U79" s="42" t="inlineStr">
        <is>
          <t>₠ ₡ ₢ ₣ ₤ ₥ ₦ ₧ ₨ ₩ ₪ ₫ € ₭ ₮ ₯ ₰ ₱ ₲ ₳ ₴ ₵ ₶ ₷ ₸ ₹ ₺ ₻ ₼ ₽ ₾ ₿ ⃀</t>
        </is>
      </c>
      <c r="V79" s="14">
        <f>(LEN(O79)+1)/2</f>
        <v/>
      </c>
      <c r="W79" s="14">
        <f>ROUNDDOWN((LEN(P79)+1)/2,0)</f>
        <v/>
      </c>
      <c r="X79" s="14">
        <f>ROUNDDOWN((LEN(Q79)+1)/2,0)</f>
        <v/>
      </c>
      <c r="Y79" s="14">
        <f>ROUNDDOWN((LEN(R79)+1)/2,0)</f>
        <v/>
      </c>
      <c r="Z79" s="14">
        <f>ROUNDDOWN((LEN(S79)+1)/2,0)</f>
        <v/>
      </c>
      <c r="AA79" s="56" t="n">
        <v>46150.55824161229</v>
      </c>
    </row>
    <row r="80" ht="38.25" customHeight="1">
      <c r="A80" s="46" t="inlineStr">
        <is>
          <t>Diacritics</t>
        </is>
      </c>
      <c r="B80" s="46" t="inlineStr">
        <is>
          <t>U+20D0-U+20F0</t>
        </is>
      </c>
      <c r="C80" s="46" t="inlineStr">
        <is>
          <t>Combining Diacritical Marks for Symbols</t>
        </is>
      </c>
      <c r="D80" s="54">
        <f>HEX2DEC(MID(B80,3,FIND("-",E80)-3))</f>
        <v/>
      </c>
      <c r="E80" s="46" t="inlineStr">
        <is>
          <t>U+20D0-U+20FF</t>
        </is>
      </c>
      <c r="F80" s="14" t="n">
        <v>3</v>
      </c>
      <c r="G80" s="14" t="n">
        <v>0</v>
      </c>
      <c r="H80" s="14" t="n">
        <v>0</v>
      </c>
      <c r="I80" s="48" t="inlineStr">
        <is>
          <t>N</t>
        </is>
      </c>
      <c r="J80" s="19">
        <f>ROUNDDOWN(W80,0)/$V80</f>
        <v/>
      </c>
      <c r="K80" s="19">
        <f>ROUNDDOWN(X80,0)/$V80</f>
        <v/>
      </c>
      <c r="L80" s="19">
        <f>ROUNDDOWN(Y80,0)/$V80</f>
        <v/>
      </c>
      <c r="M80" s="19">
        <f>ROUNDDOWN(Z80,0)/$V80</f>
        <v/>
      </c>
      <c r="N80" s="35" t="inlineStr">
        <is>
          <t>Combined characters</t>
        </is>
      </c>
      <c r="O80" s="36" t="inlineStr">
        <is>
          <t>⃐ ⃑ ⃒ ⃓ ⃔ ⃕ ⃖ ⃗ ⃘ ⃙ ⃚ ⃛ ⃜ ⃝ ⃞ ⃟ ⃠ ⃡ ⃢ ⃣ ⃤ ⃥ ⃦ ⃧ ⃨ ⃩ ⃪ ⃫ ⃬ ⃭ ⃮ ⃯ ⃰</t>
        </is>
      </c>
      <c r="P80" s="37" t="inlineStr"/>
      <c r="Q80" s="38" t="inlineStr"/>
      <c r="R80" t="inlineStr"/>
      <c r="V80" s="14">
        <f>(LEN(O80)+1)/2</f>
        <v/>
      </c>
      <c r="W80" s="14">
        <f>ROUNDDOWN((LEN(P80)+1)/2,0)</f>
        <v/>
      </c>
      <c r="X80" s="14">
        <f>ROUNDDOWN((LEN(Q80)+1)/2,0)</f>
        <v/>
      </c>
      <c r="Y80" s="14">
        <f>ROUNDDOWN((LEN(R80)+1)/2,0)</f>
        <v/>
      </c>
      <c r="Z80" s="14">
        <f>ROUNDDOWN((LEN(S80)+1)/2,0)</f>
        <v/>
      </c>
      <c r="AA80" s="56" t="n">
        <v>46150.55824161311</v>
      </c>
    </row>
    <row r="81" ht="45" customHeight="1">
      <c r="A81" s="46" t="inlineStr">
        <is>
          <t>Symbols</t>
        </is>
      </c>
      <c r="B81" s="46" t="inlineStr">
        <is>
          <t>U+2100-U+214F</t>
        </is>
      </c>
      <c r="C81" s="15" t="inlineStr">
        <is>
          <t>Letterlike Symbols</t>
        </is>
      </c>
      <c r="D81" s="54">
        <f>HEX2DEC(MID(B81,3,FIND("-",E81)-3))</f>
        <v/>
      </c>
      <c r="E81" s="46" t="inlineStr">
        <is>
          <t>U+2100-U+214F</t>
        </is>
      </c>
      <c r="F81" s="14" t="n">
        <v>3</v>
      </c>
      <c r="G81" s="14" t="n">
        <v>3</v>
      </c>
      <c r="H81" s="14" t="n">
        <v>3</v>
      </c>
      <c r="I81" s="48" t="inlineStr">
        <is>
          <t>y</t>
        </is>
      </c>
      <c r="J81" s="19">
        <f>ROUNDDOWN(W81,0)/$V81</f>
        <v/>
      </c>
      <c r="K81" s="19">
        <f>ROUNDDOWN(X81,0)/$V81</f>
        <v/>
      </c>
      <c r="L81" s="19">
        <f>ROUNDDOWN(Y81,0)/$V81</f>
        <v/>
      </c>
      <c r="M81" s="19">
        <f>ROUNDDOWN(Z81,0)/$V81</f>
        <v/>
      </c>
      <c r="N81" s="35" t="inlineStr">
        <is>
          <t>Double-height</t>
        </is>
      </c>
      <c r="O81" s="36" t="inlineStr">
        <is>
          <t>℀ ℁ ℂ ℃ ℄ ℅ ℆ ℇ ℈ ℉ ℊ ℋ ℌ ℍ ℎ ℏ ℐ ℑ ℒ ℓ ℔ ℕ № ℗ ℘ ℙ ℚ ℛ ℜ ℝ ℞ ℟ ℠ ℡ ™ ℣ ℤ ℥ Ω ℧ ℨ ℩ K Å ℬ ℭ ℮ ℯ ℰ ℱ Ⅎ ℳ ℴ ℵ ℶ ℷ ℸ ℹ ℺ ℻ ℼ ℽ ℾ ℿ ⅀ ⅁ ⅂ ⅃ ⅄ ⅅ ⅆ ⅇ ⅈ ⅉ ⅊ ⅋ ⅌ ⅍ ⅎ ⅏</t>
        </is>
      </c>
      <c r="P81" s="37" t="inlineStr">
        <is>
          <t>℀ ℁ ℂ ℃ ℄ ℅ ℆ ℇ ℈ ℉ ℊ ℋ ℌ ℍ ℎ ℏ ℐ ℑ ℒ ℓ ℔ ℕ № ℗ ℘ ℙ ℚ ℛ ℜ ℝ ℞ ℟ ℠ ℡ ™ ℣ ℤ ℥ Ω ℧ ℨ ℩ K Å ℬ ℭ ℮ ℯ ℰ ℱ Ⅎ ℳ ℴ ℵ ℶ ℷ ℸ ℹ ℺ ℻ ℼ ℽ ℾ ℿ ⅀ ⅁ ⅂ ⅃ ⅄ ⅅ ⅆ ⅇ ⅈ ⅉ ⅊ ⅋ ⅌ ⅍ ⅎ ⅏</t>
        </is>
      </c>
      <c r="Q81" s="38" t="inlineStr">
        <is>
          <t>℄ ℇ ℈ ℏ ℔ ℗ ℞ ℟ ℣ ℥ ℧ ℩ ℮ ℵ ℶ ℷ ℸ ℺ ℼ ℽ ℾ ℿ ⅊ ⅌ ⅍ ⅎ ⅏</t>
        </is>
      </c>
      <c r="R81" s="39" t="inlineStr">
        <is>
          <t>℄ ℇ ℈ ℏ ℔ ℗ ℞ ℥ ℧ ℩ ℵ ℶ ℷ ℸ ℺ ℼ ℾ ℿ ⅊ ⅍ ⅎ</t>
        </is>
      </c>
      <c r="S81" s="40" t="n"/>
      <c r="V81" s="14">
        <f>(LEN(O81)+1)/2</f>
        <v/>
      </c>
      <c r="W81" s="14">
        <f>ROUNDDOWN((LEN(P81)+1)/2,0)</f>
        <v/>
      </c>
      <c r="X81" s="14">
        <f>ROUNDDOWN((LEN(Q81)+1)/2,0)</f>
        <v/>
      </c>
      <c r="Y81" s="14">
        <f>ROUNDDOWN((LEN(R81)+1)/2,0)</f>
        <v/>
      </c>
      <c r="Z81" s="14">
        <f>ROUNDDOWN((LEN(S81)+1)/2,0)</f>
        <v/>
      </c>
      <c r="AA81" s="56" t="n">
        <v>46150.5582420585</v>
      </c>
    </row>
    <row r="82" ht="45" customHeight="1">
      <c r="A82" s="46" t="inlineStr">
        <is>
          <t>Numbers</t>
        </is>
      </c>
      <c r="B82" s="46" t="inlineStr">
        <is>
          <t>U+2150-U+218B</t>
        </is>
      </c>
      <c r="C82" s="15" t="inlineStr">
        <is>
          <t>Number Forms</t>
        </is>
      </c>
      <c r="D82" s="54">
        <f>HEX2DEC(MID(B82,3,FIND("-",E82)-3))</f>
        <v/>
      </c>
      <c r="E82" s="46" t="inlineStr">
        <is>
          <t>U+2150-U+218F</t>
        </is>
      </c>
      <c r="F82" s="14" t="n">
        <v>3</v>
      </c>
      <c r="G82" s="14" t="n">
        <v>3</v>
      </c>
      <c r="H82" s="14" t="n">
        <v>3</v>
      </c>
      <c r="I82" s="48" t="inlineStr">
        <is>
          <t>y</t>
        </is>
      </c>
      <c r="J82" s="19">
        <f>ROUNDDOWN(W82,0)/$V82</f>
        <v/>
      </c>
      <c r="K82" s="19">
        <f>ROUNDDOWN(X82,0)/$V82</f>
        <v/>
      </c>
      <c r="L82" s="19">
        <f>ROUNDDOWN(Y82,0)/$V82</f>
        <v/>
      </c>
      <c r="M82" s="19">
        <f>ROUNDDOWN(Z82,0)/$V82</f>
        <v/>
      </c>
      <c r="O82" s="36" t="inlineStr">
        <is>
          <t>⅐ ⅑ ⅒ ⅓ ⅔ ⅕ ⅖ ⅗ ⅘ ⅙ ⅚ ⅛ ⅜ ⅝ ⅞ ⅟ Ⅰ Ⅱ Ⅲ Ⅳ Ⅴ Ⅵ Ⅶ Ⅷ Ⅸ Ⅹ Ⅺ Ⅻ Ⅼ Ⅽ Ⅾ Ⅿ ⅰ ⅱ ⅲ ⅳ ⅴ ⅵ ⅶ ⅷ ⅸ ⅹ ⅺ ⅻ ⅼ ⅽ ⅾ ⅿ ↀ ↁ ↂ Ↄ ↄ ↅ ↆ ↇ ↈ ↉ ↊ ↋</t>
        </is>
      </c>
      <c r="P82" s="37" t="inlineStr">
        <is>
          <t>⅐ ⅑ ⅒ ⅓ ⅔ ⅕ ⅖ ⅗ ⅘ ⅙ ⅚ ⅛ ⅜ ⅝ ⅞ ⅟ Ⅰ Ⅱ Ⅲ Ⅳ Ⅴ Ⅵ Ⅶ Ⅷ Ⅸ Ⅹ Ⅺ Ⅻ Ⅼ Ⅽ Ⅾ Ⅿ ⅰ ⅱ ⅲ ⅳ ⅴ ⅵ ⅶ ⅷ ⅸ ⅹ ⅺ ⅻ ⅼ ⅽ ⅾ ⅿ ↀ ↁ ↂ Ↄ ↄ ↅ ↆ ↇ ↈ ↉ ↊ ↋</t>
        </is>
      </c>
      <c r="Q82" s="38" t="inlineStr">
        <is>
          <t>ↀ ↁ ↂ ↄ ↅ ↆ ↇ ↈ</t>
        </is>
      </c>
      <c r="R82" s="39" t="inlineStr">
        <is>
          <t>ↀ ↁ ↂ ↄ ↅ ↆ ↇ</t>
        </is>
      </c>
      <c r="S82" s="40" t="n"/>
      <c r="T82" s="41" t="inlineStr">
        <is>
          <t>⅐ ⅑ ⅒ ⅓ ⅔ ⅕ ⅖ ⅗ ⅘ ⅙ ⅚ ⅛ ⅜ ⅝ ⅞ ⅟ Ⅰ Ⅱ Ⅲ Ⅳ Ⅴ Ⅵ Ⅶ Ⅷ Ⅸ Ⅹ Ⅺ Ⅻ Ⅼ Ⅽ Ⅾ Ⅿ ⅰ ⅱ ⅲ ⅳ ⅴ ⅵ ⅶ ⅷ ⅸ ⅹ ⅺ ⅻ ⅼ ⅽ ⅾ ⅿ ↀ ↁ ↂ Ↄ ↄ ↅ ↆ ↇ ↈ ↉ ↊ ↋</t>
        </is>
      </c>
      <c r="U82" s="42" t="inlineStr">
        <is>
          <t>Ⅰ Ⅱ Ⅲ Ⅳ Ⅴ Ⅵ Ⅶ Ⅷ Ⅸ Ⅹ Ⅺ Ⅻ Ⅼ Ⅽ Ⅾ Ⅿ ⅰ ⅱ ⅲ ⅳ ⅴ ⅵ ⅶ ⅷ ⅸ ⅹ ⅺ ⅻ ⅼ ⅽ ⅾ ⅿ ↀ ↁ ↂ Ↄ ↄ ↅ ↆ ↇ ↈ ↊ ↋ ⅟ ↉ ⅓ ⅔ ⅕ ⅖ ⅗ ⅘ ⅙ ⅚ ⅐ ⅛ ⅜ ⅝ ⅞ ⅑ ⅒</t>
        </is>
      </c>
      <c r="V82" s="14">
        <f>(LEN(O82)+1)/2</f>
        <v/>
      </c>
      <c r="W82" s="14">
        <f>ROUNDDOWN((LEN(P82)+1)/2,0)</f>
        <v/>
      </c>
      <c r="X82" s="14">
        <f>ROUNDDOWN((LEN(Q82)+1)/2,0)</f>
        <v/>
      </c>
      <c r="Y82" s="14">
        <f>ROUNDDOWN((LEN(R82)+1)/2,0)</f>
        <v/>
      </c>
      <c r="Z82" s="14">
        <f>ROUNDDOWN((LEN(S82)+1)/2,0)</f>
        <v/>
      </c>
      <c r="AA82" s="56" t="n">
        <v>46150.5582422689</v>
      </c>
    </row>
    <row r="83" ht="60" customHeight="1">
      <c r="A83" s="46" t="inlineStr">
        <is>
          <t>Arrows</t>
        </is>
      </c>
      <c r="B83" s="46" t="inlineStr">
        <is>
          <t>U+2190-U+21FF</t>
        </is>
      </c>
      <c r="C83" s="15" t="inlineStr">
        <is>
          <t>Arrows</t>
        </is>
      </c>
      <c r="D83" s="54">
        <f>HEX2DEC(MID(B83,3,FIND("-",E83)-3))</f>
        <v/>
      </c>
      <c r="E83" s="46" t="inlineStr">
        <is>
          <t>U+2190-U+21FF</t>
        </is>
      </c>
      <c r="F83" s="14" t="n">
        <v>3</v>
      </c>
      <c r="G83" s="14" t="n">
        <v>3</v>
      </c>
      <c r="H83" s="14" t="n">
        <v>3</v>
      </c>
      <c r="I83" s="48" t="inlineStr">
        <is>
          <t>y</t>
        </is>
      </c>
      <c r="J83" s="19">
        <f>ROUNDDOWN(W83,0)/$V83</f>
        <v/>
      </c>
      <c r="K83" s="19">
        <f>ROUNDDOWN(X83,0)/$V83</f>
        <v/>
      </c>
      <c r="L83" s="19">
        <f>ROUNDDOWN(Y83,0)/$V83</f>
        <v/>
      </c>
      <c r="M83" s="19">
        <f>ROUNDDOWN(Z83,0)/$V83</f>
        <v/>
      </c>
      <c r="O83" s="36" t="inlineStr">
        <is>
          <t>← ↑ → ↓ ↔ ↕ ↖ ↗ ↘ ↙ ↚ ↛ ↜ ↝ ↞ ↟ ↠ ↡ ↢ ↣ ↤ ↥ ↦ ↧ ↨ ↩ ↪ ↫ ↬ ↭ ↮ ↯ ↰ ↱ ↲ ↳ ↴ ↵ ↶ ↷ ↸ ↹ ↺ ↻ ↼ ↽ ↾ ↿ ⇀ ⇁ ⇂ ⇃ ⇄ ⇅ ⇆ ⇇ ⇈ ⇉ ⇊ ⇋ ⇌ ⇍ ⇎ ⇏ ⇐ ⇑ ⇒ ⇓ ⇔ ⇕ ⇖ ⇗ ⇘ ⇙ ⇚ ⇛ ⇜ ⇝ ⇞ ⇟ ⇠ ⇡ ⇢ ⇣ ⇤ ⇥ ⇦ ⇧ ⇨ ⇩ ⇪ ⇫ ⇬ ⇭ ⇮ ⇯ ⇰ ⇱ ⇲ ⇳ ⇴ ⇵ ⇶ ⇷ ⇸ ⇹ ⇺ ⇻ ⇼ ⇽ ⇾ ⇿</t>
        </is>
      </c>
      <c r="P83" s="37" t="inlineStr">
        <is>
          <t>← ↑ → ↓ ↔ ↕ ↖ ↗ ↘ ↙ ↚ ↛ ↜ ↝ ↞ ↟ ↠ ↡ ↢ ↣ ↤ ↥ ↦ ↧ ↨ ↩ ↪ ↫ ↬ ↭ ↮ ↯ ↰ ↱ ↲ ↳ ↴ ↵ ↶ ↷ ↸ ↹ ↺ ↻ ↼ ↽ ↾ ↿ ⇀ ⇁ ⇂ ⇃ ⇄ ⇅ ⇆ ⇇ ⇈ ⇉ ⇊ ⇋ ⇌ ⇍ ⇎ ⇏ ⇐ ⇑ ⇒ ⇓ ⇔ ⇕ ⇖ ⇗ ⇘ ⇙ ⇚ ⇛ ⇜ ⇝ ⇞ ⇟ ⇠ ⇡ ⇢ ⇣ ⇤ ⇥ ⇦ ⇧ ⇨ ⇩ ⇪ ⇫ ⇬ ⇭ ⇮ ⇯ ⇰ ⇱ ⇲ ⇳ ⇴ ⇵ ⇶ ⇷ ⇸ ⇹ ⇺ ⇻ ⇼ ⇽ ⇾ ⇿</t>
        </is>
      </c>
      <c r="Q83" s="38" t="inlineStr">
        <is>
          <t>↕ ↜ ↝ ↞ ↟ ↡ ↤ ↥ ↧ ↭ ↯ ↶ ↷ ↸ ↹ ↺ ↻ ⇄ ⇅ ⇆ ⇇ ⇈ ⇉ ⇊ ⇋ ⇌ ⇐ ⇑ ⇓ ⇕ ⇚ ⇛ ⇜ ⇝ ⇠ ⇡ ⇢ ⇣ ⇤ ⇥ ⇦ ⇧ ⇨ ⇩ ⇪ ⇫ ⇮ ⇯ ⇰ ⇱ ⇳</t>
        </is>
      </c>
      <c r="R83" s="39" t="inlineStr">
        <is>
          <t>↕ ↜ ↝ ↞ ↟ ↡ ↤ ↥ ↧ ↭ ↯ ↶ ↷ ↸ ↹ ↺ ↻ ⇄ ⇅ ⇆ ⇇ ⇈ ⇉ ⇊ ⇋ ⇌ ⇐ ⇑ ⇓ ⇕ ⇚ ⇛ ⇜ ⇝ ⇡ ⇣ ⇤ ⇥ ⇦ ⇧ ⇨ ⇩ ⇪ ⇫ ⇮ ⇯ ⇰ ⇱ ⇳</t>
        </is>
      </c>
      <c r="S83" s="40" t="n"/>
      <c r="T83" s="41" t="inlineStr">
        <is>
          <t>← ↑ → ↓ ↔ ↕ ↖ ↗ ↘ ↙ ↚ ↛ ↜ ↝ ↞ ↟ ↠ ↡ ↢ ↣ ↤ ↥ ↦ ↧ ↨ ↩ ↪ ↫ ↬ ↭ ↮ ↯ ↰ ↱ ↲ ↳ ↴ ↵ ↶ ↷ ↸ ↹ ↺ ↻ ↼ ↽ ↾ ↿ ⇀ ⇁ ⇂ ⇃ ⇄ ⇅ ⇆ ⇇ ⇈ ⇉ ⇊ ⇋ ⇌ ⇍ ⇎ ⇏ ⇐ ⇑ ⇒ ⇓ ⇔ ⇕ ⇖ ⇗ ⇘ ⇙ ⇚ ⇛ ⇜ ⇝ ⇞ ⇟ ⇠ ⇡ ⇢ ⇣ ⇤ ⇥ ⇦ ⇧ ⇨ ⇩ ⇪ ⇫ ⇬ ⇭ ⇮ ⇯ ⇰ ⇱ ⇲ ⇳ ⇴ ⇵ ⇶ ⇷ ⇸ ⇹ ⇺ ⇻ ⇼ ⇽ ⇾ ⇿</t>
        </is>
      </c>
      <c r="U83" s="42" t="inlineStr">
        <is>
          <t>↑ ↗ → ↘ ↓ ↙ ← ↖ ⇡ ⇢ ⇣ ⇠ ⇑ ⇗ ⇒ ⇘ ⇓ ⇙ ⇐ ⇖ ⇾ ⇽ ⇈ ⇉ ⇊ ⇇ ⇝ ⇜ ⇶ ⇛ ⇚ ↝ ↜ ⇧ ⇨ ⇩ ⇦ ↯ ↕ ↔ ⇄ ⇆ ↥ ↦ ↧ ↤ ⇥ ⇤ ⇲ ⇱ ↟ ↠ ↡ ↞ ⇮ ⇫ ↪ ↩ ↬ ↫ ↛ ↚ ↣ ↢ ⇕ ⇔ ⇿ ↭ ⇳ ⇌ ⇋ ↺ ↶ ↻ ↷ ⇏ ⇍ ⇅ ⇵ ↸ ⇯ ⇪ ⇰ ↴ ↵ ⇞ ⇟ ⇴ ↰ ↲ ↱ ↳ ⇸ ⇷ ↨ ↮ ↹ ⇁ ↽ ↿ ⇃ ↾ ⇂ ⇀ ↼ ⇻ ⇺ ⇎ ⇹ ⇬ ⇭ ⇼</t>
        </is>
      </c>
      <c r="V83" s="14">
        <f>(LEN(O83)+1)/2</f>
        <v/>
      </c>
      <c r="W83" s="14">
        <f>ROUNDDOWN((LEN(P83)+1)/2,0)</f>
        <v/>
      </c>
      <c r="X83" s="14">
        <f>ROUNDDOWN((LEN(Q83)+1)/2,0)</f>
        <v/>
      </c>
      <c r="Y83" s="14">
        <f>ROUNDDOWN((LEN(R83)+1)/2,0)</f>
        <v/>
      </c>
      <c r="Z83" s="14">
        <f>ROUNDDOWN((LEN(S83)+1)/2,0)</f>
        <v/>
      </c>
      <c r="AA83" s="56" t="n">
        <v>46150.55824304122</v>
      </c>
    </row>
    <row r="84" ht="135" customHeight="1">
      <c r="A84" s="46" t="inlineStr">
        <is>
          <t>Math</t>
        </is>
      </c>
      <c r="B84" s="46" t="inlineStr">
        <is>
          <t>U+2200-U+22FF</t>
        </is>
      </c>
      <c r="C84" s="15" t="inlineStr">
        <is>
          <t>Mathematical Operators</t>
        </is>
      </c>
      <c r="D84" s="54">
        <f>HEX2DEC(MID(B84,3,FIND("-",E84)-3))</f>
        <v/>
      </c>
      <c r="E84" s="46" t="inlineStr">
        <is>
          <t>U+2200-U+22FF</t>
        </is>
      </c>
      <c r="F84" s="14" t="n">
        <v>3</v>
      </c>
      <c r="G84" s="14" t="n">
        <v>3</v>
      </c>
      <c r="H84" s="14" t="n">
        <v>3</v>
      </c>
      <c r="I84" s="48" t="inlineStr">
        <is>
          <t>y</t>
        </is>
      </c>
      <c r="J84" s="19">
        <f>ROUNDDOWN(W84,0)/$V84</f>
        <v/>
      </c>
      <c r="K84" s="19">
        <f>ROUNDDOWN(X84,0)/$V84</f>
        <v/>
      </c>
      <c r="L84" s="19">
        <f>ROUNDDOWN(Y84,0)/$V84</f>
        <v/>
      </c>
      <c r="M84" s="19">
        <f>ROUNDDOWN(Z84,0)/$V84</f>
        <v/>
      </c>
      <c r="O84" s="36" t="inlineStr">
        <is>
          <t>∀ ∁ ∂ ∃ ∄ ∅ ∆ ∇ ∈ ∉ ∊ ∋ ∌ ∍ ∎ ∏ ∐ ∑ − ∓ ∔ ∕ ∖ ∗ ∘ ∙ √ ∛ ∜ ∝ ∞ ∟ ∠ ∡ ∢ ∣ ∤ ∥ ∦ ∧ ∨ ∩ ∪ ∫ ∬ ∭ ∮ ∯ ∰ ∱ ∲ ∳ ∴ ∵ ∶ ∷ ∸ ∹ ∺ ∻ ∼ ∽ ∾ ∿ ≀ ≁ ≂ ≃ ≄ ≅ ≆ ≇ ≈ ≉ ≊ ≋ ≌ ≍ ≎ ≏ ≐ ≑ ≒ ≓ ≔ ≕ ≖ ≗ ≘ ≙ ≚ ≛ ≜ ≝ ≞ ≟ ≠ ≡ ≢ ≣ ≤ ≥ ≦ ≧ ≨ ≩ ≪ ≫ ≬ ≭ ≮ ≯ ≰ ≱ ≲ ≳ ≴ ≵ ≶ ≷ ≸ ≹ ≺ ≻ ≼ ≽ ≾ ≿ ⊀ ⊁ ⊂ ⊃ ⊄ ⊅ ⊆ ⊇ ⊈ ⊉ ⊊ ⊋ ⊌ ⊍ ⊎ ⊏ ⊐ ⊑ ⊒ ⊓ ⊔ ⊕ ⊖ ⊗ ⊘ ⊙ ⊚ ⊛ ⊜ ⊝ ⊞ ⊟ ⊠ ⊡ ⊢ ⊣ ⊤ ⊥ ⊦ ⊧ ⊨ ⊩ ⊪ ⊫ ⊬ ⊭ ⊮ ⊯ ⊰ ⊱ ⊲ ⊳ ⊴ ⊵ ⊶ ⊷ ⊸ ⊹ ⊺ ⊻ ⊼ ⊽ ⊾ ⊿ ⋀ ⋁ ⋂ ⋃ ⋄ ⋅ ⋆ ⋇ ⋈ ⋉ ⋊ ⋋ ⋌ ⋍ ⋎ ⋏ ⋐ ⋑ ⋒ ⋓ ⋔ ⋕ ⋖ ⋗ ⋘ ⋙ ⋚ ⋛ ⋜ ⋝ ⋞ ⋟ ⋠ ⋡ ⋢ ⋣ ⋤ ⋥ ⋦ ⋧ ⋨ ⋩ ⋪ ⋫ ⋬ ⋭ ⋮ ⋯ ⋰ ⋱ ⋲ ⋳ ⋴ ⋵ ⋶ ⋷ ⋸ ⋹ ⋺ ⋻ ⋼ ⋽ ⋾ ⋿</t>
        </is>
      </c>
      <c r="P84" s="37" t="inlineStr">
        <is>
          <t>∀ ∁ ∂ ∃ ∄ ∅ ∆ ∇ ∈ ∉ ∊ ∋ ∌ ∍ ∎ ∏ ∐ ∑ − ∓ ∔ ∕ ∖ ∗ ∘ ∙ √ ∛ ∜ ∝ ∞ ∟ ∠ ∡ ∢ ∣ ∤ ∥ ∦ ∧ ∨ ∩ ∪ ∫ ∬ ∭ ∮ ∯ ∰ ∱ ∲ ∳ ∴ ∵ ∶ ∷ ∸ ∹ ∺ ∻ ∼ ∽ ∾ ∿ ≀ ≁ ≂ ≃ ≄ ≅ ≆ ≇ ≈ ≉ ≊ ≋ ≌ ≍ ≎ ≏ ≐ ≑ ≒ ≓ ≔ ≕ ≖ ≗ ≘ ≙ ≚ ≛ ≜ ≝ ≞ ≟ ≠ ≡ ≢ ≣ ≤ ≥ ≦ ≧ ≨ ≩ ≪ ≫ ≬ ≭ ≮ ≯ ≰ ≱ ≲ ≳ ≴ ≵ ≶ ≷ ≸ ≹ ≺ ≻ ≼ ≽ ≾ ≿ ⊀ ⊁ ⊂ ⊃ ⊄ ⊅ ⊆ ⊇ ⊈ ⊉ ⊊ ⊋ ⊌ ⊍ ⊎ ⊏ ⊐ ⊑ ⊒ ⊓ ⊔ ⊕ ⊖ ⊗ ⊘ ⊙ ⊚ ⊛ ⊜ ⊝ ⊞ ⊟ ⊠ ⊡ ⊢ ⊣ ⊤ ⊥ ⊦ ⊧ ⊨ ⊩ ⊪ ⊫ ⊬ ⊭ ⊮ ⊯ ⊰ ⊱ ⊲ ⊳ ⊴ ⊵ ⊶ ⊷ ⊸ ⊹ ⊺ ⊻ ⊼ ⊽ ⊾ ⊿ ⋀ ⋁ ⋂ ⋃ ⋄ ⋅ ⋆ ⋇ ⋈ ⋉ ⋊ ⋋ ⋌ ⋍ ⋎ ⋏ ⋐ ⋑ ⋒ ⋓ ⋔ ⋕ ⋖ ⋗ ⋘ ⋙ ⋚ ⋛ ⋜ ⋝ ⋞ ⋟ ⋠ ⋡ ⋢ ⋣ ⋤ ⋥ ⋦ ⋧ ⋨ ⋩ ⋪ ⋫ ⋬ ⋭ ⋮ ⋯ ⋰ ⋱ ⋲ ⋳ ⋴ ⋵ ⋶ ⋷ ⋸ ⋹ ⋺ ⋻ ⋼ ⋽ ⋾ ⋿</t>
        </is>
      </c>
      <c r="Q84" s="38" t="inlineStr">
        <is>
          <t>∀ ∁ ∂ ∃ ∅ ∆ ∇ ∈ ∋ ∎ ∏ ∐ ∑ − ∓ ∔ ∕ ∖ ∗ ∘ √ ∛ ∜ ∝ ∞ ∟ ∡ ∢ ∣ ∥ ∧ ∨ ∩ ∪ ∫ ∮ ∱ ∲ ∳ ∴ ∵ ∶ ∷ ∸ ∹ ∺ ∻ ∼ ∽ ∾ ∿ ≀ ≂ ≃ ≅ ≆ ≈ ≊ ≋ ≌ ≍ ≎ ≏ ≐ ≑ ≒ ≓ ≔ ≕ ≖ ≗ ≘ ≙ ≚ ≛ ≜ ≝ ≞ ≟ ≡ ≣ ≤ ≥ ≦ ≧ ≨ ≩ ≪ ≫ ≬ ≲ ≳ ≶ ≷ ≺ ≻ ≼ ≽ ≾ ≿ ⊂ ⊃ ⊆ ⊇ ⊌ ⊍ ⊎ ⊏ ⊐ ⊑ ⊒ ⊓ ⊔ ⊕ ⊖ ⊗ ⊘ ⊚ ⊛ ⊜ ⊝ ⊞ ⊟ ⊠ ⊢ ⊦ ⊧ ⊨ ⊩ ⊰ ⊱ ⊲ ⊳ ⊴ ⊵ ⊶ ⊷ ⊸ ⊹ ⊺ ⊻ ⊼ ⊽ ⊿ ⋀ ⋁ ⋂ ⋃ ⋄ ⋆ ⋇ ⋈ ⋉ ⋋ ⋍ ⋎ ⋏ ⋐ ⋑ ⋒ ⋓ ⋔ ⋕ ⋘ ⋙ ⋚ ⋛ ⋜ ⋝ ⋞ ⋟ ⋤ ⋥ ⋦ ⋧ ⋨ ⋩ ⋿</t>
        </is>
      </c>
      <c r="R84" s="39" t="inlineStr">
        <is>
          <t>∀ ∁ ∂ ∃ ∅ ∆ ∇ ∈ ∋ ∎ ∏ ∐ ∑ ∓ ∔ ∕ ∖ ∗ ∘ √ ∛ ∜ ∝ ∞ ∟ ∡ ∢ ∧ ∩ ∫ ∮ ∱ ∲ ∳ ∸ ∺ ∻ ∼ ∽ ∾ ∿ ≀ ≆ ≈ ≊ ≋ ≍ ≎ ≏ ≖ ≡ ≣ ≤ ≥ ≨ ≩ ≪ ≫ ≬ ≲ ≳ ≶ ≷ ≺ ≻ ≼ ≽ ≾ ≿ ⊂ ⊃ ⊆ ⊇ ⊌ ⊍ ⊎ ⊏ ⊐ ⊑ ⊒ ⊓ ⊔ ⊕ ⊖ ⊗ ⊘ ⊚ ⊛ ⊜ ⊝ ⊞ ⊟ ⊠ ⊢ ⊦ ⊧ ⊨ ⊰ ⊱ ⊲ ⊳ ⊴ ⊵ ⊸ ⊺ ⊼ ⊽ ⊿ ⋀ ⋂ ⋄ ⋆ ⋇ ⋈ ⋉ ⋋ ⋎ ⋏ ⋐ ⋑ ⋒ ⋓ ⋔ ⋕ ⋚ ⋛ ⋜ ⋝ ⋞ ⋟ ⋤ ⋥ ⋦ ⋧ ⋨ ⋩</t>
        </is>
      </c>
      <c r="S84" s="40" t="n"/>
      <c r="T84" s="41" t="inlineStr">
        <is>
          <t>∀ ∁ ∂ ∃ ∄ ∅ ∆ ∇ ∈ ∉ ∊ ∋ ∌ ∍ ∎ ∏ ∐ ∑ − ∓ ∔ ∕ ∖ ∗ ∘ ∙ √ ∛ ∜ ∝ ∞ ∟ ∠ ∡ ∢ ∣ ∤ ∥ ∦ ∧ ∨ ∩ ∪ ∫ ∬ ∭ ∮ ∯ ∰ ∱ ∲ ∳ ∴ ∵ ∶ ∷ ∸ ∹ ∺ ∻ ∼ ∽ ∾ ∿ ≀ ≁ ≂ ≃ ≄ ≅ ≆ ≇ ≈ ≉ ≊ ≋ ≌ ≍ ≎ ≏ ≐ ≑ ≒ ≓ ≔ ≕ ≖ ≗ ≘ ≙ ≚ ≛ ≜ ≝ ≞ ≟ ≠ ≡ ≢ ≣ ≤ ≥ ≦ ≧ ≨ ≩ ≪ ≫ ≬ ≭ ≮ ≯ ≰ ≱ ≲ ≳ ≴ ≵ ≶ ≷ ≸ ≹ ≺ ≻ ≼ ≽ ≾ ≿ ⊀ ⊁ ⊂ ⊃ ⊄ ⊅ ⊆ ⊇ ⊈ ⊉ ⊊ ⊋ ⊌ ⊍ ⊎ ⊏ ⊐ ⊑ ⊒ ⊓ ⊔ ⊕ ⊖ ⊗ ⊘ ⊙ ⊚ ⊛ ⊜ ⊝ ⊞ ⊟ ⊠ ⊡ ⊢ ⊣ ⊤ ⊥ ⊦ ⊧ ⊨ ⊩ ⊪ ⊫ ⊬ ⊭ ⊮ ⊯ ⊰ ⊱ ⊲ ⊳ ⊴ ⊵ ⊶ ⊷ ⊸ ⊹ ⊺ ⊻ ⊼ ⊽ ⊾ ⊿ ⋀ ⋁ ⋂ ⋃ ⋄ ⋅ ⋆ ⋇ ⋈ ⋉ ⋊ ⋋ ⋌ ⋍ ⋎ ⋏ ⋐ ⋑ ⋒ ⋓ ⋔ ⋕ ⋖ ⋗ ⋘ ⋙ ⋚ ⋛ ⋜ ⋝ ⋞ ⋟ ⋠ ⋡ ⋢ ⋣ ⋤ ⋥ ⋦ ⋧ ⋨ ⋩ ⋪ ⋫ ⋬ ⋭ ⋮ ⋯ ⋰ ⋱ ⋲ ⋳ ⋴ ⋵ ⋶ ⋷ ⋸ ⋹ ⋺ ⋻ ⋼ ⋽ ⋾ ⋿</t>
        </is>
      </c>
      <c r="U84" s="42" t="inlineStr">
        <is>
          <t>∀ ∁ ∂ ∃ ∄ ∅ ∆ ∇ ∈ ∉ ∊ ∋ ∌ ∍ ∎ ∏ ∐ ∑ − ∓ ∔ ∕ ∖ ∗ ∘ ∙ √ ∛ ∜ ∝ ∞ ∟ ∠ ∡ ∢ ∣ ∤ ∥ ∦ ∧ ∨ ∩ ∪ ∫ ∬ ∭ ∮ ∯ ∰ ∱ ∲ ∳ ∴ ∵ ∶ ∷ ∸ ∹ ∺ ∻ ∼ ∽ ∾ ∿ ≀ ≁ ≂ ≃ ≄ ≅ ≆ ≇ ≈ ≉ ≊ ≋ ≌ ≍ ≎ ≏ ≐ ≑ ≒ ≓ ≔ ≕ ≖ ≗ ≘ ≙ ≚ ≛ ≜ ≝ ≞ ≟ ≠ ≡ ≢ ≣ ≤ ≥ ≦ ≧ ≨ ≩ ≪ ≫ ≬ ≭ ≮ ≯ ≰ ≱ ≲ ≳ ≴ ≵ ≶ ≷ ≸ ≹ ≺ ≻ ≼ ≽ ≾ ≿ ⊀ ⊁ ⊂ ⊃ ⊄ ⊅ ⊆ ⊇ ⊈ ⊉ ⊊ ⊋ ⊌ ⊍ ⊎ ⊏ ⊐ ⊑ ⊒ ⊓ ⊔ ⊕ ⊖ ⊗ ⊘ ⊙ ⊚ ⊛ ⊜ ⊝ ⊞ ⊟ ⊠ ⊡ ⊢ ⊣ ⊤ ⊥ ⊦ ⊧ ⊨ ⊩ ⊪ ⊫ ⊬ ⊭ ⊮ ⊯ ⊰ ⊱ ⊲ ⊳ ⊴ ⊵ ⊶ ⊷ ⊸ ⊹ ⊺ ⊻ ⊼ ⊽ ⊾ ⊿ ⋀ ⋁ ⋂ ⋃ ⋄ ⋅ ⋆ ⋇ ⋈ ⋉ ⋊ ⋋ ⋌ ⋍ ⋎ ⋏ ⋐ ⋑ ⋒ ⋓ ⋔ ⋕ ⋖ ⋗ ⋘ ⋙ ⋚ ⋛ ⋜ ⋝ ⋞ ⋟ ⋠ ⋡ ⋢ ⋣ ⋤ ⋥ ⋦ ⋧ ⋨ ⋩ ⋪ ⋫ ⋬ ⋭ ⋮ ⋯ ⋰ ⋱ ⋲ ⋳ ⋴ ⋵ ⋶ ⋷ ⋸ ⋹ ⋺ ⋻ ⋼ ⋽ ⋾ ⋿</t>
        </is>
      </c>
      <c r="V84" s="14">
        <f>(LEN(O84)+1)/2</f>
        <v/>
      </c>
      <c r="W84" s="14">
        <f>ROUNDDOWN((LEN(P84)+1)/2,0)</f>
        <v/>
      </c>
      <c r="X84" s="14">
        <f>ROUNDDOWN((LEN(Q84)+1)/2,0)</f>
        <v/>
      </c>
      <c r="Y84" s="14">
        <f>ROUNDDOWN((LEN(R84)+1)/2,0)</f>
        <v/>
      </c>
      <c r="Z84" s="14">
        <f>ROUNDDOWN((LEN(S84)+1)/2,0)</f>
        <v/>
      </c>
      <c r="AA84" s="56" t="n">
        <v>46150.55824530104</v>
      </c>
    </row>
    <row r="85" ht="150" customHeight="1">
      <c r="A85" s="46" t="inlineStr">
        <is>
          <t>Symbols</t>
        </is>
      </c>
      <c r="B85" s="46" t="inlineStr">
        <is>
          <t>U+2300-U+23FF</t>
        </is>
      </c>
      <c r="C85" s="15" t="inlineStr">
        <is>
          <t>Miscellaneous Technical</t>
        </is>
      </c>
      <c r="D85" s="54">
        <f>HEX2DEC(MID(B85,3,FIND("-",E85)-3))</f>
        <v/>
      </c>
      <c r="E85" s="46" t="inlineStr">
        <is>
          <t>U+2300-U+23FF</t>
        </is>
      </c>
      <c r="F85" s="14" t="n">
        <v>3</v>
      </c>
      <c r="G85" s="14" t="n">
        <v>3</v>
      </c>
      <c r="H85" s="14" t="n">
        <v>3</v>
      </c>
      <c r="I85" s="48" t="inlineStr">
        <is>
          <t>y</t>
        </is>
      </c>
      <c r="J85" s="19">
        <f>ROUNDDOWN(W85,0)/$V85</f>
        <v/>
      </c>
      <c r="K85" s="19">
        <f>ROUNDDOWN(X85,0)/$V85</f>
        <v/>
      </c>
      <c r="L85" s="19">
        <f>ROUNDDOWN(Y85,0)/$V85</f>
        <v/>
      </c>
      <c r="M85" s="19">
        <f>ROUNDDOWN(Z85,0)/$V85</f>
        <v/>
      </c>
      <c r="N85" s="35" t="inlineStr">
        <is>
          <t>Some too tall and wide, needs serious pruning</t>
        </is>
      </c>
      <c r="O85" s="36" t="inlineStr">
        <is>
          <t>⌀ ⌁ ⌂ ⌃ ⌄ ⌅ ⌆ ⌇ ⌈ ⌉ ⌊ ⌋ ⌌ ⌍ ⌎ ⌏ ⌐ ⌑ ⌒ ⌓ ⌔ ⌕ ⌖ ⌗ ⌘ ⌙ ⌚ ⌛ ⌜ ⌝ ⌞ ⌟ ⌠ ⌡ ⌢ ⌣ ⌤ ⌥ ⌦ ⌧ ⌨ 〈 〉 ⌫ ⌬ ⌭ ⌮ ⌯ ⌰ ⌱ ⌲ ⌳ ⌴ ⌵ ⌶ ⌷ ⌸ ⌹ ⌺ ⌻ ⌼ ⌽ ⌾ ⌿ ⍀ ⍁ ⍂ ⍃ ⍄ ⍅ ⍆ ⍇ ⍈ ⍉ ⍊ ⍋ ⍌ ⍍ ⍎ ⍏ ⍐ ⍑ ⍒ ⍓ ⍔ ⍕ ⍖ ⍗ ⍘ ⍙ ⍚ ⍛ ⍜ ⍝ ⍞ ⍟ ⍠ ⍡ ⍢ ⍣ ⍤ ⍥ ⍦ ⍧ ⍨ ⍩ ⍪ ⍫ ⍬ ⍭ ⍮ ⍯ ⍰ ⍱ ⍲ ⍳ ⍴ ⍵ ⍶ ⍷ ⍸ ⍹ ⍺ ⍻ ⍼ ⍽ ⍾ ⍿ ⎀ ⎁ ⎂ ⎃ ⎄ ⎅ ⎆ ⎇ ⎈ ⎉ ⎊ ⎋ ⎌ ⎍ ⎎ ⎏ ⎐ ⎑ ⎒ ⎓ ⎔ ⎕ ⎖ ⎗ ⎘ ⎙ ⎚ ⎛ ⎜ ⎝ ⎞ ⎟ ⎠ ⎡ ⎢ ⎣ ⎤ ⎥ ⎦ ⎧ ⎨ ⎩ ⎪ ⎫ ⎬ ⎭ ⎮ ⎯ ⎰ ⎱ ⎲ ⎳ ⎴ ⎵ ⎶ ⎷ ⎸ ⎹ ⎺ ⎻ ⎼ ⎽ ⎾ ⎿ ⏀ ⏁ ⏂ ⏃ ⏄ ⏅ ⏆ ⏇ ⏈ ⏉ ⏊ ⏋ ⏌ ⏍ ⏎ ⏏ ⏐ ⏑ ⏒ ⏓ ⏔ ⏕ ⏖ ⏗ ⏘ ⏙ ⏚ ⏛ ⏜ ⏝ ⏞ ⏟ ⏠ ⏡ ⏢ ⏣ ⏤ ⏥ ⏦ ⏧ ⏨ ⏩ ⏪ ⏫ ⏬ ⏭ ⏮ ⏯ ⏰ ⏱ ⏲ ⏳ ⏴ ⏵ ⏶ ⏷ ⏸ ⏹ ⏺ ⏻ ⏼ ⏽ ⏾ ⏿</t>
        </is>
      </c>
      <c r="P85" s="37" t="inlineStr">
        <is>
          <t>⌀ ⌁ ⌂ ⌃ ⌄ ⌅ ⌆ ⌇ ⌈ ⌉ ⌊ ⌋ ⌌ ⌍ ⌎ ⌏ ⌐ ⌑ ⌒ ⌓ ⌔ ⌕ ⌖ ⌗ ⌘ ⌙ ⌚ ⌛ ⌜ ⌝ ⌞ ⌟ ⌠ ⌡ ⌢ ⌣ ⌤ ⌥ ⌦ ⌧ ⌨ 〈 〉 ⌫ ⌬ ⌭ ⌮ ⌯ ⌰ ⌱ ⌲ ⌳ ⌴ ⌵ ⌶ ⌷ ⌸ ⌹ ⌺ ⌻ ⌼ ⌽ ⌾ ⌿ ⍀ ⍁ ⍂ ⍃ ⍄ ⍅ ⍆ ⍇ ⍈ ⍉ ⍊ ⍋ ⍌ ⍍ ⍎ ⍏ ⍐ ⍑ ⍒ ⍓ ⍔ ⍕ ⍖ ⍗ ⍘ ⍙ ⍚ ⍛ ⍜ ⍝ ⍞ ⍟ ⍠ ⍡ ⍢ ⍣ ⍤ ⍥ ⍦ ⍧ ⍨ ⍩ ⍪ ⍫ ⍬ ⍭ ⍮ ⍯ ⍰ ⍱ ⍲ ⍳ ⍴ ⍵ ⍶ ⍷ ⍸ ⍹ ⍺ ⍻ ⍼ ⍽ ⍾ ⍿ ⎀ ⎁ ⎂ ⎃ ⎄ ⎅ ⎆ ⎇ ⎈ ⎉ ⎊ ⎋ ⎌ ⎍ ⎎ ⎏ ⎐ ⎑ ⎒ ⎓ ⎔ ⎕ ⎖ ⎗ ⎘ ⎙ ⎚ ⎛ ⎜ ⎝ ⎞ ⎟ ⎠ ⎡ ⎢ ⎣ ⎤ ⎥ ⎦ ⎧ ⎨ ⎩ ⎪ ⎫ ⎬ ⎭ ⎮ ⎯ ⎰ ⎱ ⎲ ⎳ ⎴ ⎵ ⎶ ⎷ ⎸ ⎹ ⎺ ⎻ ⎼ ⎽ ⎾ ⎿ ⏀ ⏁ ⏂ ⏃ ⏄ ⏅ ⏆ ⏇ ⏈ ⏉ ⏊ ⏋ ⏌ ⏍ ⏎ ⏏ ⏐ ⏑ ⏒ ⏓ ⏔ ⏕ ⏖ ⏗ ⏘ ⏙ ⏚ ⏛ ⏜ ⏝ ⏞ ⏟ ⏠ ⏡ ⏢ ⏣ ⏤ ⏥ ⏦ ⏧ ⏨ ⏩ ⏪ ⏫ ⏬ ⏭ ⏮ ⏯ ⏰ ⏱ ⏲ ⏳ ⏴ ⏵ ⏶ ⏷ ⏸ ⏹ ⏺ ⏻ ⏼ ⏽ ⏾ ⏿</t>
        </is>
      </c>
      <c r="Q85" s="38" t="inlineStr">
        <is>
          <t>⌀ ⌁ ⌂ ⌃ ⌅ ⌆ ⌇ ⌈ ⌊ ⌌ ⌎ ⌐ ⌑ ⌒ ⌓ ⌔ ⌕ ⌖ ⌗ ⌘ ⌙ ⌚ ⌛ ⌜ ⌞ ⌢ ⌣ ⌥ ⌦ ⌧ ⌨ 〈 〉 ⌫ ⌬ ⌭ ⌮ ⌯ ⌰ ⌱ ⌲ ⌳ ⌴ ⌵ ⌶ ⌷ ⌸ ⌹ ⌺ ⌻ ⌼ ⌽ ⌾ ⌿ ⍀ ⍁ ⍂ ⍃ ⍄ ⍅ ⍆ ⍇ ⍈ ⍉ ⍊ ⍋ ⍌ ⍍ ⍎ ⍏ ⍐ ⍑ ⍒ ⍓ ⍔ ⍕ ⍖ ⍗ ⍘ ⍙ ⍚ ⍛ ⍜ ⍝ ⍞ ⍟ ⍠ ⍡ ⍢ ⍣ ⍤ ⍥ ⍦ ⍨ ⍩ ⍪ ⍫ ⍬ ⍭ ⍮ ⍯ ⍰ ⍱ ⍳ ⍴ ⍵ ⍶ ⍷ ⍸ ⍹ ⍺ ⍻ ⍽ ⍾ ⎀ ⎁ ⎂ ⎃ ⎄ ⎆ ⎇ ⎈ ⎊ ⎌ ⎍ ⎎ ⎏ ⎐ ⎑ ⎓ ⎔ ⎕ ⎖ ⎗ ⎘ ⎙ ⎚ ⎴ ⎵ ⎶ ⎷ ⎸ ⎺ ⎻ ⎼ ⎽ ⎾ ⎿ ⏆ ⏉ ⏋ ⏌ ⏍ ⏎ ⏏ ⏑ ⏒ ⏓ ⏔ ⏕ ⏖ ⏗ ⏘ ⏙ ⏚ ⏛ ⏢ ⏤ ⏥ ⏦ ⏧ ⏨ ⏩ ⏪ ⏫ ⏬ ⏰ ⏱ ⏲ ⏳ ⏴ ⏹ ⏺ ⏻ ⏼ ⏽ ⏾ ⏿</t>
        </is>
      </c>
      <c r="R85" s="39" t="inlineStr">
        <is>
          <t>⌀ ⌁ ⌂ ⌅ ⌆ ⌇ ⌈ ⌊ ⌐ ⌑ ⌒ ⌓ ⌔ ⌕ ⌗ ⌘ ⌙ ⌚ ⌛ ⌞ ⌥ ⌦ ⌧ ⌨ 〈 〉 ⌫ ⌬ ⌶ ⌷ ⌸ ⌹ ⌺ ⌻ ⌼ ⌽ ⌾ ⌿ ⍀ ⍁ ⍂ ⍃ ⍄ ⍅ ⍆ ⍇ ⍈ ⍉ ⍊ ⍋ ⍌ ⍍ ⍎ ⍏ ⍐ ⍑ ⍒ ⍓ ⍔ ⍕ ⍖ ⍗ ⍙ ⍜ ⍝ ⍞ ⍟ ⍠ ⍡ ⍢ ⍥ ⍦ ⍩ ⍫ ⍬ ⍭ ⍯ ⍰ ⍱ ⍵ ⍶ ⍷ ⍸ ⍹ ⍽ ⍾ ⎀ ⎁ ⎄ ⎈ ⎊ ⎍ ⎎ ⎏ ⎐ ⎑ ⎕ ⎖ ⎵ ⎶ ⎷ ⎼ ⎽ ⎾ ⎿ ⏆ ⏋ ⏌ ⏎ ⏏ ⏓ ⏫ ⏬ ⏰ ⏱ ⏲ ⏳ ⏴ ⏹ ⏺</t>
        </is>
      </c>
      <c r="S85" s="40" t="n"/>
      <c r="T85" s="41" t="inlineStr">
        <is>
          <t>⌀ ⌁ ⌂ ⌃ ⌄ ⌅ ⌆ ⌇ ⌈ ⌉ ⌊ ⌋ ⌌ ⌍ ⌎ ⌏ ⌐ ⌑ ⌒ ⌓ ⌔ ⌕ ⌖ ⌗ ⌘ ⌙ ⌚ ⌛ ⌜ ⌝ ⌞ ⌟ ⌠ ⌡ ⌢ ⌣ ⌤ ⌥ ⌦ ⌧ ⌨ 〈 〉 ⌫ ⌬ ⌭ ⌮ ⌯ ⌰ ⌱ ⌲ ⌳ ⌴ ⌵ ⌶ ⌷ ⌸ ⌹ ⌺ ⌻ ⌼ ⌽ ⌾ ⌿ ⍀ ⍁ ⍂ ⍃ ⍄ ⍅ ⍆ ⍇ ⍈ ⍉ ⍊ ⍋ ⍌ ⍍ ⍎ ⍏ ⍐ ⍑ ⍒ ⍓ ⍔ ⍕ ⍖ ⍗ ⍘ ⍙ ⍚ ⍛ ⍜ ⍝ ⍞ ⍟ ⍠ ⍡ ⍢ ⍣ ⍤ ⍥ ⍦ ⍧ ⍨ ⍩ ⍪ ⍫ ⍬ ⍭ ⍮ ⍯ ⍰ ⍱ ⍲ ⍳ ⍴ ⍵ ⍶ ⍷ ⍸ ⍹ ⍺ ⍻ ⍼ ⍽ ⍾ ⍿ ⎀ ⎁ ⎂ ⎃ ⎄ ⎅ ⎆ ⎇ ⎈ ⎉ ⎊ ⎋ ⎌ ⎍ ⎎ ⎏ ⎐ ⎑ ⎒ ⎓ ⎔ ⎕ ⎖ ⎗ ⎘ ⎙ ⎚ ⎛ ⎜ ⎝ ⎞ ⎟ ⎠ ⎡ ⎢ ⎣ ⎤ ⎥ ⎦ ⎧ ⎨ ⎩ ⎪ ⎫ ⎬ ⎭ ⎮ ⎯ ⎰ ⎱ ⎲ ⎳ ⎴ ⎵ ⎶ ⎷ ⎸ ⎹ ⎺ ⎻ ⎼ ⎽ ⎾ ⎿ ⏀ ⏁ ⏂ ⏃ ⏄ ⏅ ⏆ ⏇ ⏈ ⏉ ⏊ ⏋ ⏌ ⏍ ⏎ ⏏ ⏐ ⏑ ⏒ ⏓ ⏔ ⏕ ⏖ ⏗ ⏘ ⏙ ⏚ ⏛ ⏜ ⏝ ⏞ ⏟ ⏠ ⏡ ⏢ ⏣ ⏤ ⏥ ⏦ ⏧ ⏨ ⏩ ⏪ ⏫ ⏬ ⏭ ⏮ ⏯ ⏰ ⏱ ⏲ ⏳ ⏴ ⏵ ⏶ ⏷ ⏸ ⏹ ⏺ ⏻ ⏼ ⏽ ⏾ ⏿</t>
        </is>
      </c>
      <c r="U85" s="42" t="inlineStr">
        <is>
          <t>⌀ ⌁ ⌂ ⌃ ⌄ ⌅ ⌆ ⌇ ⌈ ⌉ ⌊ ⌋ ⌌ ⌍ ⌎ ⌏ ⌐ ⌑ ⌒ ⌓ ⌔ ⌕ ⌖ ⌗ ⌘ ⌙ ⌚ ⌛ ⌜ ⌝ ⌞ ⌟ ⌠ ⌡ ⌢ ⌣ ⌤ ⌥ ⌦ ⌧ ⌨ 〈 〉 ⌫ ⌬ ⌭ ⌮ ⌯ ⌰ ⌱ ⌲ ⌳ ⌴ ⌵ ⌶ ⌷ ⌸ ⌹ ⌺ ⌻ ⌼ ⌽ ⌾ ⌿ ⍀ ⍁ ⍂ ⍃ ⍄ ⍅ ⍆ ⍇ ⍈ ⍉ ⍊ ⍋ ⍌ ⍍ ⍎ ⍏ ⍐ ⍑ ⍒ ⍓ ⍔ ⍕ ⍖ ⍗ ⍘ ⍙ ⍚ ⍛ ⍜ ⍝ ⍞ ⍟ ⍠ ⍡ ⍢ ⍣ ⍤ ⍥ ⍦ ⍧ ⍨ ⍩ ⍪ ⍫ ⍬ ⍭ ⍮ ⍯ ⍰ ⍱ ⍲ ⍳ ⍴ ⍵ ⍶ ⍷ ⍸ ⍹ ⍺ ⍻ ⍼ ⍽ ⍾ ⍿ ⎀ ⎁ ⎂ ⎃ ⎄ ⎅ ⎆ ⎇ ⎈ ⎉ ⎊ ⎋ ⎌ ⎍ ⎎ ⎏ ⎐ ⎑ ⎒ ⎓ ⎔ ⎕ ⎖ ⎗ ⎘ ⎙ ⎚ ⎛ ⎜ ⎝ ⎞ ⎟ ⎠ ⎡ ⎢ ⎣ ⎤ ⎥ ⎦ ⎧ ⎨ ⎩ ⎪ ⎫ ⎬ ⎭ ⎮ ⎯ ⎰ ⎱ ⎲ ⎳ ⎴ ⎵ ⎶ ⎷ ⎸ ⎹ ⎺ ⎻ ⎼ ⎽ ⎾ ⎿ ⏀ ⏁ ⏂ ⏃ ⏄ ⏅ ⏆ ⏇ ⏈ ⏉ ⏊ ⏋ ⏌ ⏍ ⏎ ⏏ ⏐ ⏑ ⏒ ⏓ ⏔ ⏕ ⏖ ⏗ ⏘ ⏙ ⏚ ⏛ ⏜ ⏝ ⏞ ⏟ ⏠ ⏡ ⏢ ⏣ ⏤ ⏥ ⏦ ⏧ ⏨ ⏫ ⏩ ⏬ ⏪ ⏭ ⏮ ⏯ ⏰ ⏱ ⏲ ⏳ ⏶ ⏵ ⏷ ⏴ ⏸ ⏹ ⏺ ⏻ ⏼ ⏽ ⏾ ⏿</t>
        </is>
      </c>
      <c r="V85" s="14">
        <f>(LEN(O85)+1)/2</f>
        <v/>
      </c>
      <c r="W85" s="14">
        <f>ROUNDDOWN((LEN(P85)+1)/2,0)</f>
        <v/>
      </c>
      <c r="X85" s="14">
        <f>ROUNDDOWN((LEN(Q85)+1)/2,0)</f>
        <v/>
      </c>
      <c r="Y85" s="14">
        <f>ROUNDDOWN((LEN(R85)+1)/2,0)</f>
        <v/>
      </c>
      <c r="Z85" s="14">
        <f>ROUNDDOWN((LEN(S85)+1)/2,0)</f>
        <v/>
      </c>
      <c r="AA85" s="56" t="n">
        <v>46150.55824762696</v>
      </c>
    </row>
    <row r="86" ht="30" customHeight="1">
      <c r="B86" s="46" t="inlineStr">
        <is>
          <t>U+2400-U+2426</t>
        </is>
      </c>
      <c r="C86" s="46" t="inlineStr">
        <is>
          <t>Control Pictures</t>
        </is>
      </c>
      <c r="D86" s="54">
        <f>HEX2DEC(MID(B86,3,FIND("-",E86)-3))</f>
        <v/>
      </c>
      <c r="E86" s="46" t="inlineStr">
        <is>
          <t>U+2400-U+243F</t>
        </is>
      </c>
      <c r="F86" s="14" t="n">
        <v>3</v>
      </c>
      <c r="G86" s="14" t="n">
        <v>3</v>
      </c>
      <c r="H86" s="14" t="n">
        <v>0</v>
      </c>
      <c r="I86" s="48" t="inlineStr">
        <is>
          <t>n</t>
        </is>
      </c>
      <c r="J86" s="19">
        <f>ROUNDDOWN(W86,0)/$V86</f>
        <v/>
      </c>
      <c r="K86" s="19">
        <f>ROUNDDOWN(X86,0)/$V86</f>
        <v/>
      </c>
      <c r="L86" s="19">
        <f>ROUNDDOWN(Y86,0)/$V86</f>
        <v/>
      </c>
      <c r="M86" s="19">
        <f>ROUNDDOWN(Z86,0)/$V86</f>
        <v/>
      </c>
      <c r="O86" s="36" t="inlineStr">
        <is>
          <t>␀ ␁ ␂ ␃ ␄ ␅ ␆ ␇ ␈ ␉ ␊ ␋ ␌ ␍ ␎ ␏ ␐ ␑ ␒ ␓ ␔ ␕ ␖ ␗ ␘ ␙ ␚ ␛ ␜ ␝ ␞ ␟ ␠ ␡ ␢ ␣ ␤ ␥ ␦</t>
        </is>
      </c>
      <c r="P86" s="37" t="inlineStr">
        <is>
          <t>␀ ␁ ␂ ␃ ␄ ␅ ␆ ␇ ␈ ␉ ␊ ␋ ␌ ␍ ␎ ␏ ␐ ␑ ␒ ␓ ␔ ␕ ␖ ␗ ␘ ␙ ␚ ␛ ␜ ␝ ␞ ␟ ␠ ␡ ␢ ␣ ␤ ␥ ␦</t>
        </is>
      </c>
      <c r="Q86" s="38" t="inlineStr">
        <is>
          <t>␀ ␁ ␂ ␃ ␄ ␅ ␆ ␇ ␈ ␉ ␊ ␋ ␌ ␍ ␎ ␏ ␐ ␑ ␒ ␓ ␔ ␕ ␖ ␗ ␘ ␙ ␚ ␛ ␜ ␝ ␞ ␟ ␠ ␡ ␢ ␣ ␤ ␥ ␦</t>
        </is>
      </c>
      <c r="R86" s="43" t="inlineStr">
        <is>
          <t>␢ ␣ ␥ ␦</t>
        </is>
      </c>
      <c r="S86" s="40" t="n"/>
      <c r="V86" s="14">
        <f>(LEN(O86)+1)/2</f>
        <v/>
      </c>
      <c r="W86" s="14">
        <f>ROUNDDOWN((LEN(P86)+1)/2,0)</f>
        <v/>
      </c>
      <c r="X86" s="14">
        <f>ROUNDDOWN((LEN(Q86)+1)/2,0)</f>
        <v/>
      </c>
      <c r="Y86" s="14">
        <f>ROUNDDOWN((LEN(R86)+1)/2,0)</f>
        <v/>
      </c>
      <c r="Z86" s="14">
        <f>ROUNDDOWN((LEN(S86)+1)/2,0)</f>
        <v/>
      </c>
      <c r="AA86" s="56" t="n">
        <v>46150.55824816711</v>
      </c>
    </row>
    <row r="87" ht="25.5" customHeight="1">
      <c r="A87" s="46" t="inlineStr">
        <is>
          <t>Symbols</t>
        </is>
      </c>
      <c r="B87" s="46" t="inlineStr">
        <is>
          <t>U+2440-U+244A</t>
        </is>
      </c>
      <c r="C87" s="46" t="inlineStr">
        <is>
          <t>Optical Character Recognition</t>
        </is>
      </c>
      <c r="D87" s="54">
        <f>HEX2DEC(MID(B87,3,FIND("-",E87)-3))</f>
        <v/>
      </c>
      <c r="E87" s="46" t="inlineStr">
        <is>
          <t>U+2440-U+245F</t>
        </is>
      </c>
      <c r="F87" s="14" t="n">
        <v>3</v>
      </c>
      <c r="G87" s="14" t="n">
        <v>3</v>
      </c>
      <c r="H87" s="14" t="n">
        <v>4</v>
      </c>
      <c r="I87" s="48" t="inlineStr">
        <is>
          <t>y</t>
        </is>
      </c>
      <c r="J87" s="19">
        <f>ROUNDDOWN(W87,0)/$V87</f>
        <v/>
      </c>
      <c r="K87" s="19">
        <f>ROUNDDOWN(X87,0)/$V87</f>
        <v/>
      </c>
      <c r="L87" s="19">
        <f>ROUNDDOWN(Y87,0)/$V87</f>
        <v/>
      </c>
      <c r="M87" s="19">
        <f>ROUNDDOWN(Z87,0)/$V87</f>
        <v/>
      </c>
      <c r="O87" s="36" t="inlineStr">
        <is>
          <t>⑀ ⑁ ⑂ ⑃ ⑄ ⑅ ⑆ ⑇ ⑈ ⑉ ⑊</t>
        </is>
      </c>
      <c r="P87" s="37" t="inlineStr">
        <is>
          <t>⑀ ⑁ ⑂ ⑃ ⑄ ⑅ ⑆ ⑇ ⑈ ⑉ ⑊</t>
        </is>
      </c>
      <c r="Q87" s="38" t="inlineStr">
        <is>
          <t>⑀ ⑁ ⑂ ⑃ ⑄ ⑅ ⑆ ⑇ ⑈ ⑊</t>
        </is>
      </c>
      <c r="R87" s="39" t="inlineStr">
        <is>
          <t>⑀ ⑁ ⑂ ⑃ ⑄ ⑅ ⑊</t>
        </is>
      </c>
      <c r="S87" s="40" t="n"/>
      <c r="T87" s="41" t="inlineStr">
        <is>
          <t>⑀ ⑁ ⑂ ⑃ ⑄ ⑅ ⑆ ⑇ ⑈ ⑉ ⑊</t>
        </is>
      </c>
      <c r="U87" s="42" t="inlineStr">
        <is>
          <t>⑀ ⑁ ⑂ ⑃ ⑄ ⑅ ⑆ ⑇ ⑈ ⑉ ⑊</t>
        </is>
      </c>
      <c r="V87" s="14">
        <f>(LEN(O87)+1)/2</f>
        <v/>
      </c>
      <c r="W87" s="14">
        <f>ROUNDDOWN((LEN(P87)+1)/2,0)</f>
        <v/>
      </c>
      <c r="X87" s="14">
        <f>ROUNDDOWN((LEN(Q87)+1)/2,0)</f>
        <v/>
      </c>
      <c r="Y87" s="14">
        <f>ROUNDDOWN((LEN(R87)+1)/2,0)</f>
        <v/>
      </c>
      <c r="Z87" s="14">
        <f>ROUNDDOWN((LEN(S87)+1)/2,0)</f>
        <v/>
      </c>
      <c r="AA87" s="56" t="n">
        <v>46150.55824841298</v>
      </c>
    </row>
    <row r="88" ht="105" customHeight="1">
      <c r="A88" s="46" t="inlineStr">
        <is>
          <t>Numbers</t>
        </is>
      </c>
      <c r="B88" s="46" t="inlineStr">
        <is>
          <t>U+2460-U+24FF</t>
        </is>
      </c>
      <c r="C88" s="15" t="inlineStr">
        <is>
          <t>Enclosed Alphanumerics</t>
        </is>
      </c>
      <c r="D88" s="54">
        <f>HEX2DEC(MID(B88,3,FIND("-",E88)-3))</f>
        <v/>
      </c>
      <c r="E88" s="46" t="inlineStr">
        <is>
          <t>U+2460-U+24FF</t>
        </is>
      </c>
      <c r="F88" s="14" t="n">
        <v>3</v>
      </c>
      <c r="G88" s="14" t="n">
        <v>3</v>
      </c>
      <c r="H88" s="14" t="n">
        <v>0</v>
      </c>
      <c r="I88" s="48" t="inlineStr">
        <is>
          <t>n</t>
        </is>
      </c>
      <c r="J88" s="19">
        <f>ROUNDDOWN(W88,0)/$V88</f>
        <v/>
      </c>
      <c r="K88" s="19">
        <f>ROUNDDOWN(X88,0)/$V88</f>
        <v/>
      </c>
      <c r="L88" s="19">
        <f>ROUNDDOWN(Y88,0)/$V88</f>
        <v/>
      </c>
      <c r="M88" s="19">
        <f>ROUNDDOWN(Z88,0)/$V88</f>
        <v/>
      </c>
      <c r="O88" s="36" t="inlineStr">
        <is>
          <t>① ② ③ ④ ⑤ ⑥ ⑦ ⑧ ⑨ ⑩ ⑪ ⑫ ⑬ ⑭ ⑮ ⑯ ⑰ ⑱ ⑲ ⑳ ⑴ ⑵ ⑶ ⑷ ⑸ ⑹ ⑺ ⑻ ⑼ ⑽ ⑾ ⑿ ⒀ ⒁ ⒂ ⒃ ⒄ ⒅ ⒆ ⒇ ⒈ ⒉ ⒊ ⒋ ⒌ ⒍ ⒎ ⒏ ⒐ ⒑ ⒒ ⒓ ⒔ ⒕ ⒖ ⒗ ⒘ ⒙ ⒚ ⒛ ⒜ ⒝ ⒞ ⒟ ⒠ ⒡ ⒢ ⒣ ⒤ ⒥ ⒦ ⒧ ⒨ ⒩ ⒪ ⒫ ⒬ ⒭ ⒮ ⒯ ⒰ ⒱ ⒲ ⒳ ⒴ ⒵ Ⓐ Ⓑ Ⓒ Ⓓ Ⓔ Ⓕ Ⓖ Ⓗ Ⓘ Ⓙ Ⓚ Ⓛ Ⓜ Ⓝ Ⓞ Ⓟ Ⓠ Ⓡ Ⓢ Ⓣ Ⓤ Ⓥ Ⓦ Ⓧ Ⓨ Ⓩ ⓐ ⓑ ⓒ ⓓ ⓔ ⓕ ⓖ ⓗ ⓘ ⓙ ⓚ ⓛ ⓜ ⓝ ⓞ ⓟ ⓠ ⓡ ⓢ ⓣ ⓤ ⓥ ⓦ ⓧ ⓨ ⓩ ⓪ ⓫ ⓬ ⓭ ⓮ ⓯ ⓰ ⓱ ⓲ ⓳ ⓴ ⓵ ⓶ ⓷ ⓸ ⓹ ⓺ ⓻ ⓼ ⓽ ⓾ ⓿</t>
        </is>
      </c>
      <c r="P88" s="37" t="inlineStr">
        <is>
          <t>① ② ③ ④ ⑤ ⑥ ⑦ ⑧ ⑨ ⑩ ⑪ ⑫ ⑬ ⑭ ⑮ ⑯ ⑰ ⑱ ⑲ ⑳ ⑴ ⑵ ⑶ ⑷ ⑸ ⑹ ⑺ ⑻ ⑼ ⑽ ⑾ ⑿ ⒀ ⒁ ⒂ ⒃ ⒄ ⒅ ⒆ ⒇ ⒈ ⒉ ⒊ ⒋ ⒌ ⒍ ⒎ ⒏ ⒐ ⒑ ⒒ ⒓ ⒔ ⒕ ⒖ ⒗ ⒘ ⒙ ⒚ ⒛ ⒜ ⒝ ⒞ ⒟ ⒠ ⒡ ⒢ ⒣ ⒤ ⒥ ⒦ ⒧ ⒨ ⒩ ⒪ ⒫ ⒬ ⒭ ⒮ ⒯ ⒰ ⒱ ⒲ ⒳ ⒴ ⒵ Ⓐ Ⓑ Ⓒ Ⓓ Ⓔ Ⓕ Ⓖ Ⓗ Ⓘ Ⓙ Ⓚ Ⓛ Ⓜ Ⓝ Ⓞ Ⓟ Ⓠ Ⓡ Ⓢ Ⓣ Ⓤ Ⓥ Ⓦ Ⓧ Ⓨ Ⓩ ⓐ ⓑ ⓒ ⓓ ⓔ ⓕ ⓖ ⓗ ⓘ ⓙ ⓚ ⓛ ⓜ ⓝ ⓞ ⓟ ⓠ ⓡ ⓢ ⓣ ⓤ ⓥ ⓦ ⓧ ⓨ ⓩ ⓪ ⓫ ⓬ ⓭ ⓮ ⓯ ⓰ ⓱ ⓲ ⓳ ⓴ ⓵ ⓶ ⓷ ⓸ ⓹ ⓺ ⓻ ⓼ ⓽ ⓾ ⓿</t>
        </is>
      </c>
      <c r="Q88" s="38" t="inlineStr"/>
      <c r="R88" s="43" t="inlineStr"/>
      <c r="S88" s="40" t="n"/>
      <c r="T88" s="41" t="inlineStr">
        <is>
          <t>① ② ③ ④ ⑤ ⑥ ⑦ ⑧ ⑨ ⑩ ⑪ ⑫ ⑬ ⑭ ⑮ ⑯ ⑰ ⑱ ⑲ ⑳ ⑴ ⑵ ⑶ ⑷ ⑸ ⑹ ⑺ ⑻ ⑼ ⑽ ⑾ ⑿ ⒀ ⒁ ⒂ ⒃ ⒄ ⒅ ⒆ ⒇ ⒈ ⒉ ⒊ ⒋ ⒌ ⒍ ⒎ ⒏ ⒐ ⒑ ⒒ ⒓ ⒔ ⒕ ⒖ ⒗ ⒘ ⒙ ⒚ ⒛ ⒜ ⒝ ⒞ ⒟ ⒠ ⒡ ⒢ ⒣ ⒤ ⒥ ⒦ ⒧ ⒨ ⒩ ⒪ ⒫ ⒬ ⒭ ⒮ ⒯ ⒰ ⒱ ⒲ ⒳ ⒴ ⒵ Ⓐ Ⓑ Ⓒ Ⓓ Ⓔ Ⓕ Ⓖ Ⓗ Ⓘ Ⓙ Ⓚ Ⓛ Ⓜ Ⓝ Ⓞ Ⓟ Ⓠ Ⓡ Ⓢ Ⓣ Ⓤ Ⓥ Ⓦ Ⓧ Ⓨ Ⓩ ⓐ ⓑ ⓒ ⓓ ⓔ ⓕ ⓖ ⓗ ⓘ ⓙ ⓚ ⓛ ⓜ ⓝ ⓞ ⓟ ⓠ ⓡ ⓢ ⓣ ⓤ ⓥ ⓦ ⓧ ⓨ ⓩ ⓪ ⓫ ⓬ ⓭ ⓮ ⓯ ⓰ ⓱ ⓲ ⓳ ⓴ ⓵ ⓶ ⓷ ⓸ ⓹ ⓺ ⓻ ⓼ ⓽ ⓾ ⓿</t>
        </is>
      </c>
      <c r="U88" s="42" t="inlineStr">
        <is>
          <t>① ② ③ ④ ⑤ ⑥ ⑦ ⑧ ⑨ ⑩ ⑪ ⑫ ⑬ ⑭ ⑮ ⑯ ⑰ ⑱ ⑲ ⑳ ⓪ Ⓐ Ⓑ Ⓒ Ⓓ Ⓔ Ⓕ Ⓖ Ⓗ Ⓘ Ⓙ Ⓚ Ⓛ Ⓜ Ⓝ Ⓞ Ⓟ Ⓠ Ⓡ Ⓢ Ⓣ Ⓤ Ⓥ Ⓦ Ⓧ Ⓨ Ⓩ ⓐ ⓑ ⓒ ⓓ ⓔ ⓕ ⓖ ⓗ ⓘ ⓙ ⓚ ⓛ ⓜ ⓝ ⓞ ⓟ ⓠ ⓡ ⓢ ⓣ ⓤ ⓥ ⓦ ⓧ ⓨ ⓩ ⓫ ⓬ ⓭ ⓮ ⓯ ⓰ ⓱ ⓲ ⓳ ⓴ ⓿ ⓵ ⓶ ⓷ ⓸ ⓹ ⓺ ⓻ ⓼ ⓽ ⓾ ⑴ ⑵ ⑶ ⑷ ⑸ ⑹ ⑺ ⑻ ⑼ ⑽ ⑾ ⑿ ⒀ ⒁ ⒂ ⒃ ⒄ ⒅ ⒆ ⒇ ⒜ ⒝ ⒞ ⒟ ⒠ ⒡ ⒢ ⒣ ⒤ ⒥ ⒦ ⒧ ⒨ ⒩ ⒪ ⒫ ⒬ ⒭ ⒮ ⒯ ⒰ ⒱ ⒲ ⒳ ⒴ ⒵ ⒈ ⒉ ⒊ ⒋ ⒌ ⒍ ⒎ ⒏ ⒐ ⒑ ⒒ ⒓ ⒔ ⒕ ⒖ ⒗ ⒘ ⒙ ⒚ ⒛</t>
        </is>
      </c>
      <c r="V88" s="14">
        <f>(LEN(O88)+1)/2</f>
        <v/>
      </c>
      <c r="W88" s="14">
        <f>ROUNDDOWN((LEN(P88)+1)/2,0)</f>
        <v/>
      </c>
      <c r="X88" s="14">
        <f>ROUNDDOWN((LEN(Q88)+1)/2,0)</f>
        <v/>
      </c>
      <c r="Y88" s="14">
        <f>ROUNDDOWN((LEN(R88)+1)/2,0)</f>
        <v/>
      </c>
      <c r="Z88" s="14">
        <f>ROUNDDOWN((LEN(S88)+1)/2,0)</f>
        <v/>
      </c>
      <c r="AA88" s="56" t="n">
        <v>46150.55824841632</v>
      </c>
    </row>
    <row r="89" ht="60" customHeight="1">
      <c r="A89" s="46" t="inlineStr">
        <is>
          <t>Drawing</t>
        </is>
      </c>
      <c r="B89" s="46" t="inlineStr">
        <is>
          <t>U+2500-U+257F</t>
        </is>
      </c>
      <c r="C89" s="15" t="inlineStr">
        <is>
          <t>Box Drawing</t>
        </is>
      </c>
      <c r="D89" s="54">
        <f>HEX2DEC(MID(B89,3,FIND("-",E89)-3))</f>
        <v/>
      </c>
      <c r="E89" s="46" t="inlineStr">
        <is>
          <t>U+2500-U+257F</t>
        </is>
      </c>
      <c r="F89" s="14" t="n">
        <v>3</v>
      </c>
      <c r="G89" s="14" t="n">
        <v>3</v>
      </c>
      <c r="H89" s="14" t="n">
        <v>0</v>
      </c>
      <c r="I89" s="48" t="inlineStr">
        <is>
          <t>n</t>
        </is>
      </c>
      <c r="J89" s="19">
        <f>ROUNDDOWN(W89,0)/$V89</f>
        <v/>
      </c>
      <c r="K89" s="19">
        <f>ROUNDDOWN(X89,0)/$V89</f>
        <v/>
      </c>
      <c r="L89" s="19">
        <f>ROUNDDOWN(Y89,0)/$V89</f>
        <v/>
      </c>
      <c r="M89" s="19">
        <f>ROUNDDOWN(Z89,0)/$V89</f>
        <v/>
      </c>
      <c r="O89" s="36" t="inlineStr">
        <is>
          <t>─ ━ │ ┃ ┄ ┅ ┆ ┇ ┈ ┉ ┊ ┋ ┌ ┍ ┎ ┏ ┐ ┑ ┒ ┓ └ ┕ ┖ ┗ ┘ ┙ ┚ ┛ ├ ┝ ┞ ┟ ┠ ┡ ┢ ┣ ┤ ┥ ┦ ┧ ┨ ┩ ┪ ┫ ┬ ┭ ┮ ┯ ┰ ┱ ┲ ┳ ┴ ┵ ┶ ┷ ┸ ┹ ┺ ┻ ┼ ┽ ┾ ┿ ╀ ╁ ╂ ╃ ╄ ╅ ╆ ╇ ╈ ╉ ╊ ╋ ╌ ╍ ╎ ╏ ═ ║ ╒ ╓ ╔ ╕ ╖ ╗ ╘ ╙ ╚ ╛ ╜ ╝ ╞ ╟ ╠ ╡ ╢ ╣ ╤ ╥ ╦ ╧ ╨ ╩ ╪ ╫ ╬ ╭ ╮ ╯ ╰ ╱ ╲ ╳ ╴ ╵ ╶ ╷ ╸ ╹ ╺ ╻ ╼ ╽ ╾ ╿</t>
        </is>
      </c>
      <c r="P89" s="37" t="inlineStr">
        <is>
          <t>─ ━ │ ┃ ┄ ┅ ┆ ┇ ┈ ┉ ┊ ┋ ┌ ┍ ┎ ┏ ┐ ┑ ┒ ┓ └ ┕ ┖ ┗ ┘ ┙ ┚ ┛ ├ ┝ ┞ ┟ ┠ ┡ ┢ ┣ ┤ ┥ ┦ ┧ ┨ ┩ ┪ ┫ ┬ ┭ ┮ ┯ ┰ ┱ ┲ ┳ ┴ ┵ ┶ ┷ ┸ ┹ ┺ ┻ ┼ ┽ ┾ ┿ ╀ ╁ ╂ ╃ ╄ ╅ ╆ ╇ ╈ ╉ ╊ ╋ ╌ ╍ ╎ ╏ ═ ║ ╒ ╓ ╔ ╕ ╖ ╗ ╘ ╙ ╚ ╛ ╜ ╝ ╞ ╟ ╠ ╡ ╢ ╣ ╤ ╥ ╦ ╧ ╨ ╩ ╪ ╫ ╬ ╭ ╮ ╯ ╰ ╱ ╲ ╳ ╴ ╵ ╶ ╷ ╸ ╹ ╺ ╻ ╼ ╽ ╾ ╿</t>
        </is>
      </c>
      <c r="Q89" s="38" t="inlineStr"/>
      <c r="R89" t="inlineStr"/>
      <c r="S89" s="40" t="n"/>
      <c r="T89" s="41" t="inlineStr">
        <is>
          <t>─ ━ │ ┃ ┄ ┅ ┆ ┇ ┈ ┉ ┊ ┋ ┌ ┍ ┎ ┏ ┐ ┑ ┒ ┓ └ ┕ ┖ ┗ ┘ ┙ ┚ ┛ ├ ┝ ┞ ┟ ┠ ┡ ┢ ┣ ┤ ┥ ┦ ┧ ┨ ┩ ┪ ┫ ┬ ┭ ┮ ┯ ┰ ┱ ┲ ┳ ┴ ┵ ┶ ┷ ┸ ┹ ┺ ┻ ┼ ┽ ┾ ┿ ╀ ╁ ╂ ╃ ╄ ╅ ╆ ╇ ╈ ╉ ╊ ╋ ╌ ╍ ╎ ╏ ═ ║ ╒ ╓ ╔ ╕ ╖ ╗ ╘ ╙ ╚ ╛ ╜ ╝ ╞ ╟ ╠ ╡ ╢ ╣ ╤ ╥ ╦ ╧ ╨ ╩ ╪ ╫ ╬ ╭ ╮ ╯ ╰ ╱ ╲ ╳ ╴ ╵ ╶ ╷ ╸ ╹ ╺ ╻ ╼ ╽ ╾ ╿</t>
        </is>
      </c>
      <c r="U89" s="42" t="inlineStr">
        <is>
          <t>─ ━ │ ┃ ┄ ┅ ┆ ┇ ┈ ┉ ┊ ┋ ┌ ┍ ┎ ┏ ┐ ┑ ┒ ┓ └ ┕ ┖ ┗ ┘ ┙ ┚ ┛ ├ ┝ ┞ ┟ ┠ ┡ ┢ ┣ ┤ ┥ ┦ ┧ ┨ ┩ ┪ ┫ ┬ ┭ ┮ ┯ ┰ ┱ ┲ ┳ ┴ ┵ ┶ ┷ ┸ ┹ ┺ ┻ ┼ ┽ ┾ ┿ ╀ ╁ ╂ ╃ ╄ ╅ ╆ ╇ ╈ ╉ ╊ ╋ ╌ ╍ ╎ ╏ ═ ║ ╒ ╓ ╔ ╕ ╖ ╗ ╘ ╙ ╚ ╛ ╜ ╝ ╞ ╟ ╠ ╡ ╢ ╣ ╤ ╥ ╦ ╧ ╨ ╩ ╪ ╫ ╬ ╭ ╮ ╯ ╰ ╱ ╲ ╳ ╴ ╵ ╶ ╷ ╸ ╹ ╺ ╻ ╼ ╽ ╾ ╿</t>
        </is>
      </c>
      <c r="V89" s="14">
        <f>(LEN(O89)+1)/2</f>
        <v/>
      </c>
      <c r="W89" s="14">
        <f>ROUNDDOWN((LEN(P89)+1)/2,0)</f>
        <v/>
      </c>
      <c r="X89" s="14">
        <f>ROUNDDOWN((LEN(Q89)+1)/2,0)</f>
        <v/>
      </c>
      <c r="Y89" s="14">
        <f>ROUNDDOWN((LEN(R89)+1)/2,0)</f>
        <v/>
      </c>
      <c r="Z89" s="14">
        <f>ROUNDDOWN((LEN(S89)+1)/2,0)</f>
        <v/>
      </c>
      <c r="AA89" s="56" t="n">
        <v>46150.55824843124</v>
      </c>
    </row>
    <row r="90" ht="25.5" customHeight="1">
      <c r="A90" s="46" t="inlineStr">
        <is>
          <t>Drawing</t>
        </is>
      </c>
      <c r="B90" s="46" t="inlineStr">
        <is>
          <t>U+2580-U+259F</t>
        </is>
      </c>
      <c r="C90" s="15" t="inlineStr">
        <is>
          <t>Block Elements</t>
        </is>
      </c>
      <c r="D90" s="54">
        <f>HEX2DEC(MID(B90,3,FIND("-",E90)-3))</f>
        <v/>
      </c>
      <c r="E90" s="46" t="inlineStr">
        <is>
          <t>U+2580-U+259F</t>
        </is>
      </c>
      <c r="F90" s="14" t="n">
        <v>3</v>
      </c>
      <c r="G90" s="14" t="n">
        <v>3</v>
      </c>
      <c r="H90" s="14" t="n">
        <v>0</v>
      </c>
      <c r="I90" s="48" t="inlineStr">
        <is>
          <t>n</t>
        </is>
      </c>
      <c r="J90" s="19">
        <f>ROUNDDOWN(W90,0)/$V90</f>
        <v/>
      </c>
      <c r="K90" s="19">
        <f>ROUNDDOWN(X90,0)/$V90</f>
        <v/>
      </c>
      <c r="L90" s="19">
        <f>ROUNDDOWN(Y90,0)/$V90</f>
        <v/>
      </c>
      <c r="M90" s="19">
        <f>ROUNDDOWN(Z90,0)/$V90</f>
        <v/>
      </c>
      <c r="O90" s="36" t="inlineStr">
        <is>
          <t>▀ ▁ ▂ ▃ ▄ ▅ ▆ ▇ █ ▉ ▊ ▋ ▌ ▍ ▎ ▏ ▐ ░ ▒ ▓ ▔ ▕ ▖ ▗ ▘ ▙ ▚ ▛ ▜ ▝ ▞ ▟</t>
        </is>
      </c>
      <c r="P90" s="37" t="inlineStr">
        <is>
          <t>▀ ▁ ▂ ▃ ▄ ▅ ▆ ▇ █ ▉ ▊ ▋ ▌ ▍ ▎ ▏ ▐ ░ ▒ ▓ ▔ ▕ ▖ ▗ ▘ ▙ ▚ ▛ ▜ ▝ ▞ ▟</t>
        </is>
      </c>
      <c r="Q90" s="38" t="inlineStr"/>
      <c r="R90" t="inlineStr"/>
      <c r="S90" s="40" t="n"/>
      <c r="T90" s="41" t="inlineStr">
        <is>
          <t>▀ ▁ ▂ ▃ ▄ ▅ ▆ ▇ █ ▉ ▊ ▋ ▌ ▍ ▎ ▏ ▐ ░ ▒ ▓ ▔ ▕ ▖ ▗ ▘ ▙ ▚ ▛ ▜ ▝ ▞ ▟</t>
        </is>
      </c>
      <c r="U90" s="42" t="inlineStr">
        <is>
          <t>▁ ▂ ▃ ▅ ▆ ▇ █ ▉ ▊ ▋ ▍ ▎ ▏ ▔ ▕ ▀ ▄ ▌ ▐ ▖ ▗ ▘ ▙ ▚ ▛ ▜ ▝ ▞ ▟ ░ ▒ ▓</t>
        </is>
      </c>
      <c r="V90" s="14">
        <f>(LEN(O90)+1)/2</f>
        <v/>
      </c>
      <c r="W90" s="14">
        <f>ROUNDDOWN((LEN(P90)+1)/2,0)</f>
        <v/>
      </c>
      <c r="X90" s="14">
        <f>ROUNDDOWN((LEN(Q90)+1)/2,0)</f>
        <v/>
      </c>
      <c r="Y90" s="14">
        <f>ROUNDDOWN((LEN(R90)+1)/2,0)</f>
        <v/>
      </c>
      <c r="Z90" s="14">
        <f>ROUNDDOWN((LEN(S90)+1)/2,0)</f>
        <v/>
      </c>
      <c r="AA90" s="56" t="n">
        <v>46150.55824843461</v>
      </c>
    </row>
    <row r="91" ht="66" customHeight="1">
      <c r="A91" s="46" t="inlineStr">
        <is>
          <t>Symbols</t>
        </is>
      </c>
      <c r="B91" s="46" t="inlineStr">
        <is>
          <t>U+25A0-U+25FF</t>
        </is>
      </c>
      <c r="C91" s="15" t="inlineStr">
        <is>
          <t>Geometric Shapes</t>
        </is>
      </c>
      <c r="D91" s="54">
        <f>HEX2DEC(MID(B91,3,FIND("-",E91)-3))</f>
        <v/>
      </c>
      <c r="E91" s="46" t="inlineStr">
        <is>
          <t>U+25A0-U+25FF</t>
        </is>
      </c>
      <c r="F91" s="14" t="n">
        <v>3</v>
      </c>
      <c r="G91" s="14" t="n">
        <v>3</v>
      </c>
      <c r="H91" s="14" t="n">
        <v>4</v>
      </c>
      <c r="I91" s="48" t="inlineStr">
        <is>
          <t>y</t>
        </is>
      </c>
      <c r="J91" s="19">
        <f>ROUNDDOWN(W91,0)/$V91</f>
        <v/>
      </c>
      <c r="K91" s="19">
        <f>ROUNDDOWN(X91,0)/$V91</f>
        <v/>
      </c>
      <c r="L91" s="19">
        <f>ROUNDDOWN(Y91,0)/$V91</f>
        <v/>
      </c>
      <c r="M91" s="19">
        <f>ROUNDDOWN(Z91,0)/$V91</f>
        <v/>
      </c>
      <c r="O91" s="36" t="inlineStr">
        <is>
          <t>■ □ ▢ ▣ ▤ ▥ ▦ ▧ ▨ ▩ ▪ ▫ ▬ ▭ ▮ ▯ ▰ ▱ ▲ △ ▴ ▵ ▶ ▷ ▸ ▹ ► ▻ ▼ ▽ ▾ ▿ ◀ ◁ ◂ ◃ ◄ ◅ ◆ ◇ ◈ ◉ ◊ ○ ◌ ◍ ◎ ● ◐ ◑ ◒ ◓ ◔ ◕ ◖ ◗ ◘ ◙ ◚ ◛ ◜ ◝ ◞ ◟ ◠ ◡ ◢ ◣ ◤ ◥ ◦ ◧ ◨ ◩ ◪ ◫ ◬ ◭ ◮ ◯ ◰ ◱ ◲ ◳ ◴ ◵ ◶ ◷ ◸ ◹ ◺ ◻ ◼ ◽ ◾ ◿</t>
        </is>
      </c>
      <c r="P91" s="37" t="inlineStr">
        <is>
          <t>■ □ ▢ ▣ ▤ ▥ ▦ ▧ ▨ ▩ ▪ ▫ ▬ ▭ ▮ ▯ ▰ ▱ ▲ △ ▴ ▵ ▶ ▷ ▸ ▹ ► ▻ ▼ ▽ ▾ ▿ ◀ ◁ ◂ ◃ ◄ ◅ ◆ ◇ ◈ ◉ ◊ ○ ◌ ◍ ◎ ● ◐ ◑ ◒ ◓ ◔ ◕ ◖ ◗ ◘ ◙ ◚ ◛ ◜ ◝ ◞ ◟ ◠ ◡ ◢ ◣ ◤ ◥ ◦ ◧ ◨ ◩ ◪ ◫ ◬ ◭ ◮ ◯ ◰ ◱ ◲ ◳ ◴ ◵ ◶ ◷ ◸ ◹ ◺ ◻ ◼ ◽ ◾ ◿</t>
        </is>
      </c>
      <c r="Q91" s="38" t="inlineStr">
        <is>
          <t>■ ▬ ▮ ▰ ▲ ▴ ▶ ▸ ► ▼ ▾ ◀ ◂ ◄ ◆ ◈ ◉ ◊ ○ ◌ ◎ ● ◖ ◙ ◚ ◠ ◢ ◯ ◽ ◾</t>
        </is>
      </c>
      <c r="R91" s="39" t="inlineStr">
        <is>
          <t>■ ▬ ▮ ▰ ▲ ▴ ▶ ▸ ► ▼ ▾ ◀ ◂ ◄ ◆ ◈ ◉ ◊ ○ ◎ ● ◖ ◙ ◚ ◠ ◢ ◯ ◽ ◾</t>
        </is>
      </c>
      <c r="S91" s="40" t="n"/>
      <c r="T91" s="41" t="inlineStr">
        <is>
          <t>■ □ ▢ ▣ ▤ ▥ ▦ ▧ ▨ ▩ ▪ ▫ ▬ ▭ ▮ ▯ ▰ ▱ ▲ △ ▴ ▵ ▶ ▷ ▸ ▹ ► ▻ ▼ ▽ ▾ ▿ ◀ ◁ ◂ ◃ ◄ ◅ ◆ ◇ ◈ ◉ ◊ ○ ◌ ◍ ◎ ● ◐ ◑ ◒ ◓ ◔ ◕ ◖ ◗ ◘ ◙ ◚ ◛ ◜ ◝ ◞ ◟ ◠ ◡ ◢ ◣ ◤ ◥ ◦ ◧ ◨ ◩ ◪ ◫ ◬ ◭ ◮ ◯ ◰ ◱ ◲ ◳ ◴ ◵ ◶ ◷ ◸ ◹ ◺ ◻ ◼ ◽ ◾ ◿</t>
        </is>
      </c>
      <c r="U91" s="42" t="inlineStr">
        <is>
          <t>○ ◙ ◷ ◶ ◵ ◴ ◌ ◠ ◡ ◯ ◍ ◗ ◖ ◚ ◛ ◓ ◑ ◒ ◐ ● ◕ ◔ △ ▷ ▽ ◁ ▵ ▹ ▿ ◃ ◬ ◹ ◿ ◺ ◸ ◭ ◮ ◥ ◢ ◣ ◤ ▲ ▶ ▼ ◀ ▴ ▸ ▾ ◂ □ ◻ ◽ ▫ ◳ ◲ ◱ ◰ ▢ ◫ ▣ ▩ ▤ ▨ ▧ ▦ ▥ ◪ ◩ ◨ ◧ ■ ◼ ◾ ▪ ▭ ▯ ▬ ▮ ▱ ▰ ◇ ◈ ◆ ◊ ◦ ▻ ◅ ◎ ◉ ◘ ◝ ◞ ◟ ◜ ► ◄</t>
        </is>
      </c>
      <c r="V91" s="14">
        <f>(LEN(O91)+1)/2</f>
        <v/>
      </c>
      <c r="W91" s="14">
        <f>ROUNDDOWN((LEN(P91)+1)/2,0)</f>
        <v/>
      </c>
      <c r="X91" s="14">
        <f>ROUNDDOWN((LEN(Q91)+1)/2,0)</f>
        <v/>
      </c>
      <c r="Y91" s="14">
        <f>ROUNDDOWN((LEN(R91)+1)/2,0)</f>
        <v/>
      </c>
      <c r="Z91" s="14">
        <f>ROUNDDOWN((LEN(S91)+1)/2,0)</f>
        <v/>
      </c>
      <c r="AA91" s="56" t="n">
        <v>46150.55824906533</v>
      </c>
    </row>
    <row r="92" ht="150" customHeight="1">
      <c r="A92" s="46" t="inlineStr">
        <is>
          <t>Symbols</t>
        </is>
      </c>
      <c r="B92" s="46" t="inlineStr">
        <is>
          <t>U+2600-U+26FF</t>
        </is>
      </c>
      <c r="C92" s="15" t="inlineStr">
        <is>
          <t>Miscellaneous Symbols</t>
        </is>
      </c>
      <c r="D92" s="54">
        <f>HEX2DEC(MID(B92,3,FIND("-",E92)-3))</f>
        <v/>
      </c>
      <c r="E92" s="46" t="inlineStr">
        <is>
          <t>U+2600-U+26FF</t>
        </is>
      </c>
      <c r="F92" s="14" t="n">
        <v>3</v>
      </c>
      <c r="G92" s="14" t="n">
        <v>3</v>
      </c>
      <c r="H92" s="14" t="n">
        <v>0</v>
      </c>
      <c r="I92" s="48" t="inlineStr">
        <is>
          <t>n</t>
        </is>
      </c>
      <c r="J92" s="19">
        <f>ROUNDDOWN(W92,0)/$V92</f>
        <v/>
      </c>
      <c r="K92" s="19">
        <f>ROUNDDOWN(X92,0)/$V92</f>
        <v/>
      </c>
      <c r="L92" s="19">
        <f>ROUNDDOWN(Y92,0)/$V92</f>
        <v/>
      </c>
      <c r="M92" s="19">
        <f>ROUNDDOWN(Z92,0)/$V92</f>
        <v/>
      </c>
      <c r="N92" s="35" t="inlineStr">
        <is>
          <t>Double-height and width, needs serious pruning. All could be graphical.</t>
        </is>
      </c>
      <c r="O92" s="36" t="inlineStr">
        <is>
          <t>☀ ☁ ☂ ☃ ☄ ★ ☆ ☇ ☈ ☉ ☊ ☋ ☌ ☍ ☎ ☏ ☐ ☑ ☒ ☓ ☔ ☕ ☖ ☗ ☘ ☙ ☚ ☛ ☜ ☝ ☞ ☟ ☠ ☡ ☢ ☣ ☤ ☥ ☦ ☧ ☨ ☩ ☪ ☫ ☬ ☭ ☮ ☯ ☰ ☱ ☲ ☳ ☴ ☵ ☶ ☷ ☸ ☹ ☺ ☻ ☼ ☽ ☾ ☿ ♀ ♁ ♂ ♃ ♄ ♅ ♆ ♇ ♈ ♉ ♊ ♋ ♌ ♍ ♎ ♏ ♐ ♑ ♒ ♓ ♔ ♕ ♖ ♗ ♘ ♙ ♚ ♛ ♜ ♝ ♞ ♟ ♠ ♡ ♢ ♣ ♤ ♥ ♦ ♧ ♨ ♩ ♪ ♫ ♬ ♭ ♮ ♯ ♰ ♱ ♲ ♳ ♴ ♵ ♶ ♷ ♸ ♹ ♺ ♻ ♼ ♽ ♾ ♿ ⚀ ⚁ ⚂ ⚃ ⚄ ⚅ ⚆ ⚇ ⚈ ⚉ ⚊ ⚋ ⚌ ⚍ ⚎ ⚏ ⚐ ⚑ ⚒ ⚓ ⚔ ⚕ ⚖ ⚗ ⚘ ⚙ ⚚ ⚛ ⚜ ⚝ ⚞ ⚟ ⚠ ⚡ ⚢ ⚣ ⚤ ⚥ ⚦ ⚧ ⚨ ⚩ ⚪ ⚫ ⚬ ⚭ ⚮ ⚯ ⚰ ⚱ ⚲ ⚳ ⚴ ⚵ ⚶ ⚷ ⚸ ⚹ ⚺ ⚻ ⚼ ⚽ ⚾ ⚿ ⛀ ⛁ ⛂ ⛃ ⛄ ⛅ ⛆ ⛇ ⛈ ⛉ ⛊ ⛋ ⛌ ⛍ ⛎ ⛏ ⛐ ⛑ ⛒ ⛓ ⛔ ⛕ ⛖ ⛗ ⛘ ⛙ ⛚ ⛛ ⛜ ⛝ ⛞ ⛟ ⛠ ⛡ ⛢ ⛣ ⛤ ⛥ ⛦ ⛧ ⛨ ⛩ ⛪ ⛫ ⛬ ⛭ ⛮ ⛯ ⛰ ⛱ ⛲ ⛳ ⛴ ⛵ ⛶ ⛷ ⛸ ⛹ ⛺ ⛻ ⛼ ⛽ ⛾ ⛿</t>
        </is>
      </c>
      <c r="P92" s="37" t="inlineStr">
        <is>
          <t>☀ ☁ ☂ ☃ ☄ ★ ☆ ☇ ☈ ☉ ☊ ☋ ☌ ☍ ☎ ☏ ☐ ☑ ☒ ☓ ☔ ☕ ☖ ☗ ☘ ☙ ☚ ☛ ☜ ☝ ☞ ☟ ☠ ☡ ☢ ☣ ☤ ☥ ☦ ☧ ☨ ☩ ☪ ☫ ☬ ☭ ☮ ☯ ☰ ☱ ☲ ☳ ☴ ☵ ☶ ☷ ☸ ☹ ☺ ☻ ☼ ☽ ☾ ☿ ♀ ♁ ♂ ♃ ♄ ♅ ♆ ♇ ♈ ♉ ♊ ♋ ♌ ♍ ♎ ♏ ♐ ♑ ♒ ♓ ♔ ♕ ♖ ♗ ♘ ♙ ♚ ♛ ♜ ♝ ♞ ♟ ♠ ♡ ♢ ♣ ♤ ♥ ♦ ♧ ♨ ♩ ♪ ♫ ♬ ♭ ♮ ♯ ♰ ♱ ♲ ♳ ♴ ♵ ♶ ♷ ♸ ♹ ♺ ♻ ♼ ♽ ♾ ♿ ⚀ ⚁ ⚂ ⚃ ⚄ ⚅ ⚆ ⚇ ⚈ ⚉ ⚊ ⚋ ⚌ ⚍ ⚎ ⚏ ⚐ ⚑ ⚒ ⚓ ⚔ ⚕ ⚖ ⚗ ⚘ ⚙ ⚚ ⚛ ⚜ ⚝ ⚞ ⚟ ⚠ ⚡ ⚢ ⚣ ⚤ ⚥ ⚦ ⚧ ⚨ ⚩ ⚪ ⚫ ⚬ ⚭ ⚮ ⚯ ⚰ ⚱ ⚲ ⚳ ⚴ ⚵ ⚶ ⚷ ⚸ ⚹ ⚺ ⚻ ⚼ ⚽ ⚾ ⚿ ⛀ ⛁ ⛂ ⛃ ⛄ ⛅ ⛆ ⛇ ⛈ ⛉ ⛊ ⛋ ⛌ ⛍ ⛎ ⛏ ⛐ ⛑ ⛒ ⛓ ⛔ ⛕ ⛖ ⛗ ⛘ ⛙ ⛚ ⛛ ⛜ ⛝ ⛞ ⛟ ⛠ ⛡ ⛢ ⛣ ⛤ ⛥ ⛦ ⛧ ⛨ ⛩ ⛪ ⛫ ⛬ ⛭ ⛮ ⛯ ⛰ ⛱ ⛲ ⛳ ⛴ ⛵ ⛶ ⛷ ⛸ ⛹ ⛺ ⛻ ⛼ ⛽ ⛾ ⛿</t>
        </is>
      </c>
      <c r="Q92" s="38" t="inlineStr">
        <is>
          <t>☁ ☂ ☃ ☄ ★ ☇ ☈ ☉ ☊ ☋ ☌ ☍ ☎ ☐ ☓ ☔ ☕ ☖ ☘ ☚ ☠ ☡ ☢ ☣ ☤ ☥ ☦ ☧ ☨ ☩ ☪ ☫ ☬ ☭ ☮ ☯ ☰ ☱ ☲ ☳ ☴ ☵ ☶ ☷ ☸ ☹ ☺ ☽ ☾ ☿ ♀ ♁ ♂ ♃ ♄ ♅ ♆ ♇ ♈ ♉ ♊ ♋ ♌ ♍ ♎ ♏ ♐ ♑ ♒ ♓ ♔ ♕ ♖ ♗ ♘ ♙ ♚ ♛ ♜ ♝ ♞ ♟ ♠ ♡ ♢ ♣ ♤ ♥ ♦ ♧ ♨ ♩ ♪ ♫ ♬ ♭ ♮ ♰ ♲ ♳ ♴ ♵ ♶ ♷ ♸ ♹ ♺ ♻ ♼ ♽ ♾ ♿ ⚀ ⚁ ⚂ ⚃ ⚄ ⚅ ⚊ ⚋ ⚌ ⚍ ⚎ ⚏ ⚐ ⚒ ⚓ ⚕ ⚖ ⚗ ⚘ ⚙ ⚚ ⚛ ⚜ ⚝ ⚞ ⚠ ⚡ ⚢ ⚣ ⚤ ⚥ ⚪ ⚫ ⚭ ⚮ ⚯ ⚰ ⚱ ⚲ ⚳ ⚴ ⚵ ⚶ ⚷ ⚸ ⚹ ⚺ ⚻ ⚼ ⚽ ⚾ ⚿ ⛀ ⛁ ⛂ ⛃ ⛄ ⛅ ⛆ ⛇ ⛈ ⛉ ⛋ ⛌ ⛍ ⛎ ⛏ ⛐ ⛒ ⛓ ⛔ ⛕ ⛖ ⛘ ⛚ ⛛ ⛜ ⛝ ⛞ ⛟ ⛠ ⛡ ⛢ ⛤ ⛥ ⛧ ⛨ ⛩ ⛪ ⛫ ⛬ ⛭ ⛯ ⛰ ⛱ ⛲ ⛳ ⛴ ⛵ ⛶ ⛷ ⛸ ⛺ ⛻ ⛼ ⛽ ⛾</t>
        </is>
      </c>
      <c r="R92" s="43" t="inlineStr"/>
      <c r="S92" s="40" t="n"/>
      <c r="T92" s="41" t="inlineStr">
        <is>
          <t>☀ ☁ ☂ ☃ ☄ ★ ☆ ☇ ☈ ☉ ☊ ☋ ☌ ☍ ☎ ☏ ☐ ☑ ☒ ☓ ☔ ☕ ☖ ☗ ☘ ☙ ☚ ☛ ☜ ☝ ☞ ☟ ☠ ☡ ☢ ☣ ☤ ☥ ☦ ☧ ☨ ☩ ☪ ☫ ☬ ☭ ☮ ☯ ☰ ☱ ☲ ☳ ☴ ☵ ☶ ☷ ☸ ☹ ☺ ☻ ☼ ☽ ☾ ☿ ♀ ♁ ♂ ♃ ♄ ♅ ♆ ♇ ♈ ♉ ♊ ♋ ♌ ♍ ♎ ♏ ♐ ♑ ♒ ♓ ♔ ♕ ♖ ♗ ♘ ♙ ♚ ♛ ♜ ♝ ♞ ♟ ♠ ♡ ♢ ♣ ♤ ♥ ♦ ♧ ♨ ♩ ♪ ♫ ♬ ♭ ♮ ♯ ♰ ♱ ♲ ♳ ♴ ♵ ♶ ♷ ♸ ♹ ♺ ♻ ♼ ♽ ♾ ♿ ⚀ ⚁ ⚂ ⚃ ⚄ ⚅ ⚆ ⚇ ⚈ ⚉ ⚊ ⚋ ⚌ ⚍ ⚎ ⚏ ⚐ ⚑ ⚒ ⚓ ⚔ ⚕ ⚖ ⚗ ⚘ ⚙ ⚚ ⚛ ⚜ ⚝ ⚞ ⚟ ⚠ ⚡ ⚢ ⚣ ⚤ ⚥ ⚦ ⚧ ⚨ ⚩ ⚪ ⚫ ⚬ ⚭ ⚮ ⚯ ⚰ ⚱ ⚲ ⚳ ⚴ ⚵ ⚶ ⚷ ⚸ ⚹ ⚺ ⚻ ⚼ ⚽ ⚾ ⚿ ⛀ ⛁ ⛂ ⛃ ⛄ ⛅ ⛆ ⛇ ⛈ ⛉ ⛊ ⛋ ⛌ ⛍ ⛎ ⛏ ⛐ ⛑ ⛒ ⛓ ⛔ ⛕ ⛖ ⛗ ⛘ ⛙ ⛚ ⛛ ⛜ ⛝ ⛞ ⛟ ⛠ ⛡ ⛢ ⛣ ⛤ ⛥ ⛦ ⛧ ⛨ ⛩ ⛪ ⛫ ⛬ ⛭ ⛮ ⛯ ⛰ ⛱ ⛲ ⛳ ⛴ ⛵ ⛶ ⛷ ⛸ ⛹ ⛺ ⛻ ⛼ ⛽ ⛾ ⛿</t>
        </is>
      </c>
      <c r="U92" s="42" t="inlineStr">
        <is>
          <t>☀ ☁ ☂ ☃ ☄ ★ ☆ ☇ ☉ ☔ ☨ ☪ ☼ ☽ ☾ ⚝ ⚸ ⛄ ⛅ ⛆ ⛇ ⛈ ⛱ ☙ ♡ ♥ ♠ ♢ ♣ ♤ ♦ ♧ ♔ ♕ ♖ ♗ ♘ ♙ ♚ ♛ ♜ ♝ ♞ ♟ ♩ ♪ ♫ ♬ ♭ ♮ ♯ ♈ ♉ ♊ ♋ ♌ ♍ ♎ ♏ ♐ ♑ ♒ ♓ ☷ ☿ ♀ ♁ ♂ ♃ ♄ ♅ ♆ ♇ ⚢ ⚣ ⚤ ⚥ ⚦ ⚧ ⚨ ⚩ ⛢ ☥ ☫ ☭ ☮ ☯ ☸ ⚊ ⚋ ⚌ ⚍ ⚎ ⚏ ⚒ ⚛ ☹ ☺ ☻ ⚀ ⚁ ⚂ ⚃ ⚄ ⚅ ⛥ ⛦ ⛮ ☎ ☏ ⚓ ⛾ ⚐ ⚑ ⛳ ⛿ ☡ ☢ ☣ ♲ ♳ ♴ ♵ ♶ ♷ ♸ ♹ ♺ ♻ ♾ ⚠ ⚡ ⛚ ☠ ☦ ☩ ♰ ♱ ⚔ ⛌ ⛑ ⛒ ⛨ ⚆ ⚇ ⚈ ⚉ ⚪ ⚫ ⚬ ⛞ ⛣ ☈ ☊ ☋ ☌ ☍ ☐ ☑ ☒ ☓ ☕ ☖ ☗ ☘ ☚ ☛ ☜ ☝ ☞ ☟ ☤ ☧ ☬ ☰ ☱ ☲ ☳ ☴ ☵ ☶ ♨ ♼ ♽ ♿ ⚕ ⚖ ⚗ ⚘ ⚙ ⚚ ⚜ ⚞ ⚟ ⚭ ⚮ ⚯ ⚰ ⚱ ⚲ ⚳ ⚴ ⚵ ⚶ ⚷ ⚹ ⚺ ⚻ ⚼ ⚽ ⚾ ⚿ ⛀ ⛁ ⛂ ⛃ ⛉ ⛊ ⛋ ⛍ ⛎ ⛏ ⛐ ⛓ ⛔ ⛕ ⛖ ⛗ ⛘ ⛙ ⛛ ⛜ ⛝ ⛟ ⛠ ⛡ ⛤ ⛧ ⛩ ⛪ ⛫ ⛬ ⛭ ⛯ ⛰ ⛲ ⛴ ⛵ ⛶ ⛷ ⛸ ⛹ ⛺ ⛻ ⛼ ⛽</t>
        </is>
      </c>
      <c r="V92" s="14">
        <f>(LEN(O92)+1)/2</f>
        <v/>
      </c>
      <c r="W92" s="14">
        <f>ROUNDDOWN((LEN(P92)+1)/2,0)</f>
        <v/>
      </c>
      <c r="X92" s="14">
        <f>ROUNDDOWN((LEN(Q92)+1)/2,0)</f>
        <v/>
      </c>
      <c r="Y92" s="14">
        <f>ROUNDDOWN((LEN(R92)+1)/2,0)</f>
        <v/>
      </c>
      <c r="Z92" s="14">
        <f>ROUNDDOWN((LEN(S92)+1)/2,0)</f>
        <v/>
      </c>
      <c r="AA92" s="56" t="n">
        <v>46150.55824925244</v>
      </c>
    </row>
    <row r="93" ht="140.25" customHeight="1">
      <c r="A93" s="46" t="inlineStr">
        <is>
          <t>Arrows, Shapes, Symbols</t>
        </is>
      </c>
      <c r="B93" s="46" t="inlineStr">
        <is>
          <t>U+2700-U+27BF</t>
        </is>
      </c>
      <c r="C93" s="15" t="inlineStr">
        <is>
          <t>Dingbats</t>
        </is>
      </c>
      <c r="D93" s="54">
        <f>HEX2DEC(MID(B93,3,FIND("-",E93)-3))</f>
        <v/>
      </c>
      <c r="E93" s="46" t="inlineStr">
        <is>
          <t>U+2700-U+27BF</t>
        </is>
      </c>
      <c r="F93" s="14" t="n">
        <v>3</v>
      </c>
      <c r="G93" s="14" t="n">
        <v>3</v>
      </c>
      <c r="H93" s="14" t="n">
        <v>0</v>
      </c>
      <c r="I93" s="48" t="inlineStr">
        <is>
          <t>n</t>
        </is>
      </c>
      <c r="J93" s="19">
        <f>ROUNDDOWN(W93,0)/$V93</f>
        <v/>
      </c>
      <c r="K93" s="19">
        <f>ROUNDDOWN(X93,0)/$V93</f>
        <v/>
      </c>
      <c r="L93" s="19">
        <f>ROUNDDOWN(Y93,0)/$V93</f>
        <v/>
      </c>
      <c r="M93" s="19">
        <f>ROUNDDOWN(Z93,0)/$V93</f>
        <v/>
      </c>
      <c r="N93" s="35" t="inlineStr">
        <is>
          <t>None fit, all could be graphical.</t>
        </is>
      </c>
      <c r="O93" s="36" t="inlineStr">
        <is>
          <t>✀ ✁ ✂ ✃ ✄ ✅ ✆ ✇ ✈ ✉ ✊ ✋ ✌ ✍ ✎ ✏ ✐ ✑ ✒ ✓ ✔ ✕ ✖ ✗ ✘ ✙ ✚ ✛ ✜ ✝ ✞ ✟ ✠ ✡ ✢ ✣ ✤ ✥ ✦ ✧ ✨ ✩ ✪ ✫ ✬ ✭ ✮ ✯ ✰ ✱ ✲ ✳ ✴ ✵ ✶ ✷ ✸ ✹ ✺ ✻ ✼ ✽ ✾ ✿ ❀ ❁ ❂ ❃ ❄ ❅ ❆ ❇ ❈ ❉ ❊ ❋ ❌ ❍ ❎ ❏ ❐ ❑ ❒ ❓ ❔ ❕ ❖ ❗ ❘ ❙ ❚ ❛ ❜ ❝ ❞ ❟ ❠ ❡ ❢ ❣ ❤ ❥ ❦ ❧ ❨ ❩ ❪ ❫ ❬ ❭ ❮ ❯ ❰ ❱ ❲ ❳ ❴ ❵ ❶ ❷ ❸ ❹ ❺ ❻ ❼ ❽ ❾ ❿ ➀ ➁ ➂ ➃ ➄ ➅ ➆ ➇ ➈ ➉ ➊ ➋ ➌ ➍ ➎ ➏ ➐ ➑ ➒ ➓ ➔ ➕ ➖ ➗ ➘ ➙ ➚ ➛ ➜ ➝ ➞ ➟ ➠ ➡ ➢ ➣ ➤ ➥ ➦ ➧ ➨ ➩ ➪ ➫ ➬ ➭ ➮ ➯ ➰ ➱ ➲ ➳ ➴ ➵ ➶ ➷ ➸ ➹ ➺ ➻ ➼ ➽ ➾ ➿</t>
        </is>
      </c>
      <c r="P93" s="37" t="inlineStr">
        <is>
          <t>✀ ✁ ✂ ✃ ✄ ✅ ✆ ✇ ✈ ✉ ✊ ✋ ✌ ✍ ✎ ✏ ✐ ✑ ✒ ✓ ✔ ✕ ✖ ✗ ✘ ✙ ✚ ✛ ✜ ✝ ✞ ✟ ✠ ✡ ✢ ✣ ✤ ✥ ✦ ✧ ✨ ✩ ✪ ✫ ✬ ✭ ✮ ✯ ✰ ✱ ✲ ✳ ✴ ✵ ✶ ✷ ✸ ✹ ✺ ✻ ✼ ✽ ✾ ✿ ❀ ❁ ❂ ❃ ❄ ❅ ❆ ❇ ❈ ❉ ❊ ❋ ❌ ❍ ❎ ❏ ❐ ❑ ❒ ❓ ❔ ❕ ❖ ❗ ❘ ❙ ❚ ❛ ❜ ❝ ❞ ❟ ❠ ❡ ❢ ❣ ❤ ❥ ❦ ❧ ❨ ❩ ❪ ❫ ❬ ❭ ❮ ❯ ❰ ❱ ❲ ❳ ❴ ❵ ❶ ❷ ❸ ❹ ❺ ❻ ❼ ❽ ❾ ❿ ➀ ➁ ➂ ➃ ➄ ➅ ➆ ➇ ➈ ➉ ➊ ➋ ➌ ➍ ➎ ➏ ➐ ➑ ➒ ➓ ➔ ➕ ➖ ➗ ➘ ➙ ➚ ➛ ➜ ➝ ➞ ➟ ➠ ➡ ➢ ➣ ➤ ➥ ➦ ➧ ➨ ➩ ➪ ➫ ➬ ➭ ➮ ➯ ➰ ➱ ➲ ➳ ➴ ➵ ➶ ➷ ➸ ➹ ➺ ➻ ➼ ➽ ➾ ➿</t>
        </is>
      </c>
      <c r="Q93" s="38" t="inlineStr">
        <is>
          <t>✀ ✁ ✂ ✃ ✄ ✅ ✆ ✇ ✈ ✉ ✊ ✋ ✌ ✍ ✎ ✑ ✓ ✕ ✗ ✙ ✚ ✛ ✝ ✞ ✟ ✠ ✡ ✢ ✣ ✥ ✦ ✨ ✩ ✪ ✫ ✭ ✯ ✰ ✱ ✲ ✳ ✴ ✵ ✶ ✷ ✹ ✺ ✻ ✼ ✽ ✾ ✿ ❁ ❂ ❃ ❄ ❅ ❆ ❇ ❉ ❊ ❌ ❍ ❎ ❓ ❔ ❕ ❖ ❗ ❛ ❜ ❝ ❞ ❟ ❠ ❡ ❢ ❣ ❤ ❦ ❨ ❪ ❬ ❮ ❰ ❲ ❴ ➔ ➕ ➖ ➗ ➘ ➙ ➚ ➛ ➜ ➝ ➟ ➡ ➢ ➣ ➤ ➥ ➦ ➧ ➨ ➫ ➬ ➭ ➯ ➰ ➱ ➲ ➳ ➴ ➵ ➶ ➸ ➹ ➺ ➻ ➼ ➾ ➿</t>
        </is>
      </c>
      <c r="R93" s="43" t="inlineStr"/>
      <c r="S93" s="40" t="n"/>
      <c r="T93" s="41" t="inlineStr">
        <is>
          <t>➔ ➘ ➙ ➚ ➛ ➜ ➝ ➞ ➟ ➠ ➡ ➢ ➣ ➤ ➥ ➦ ➧ ➨ ➩ ➪ ➫ ➬ ➭ ➮ ➯ ➱ ➲ ➳ ➴ ➵ ➶ ➷ ➸ ➹ ➺ ➻ ➼ ➽ ➾</t>
        </is>
      </c>
      <c r="U93" s="42" t="inlineStr">
        <is>
          <t>➡ ➶ ➵ ➴ ➚ ➙ ➘ ➾ ➺ ➝ ➼ ➳ ➤ ➟ ➛ ➹ ➸ ➷ ➜ ➻ ➞ ➽ ➔ ➪ ➩ ➧ ➫ ➲ ➬ ➨ ➠ ➭ ➮ ➯ ➱ ➣ ➢ ➦ ➥</t>
        </is>
      </c>
      <c r="V93" s="14">
        <f>(LEN(O93)+1)/2</f>
        <v/>
      </c>
      <c r="W93" s="14">
        <f>ROUNDDOWN((LEN(P93)+1)/2,0)</f>
        <v/>
      </c>
      <c r="X93" s="14">
        <f>ROUNDDOWN((LEN(Q93)+1)/2,0)</f>
        <v/>
      </c>
      <c r="Y93" s="14">
        <f>ROUNDDOWN((LEN(R93)+1)/2,0)</f>
        <v/>
      </c>
      <c r="Z93" s="14">
        <f>ROUNDDOWN((LEN(S93)+1)/2,0)</f>
        <v/>
      </c>
      <c r="AA93" s="56" t="n">
        <v>46150.55824943167</v>
      </c>
    </row>
    <row r="94" ht="38.25" customHeight="1">
      <c r="A94" s="46" t="inlineStr">
        <is>
          <t>Math</t>
        </is>
      </c>
      <c r="B94" s="46" t="inlineStr">
        <is>
          <t>U+27C0-U+27EF</t>
        </is>
      </c>
      <c r="C94" s="15" t="inlineStr">
        <is>
          <t>Miscellaneous Mathematical Symbols-A</t>
        </is>
      </c>
      <c r="D94" s="54">
        <f>HEX2DEC(MID(B94,3,FIND("-",E94)-3))</f>
        <v/>
      </c>
      <c r="E94" s="46" t="inlineStr">
        <is>
          <t>U+27C0-U+27EF</t>
        </is>
      </c>
      <c r="F94" s="14" t="n">
        <v>3</v>
      </c>
      <c r="G94" s="14" t="n">
        <v>3</v>
      </c>
      <c r="H94" s="14" t="n">
        <v>3</v>
      </c>
      <c r="I94" s="48" t="inlineStr">
        <is>
          <t>y</t>
        </is>
      </c>
      <c r="J94" s="19">
        <f>ROUNDDOWN(W94,0)/$V94</f>
        <v/>
      </c>
      <c r="K94" s="19">
        <f>ROUNDDOWN(X94,0)/$V94</f>
        <v/>
      </c>
      <c r="L94" s="19">
        <f>ROUNDDOWN(Y94,0)/$V94</f>
        <v/>
      </c>
      <c r="M94" s="19">
        <f>ROUNDDOWN(Z94,0)/$V94</f>
        <v/>
      </c>
      <c r="O94" s="36" t="inlineStr">
        <is>
          <t>⟀ ⟁ ⟂ ⟃ ⟄ ⟅ ⟆ ⟇ ⟈ ⟉ ⟊ ⟋ ⟌ ⟍ ⟎ ⟏ ⟐ ⟑ ⟒ ⟓ ⟔ ⟕ ⟖ ⟗ ⟘ ⟙ ⟚ ⟛ ⟜ ⟝ ⟞ ⟟ ⟠ ⟡ ⟢ ⟣ ⟤ ⟥ ⟦ ⟧ ⟨ ⟩ ⟪ ⟫ ⟬ ⟭ ⟮ ⟯</t>
        </is>
      </c>
      <c r="P94" s="37" t="inlineStr">
        <is>
          <t>⟀ ⟁ ⟂ ⟃ ⟄ ⟅ ⟆ ⟇ ⟈ ⟉ ⟊ ⟋ ⟌ ⟍ ⟎ ⟏ ⟐ ⟑ ⟒ ⟓ ⟔ ⟕ ⟖ ⟗ ⟘ ⟙ ⟚ ⟛ ⟜ ⟝ ⟞ ⟟ ⟠ ⟡ ⟢ ⟣ ⟤ ⟥ ⟦ ⟧ ⟨ ⟩ ⟪ ⟫ ⟬ ⟭ ⟮ ⟯</t>
        </is>
      </c>
      <c r="Q94" s="38" t="inlineStr">
        <is>
          <t>⟀ ⟁ ⟂ ⟃ ⟄ ⟅ ⟈ ⟉ ⟋ ⟌ ⟍ ⟎ ⟏ ⟒ ⟕ ⟗ ⟘ ⟚ ⟛ ⟜ ⟝ ⟠ ⟡ ⟨ ⟪ ⟬ ⟮</t>
        </is>
      </c>
      <c r="R94" s="39" t="inlineStr">
        <is>
          <t>⟀ ⟁ ⟂ ⟃ ⟄ ⟅ ⟋ ⟌ ⟍ ⟎ ⟏ ⟒ ⟕ ⟘ ⟜ ⟠ ⟨ ⟪ ⟬ ⟮</t>
        </is>
      </c>
      <c r="S94" s="40" t="n"/>
      <c r="T94" s="41" t="inlineStr">
        <is>
          <t>⟀ ⟁ ⟂ ⟃ ⟄ ⟅ ⟆ ⟇ ⟈ ⟉ ⟊ ⟋ ⟌ ⟍ ⟎ ⟏ ⟐ ⟑ ⟒ ⟓ ⟔ ⟕ ⟖ ⟗ ⟘ ⟙ ⟚ ⟛ ⟜ ⟝ ⟞ ⟟ ⟠ ⟡ ⟢ ⟣ ⟤ ⟥ ⟦ ⟧ ⟨ ⟩ ⟪ ⟫ ⟬ ⟭ ⟮ ⟯</t>
        </is>
      </c>
      <c r="U94" s="42" t="inlineStr">
        <is>
          <t>⟀ ⟁ ⟂ ⟃ ⟄ ⟅ ⟆ ⟇ ⟈ ⟉ ⟊ ⟋ ⟌ ⟍ ⟎ ⟏ ⟐ ⟑ ⟒ ⟓ ⟔ ⟕ ⟖ ⟗ ⟘ ⟙ ⟚ ⟛ ⟜ ⟝ ⟞ ⟟ ⟠ ⟡ ⟢ ⟣ ⟤ ⟥ ⟦ ⟧ ⟨ ⟩ ⟪ ⟫ ⟬ ⟭ ⟮ ⟯</t>
        </is>
      </c>
      <c r="V94" s="14">
        <f>(LEN(O94)+1)/2</f>
        <v/>
      </c>
      <c r="W94" s="14">
        <f>ROUNDDOWN((LEN(P94)+1)/2,0)</f>
        <v/>
      </c>
      <c r="X94" s="14">
        <f>ROUNDDOWN((LEN(Q94)+1)/2,0)</f>
        <v/>
      </c>
      <c r="Y94" s="14">
        <f>ROUNDDOWN((LEN(R94)+1)/2,0)</f>
        <v/>
      </c>
      <c r="Z94" s="14">
        <f>ROUNDDOWN((LEN(S94)+1)/2,0)</f>
        <v/>
      </c>
      <c r="AA94" s="56" t="n">
        <v>46150.55824985469</v>
      </c>
    </row>
    <row r="95" ht="25.5" customHeight="1">
      <c r="A95" s="46" t="inlineStr">
        <is>
          <t>Arrows</t>
        </is>
      </c>
      <c r="B95" s="46" t="inlineStr">
        <is>
          <t>U+27F0-U+27FF</t>
        </is>
      </c>
      <c r="C95" s="46" t="inlineStr">
        <is>
          <t>Supplemental Arrows-A</t>
        </is>
      </c>
      <c r="D95" s="54">
        <f>HEX2DEC(MID(B95,3,FIND("-",E95)-3))</f>
        <v/>
      </c>
      <c r="E95" s="46" t="inlineStr">
        <is>
          <t>U+27F0-U+27FF</t>
        </is>
      </c>
      <c r="F95" s="14" t="n">
        <v>3</v>
      </c>
      <c r="G95" s="14" t="n">
        <v>0</v>
      </c>
      <c r="H95" s="14" t="n">
        <v>0</v>
      </c>
      <c r="I95" s="48" t="inlineStr">
        <is>
          <t>n</t>
        </is>
      </c>
      <c r="J95" s="19">
        <f>ROUNDDOWN(W95,0)/$V95</f>
        <v/>
      </c>
      <c r="K95" s="19">
        <f>ROUNDDOWN(X95,0)/$V95</f>
        <v/>
      </c>
      <c r="L95" s="19">
        <f>ROUNDDOWN(Y95,0)/$V95</f>
        <v/>
      </c>
      <c r="M95" s="19">
        <f>ROUNDDOWN(Z95,0)/$V95</f>
        <v/>
      </c>
      <c r="N95" s="35" t="inlineStr">
        <is>
          <t>Too wide</t>
        </is>
      </c>
      <c r="O95" s="36" t="inlineStr">
        <is>
          <t>⟰ ⟱ ⟲ ⟳ ⟴ ⟵ ⟶ ⟷ ⟸ ⟹ ⟺ ⟻ ⟼ ⟽ ⟾ ⟿</t>
        </is>
      </c>
      <c r="P95" s="37" t="inlineStr">
        <is>
          <t>⟰ ⟱ ⟲ ⟳ ⟴ ⟵ ⟶ ⟷ ⟸ ⟹ ⟺ ⟻ ⟼ ⟽ ⟾ ⟿</t>
        </is>
      </c>
      <c r="Q95" s="38" t="inlineStr"/>
      <c r="R95" s="43" t="inlineStr"/>
      <c r="S95" s="40" t="n"/>
      <c r="V95" s="14">
        <f>(LEN(O95)+1)/2</f>
        <v/>
      </c>
      <c r="W95" s="14">
        <f>ROUNDDOWN((LEN(P95)+1)/2,0)</f>
        <v/>
      </c>
      <c r="X95" s="14">
        <f>ROUNDDOWN((LEN(Q95)+1)/2,0)</f>
        <v/>
      </c>
      <c r="Y95" s="14">
        <f>ROUNDDOWN((LEN(R95)+1)/2,0)</f>
        <v/>
      </c>
      <c r="Z95" s="14">
        <f>ROUNDDOWN((LEN(S95)+1)/2,0)</f>
        <v/>
      </c>
      <c r="AA95" s="56" t="n">
        <v>46150.55824985711</v>
      </c>
    </row>
    <row r="96" ht="89.25" customHeight="1">
      <c r="B96" s="46" t="inlineStr">
        <is>
          <t>U+2800-U+28FF</t>
        </is>
      </c>
      <c r="C96" s="46" t="inlineStr">
        <is>
          <t>Braille Patterns</t>
        </is>
      </c>
      <c r="D96" s="54">
        <f>HEX2DEC(MID(B96,3,FIND("-",E96)-3))</f>
        <v/>
      </c>
      <c r="E96" s="46" t="inlineStr">
        <is>
          <t>U+2800-U+28FF</t>
        </is>
      </c>
      <c r="F96" s="14" t="n">
        <v>3</v>
      </c>
      <c r="G96" s="14" t="n">
        <v>0</v>
      </c>
      <c r="H96" s="14" t="n">
        <v>0</v>
      </c>
      <c r="I96" s="48" t="inlineStr">
        <is>
          <t>n</t>
        </is>
      </c>
      <c r="J96" s="19">
        <f>ROUNDDOWN(W96,0)/$V96</f>
        <v/>
      </c>
      <c r="K96" s="19">
        <f>ROUNDDOWN(X96,0)/$V96</f>
        <v/>
      </c>
      <c r="L96" s="19">
        <f>ROUNDDOWN(Y96,0)/$V96</f>
        <v/>
      </c>
      <c r="M96" s="19">
        <f>ROUNDDOWN(Z96,0)/$V96</f>
        <v/>
      </c>
      <c r="N96" s="35" t="inlineStr">
        <is>
          <t>Too tall, ambiguous, dots</t>
        </is>
      </c>
      <c r="O96" s="36" t="inlineStr">
        <is>
          <t>⠀ ⠁ ⠂ ⠃ ⠄ ⠅ ⠆ ⠇ ⠈ ⠉ ⠊ ⠋ ⠌ ⠍ ⠎ ⠏ ⠐ ⠑ ⠒ ⠓ ⠔ ⠕ ⠖ ⠗ ⠘ ⠙ ⠚ ⠛ ⠜ ⠝ ⠞ ⠟ ⠠ ⠡ ⠢ ⠣ ⠤ ⠥ ⠦ ⠧ ⠨ ⠩ ⠪ ⠫ ⠬ ⠭ ⠮ ⠯ ⠰ ⠱ ⠲ ⠳ ⠴ ⠵ ⠶ ⠷ ⠸ ⠹ ⠺ ⠻ ⠼ ⠽ ⠾ ⠿ ⡀ ⡁ ⡂ ⡃ ⡄ ⡅ ⡆ ⡇ ⡈ ⡉ ⡊ ⡋ ⡌ ⡍ ⡎ ⡏ ⡐ ⡑ ⡒ ⡓ ⡔ ⡕ ⡖ ⡗ ⡘ ⡙ ⡚ ⡛ ⡜ ⡝ ⡞ ⡟ ⡠ ⡡ ⡢ ⡣ ⡤ ⡥ ⡦ ⡧ ⡨ ⡩ ⡪ ⡫ ⡬ ⡭ ⡮ ⡯ ⡰ ⡱ ⡲ ⡳ ⡴ ⡵ ⡶ ⡷ ⡸ ⡹ ⡺ ⡻ ⡼ ⡽ ⡾ ⡿ ⢀ ⢁ ⢂ ⢃ ⢄ ⢅ ⢆ ⢇ ⢈ ⢉ ⢊ ⢋ ⢌ ⢍ ⢎ ⢏ ⢐ ⢑ ⢒ ⢓ ⢔ ⢕ ⢖ ⢗ ⢘ ⢙ ⢚ ⢛ ⢜ ⢝ ⢞ ⢟ ⢠ ⢡ ⢢ ⢣ ⢤ ⢥ ⢦ ⢧ ⢨ ⢩ ⢪ ⢫ ⢬ ⢭ ⢮ ⢯ ⢰ ⢱ ⢲ ⢳ ⢴ ⢵ ⢶ ⢷ ⢸ ⢹ ⢺ ⢻ ⢼ ⢽ ⢾ ⢿ ⣀ ⣁ ⣂ ⣃ ⣄ ⣅ ⣆ ⣇ ⣈ ⣉ ⣊ ⣋ ⣌ ⣍ ⣎ ⣏ ⣐ ⣑ ⣒ ⣓ ⣔ ⣕ ⣖ ⣗ ⣘ ⣙ ⣚ ⣛ ⣜ ⣝ ⣞ ⣟ ⣠ ⣡ ⣢ ⣣ ⣤ ⣥ ⣦ ⣧ ⣨ ⣩ ⣪ ⣫ ⣬ ⣭ ⣮ ⣯ ⣰ ⣱ ⣲ ⣳ ⣴ ⣵ ⣶ ⣷ ⣸ ⣹ ⣺ ⣻ ⣼ ⣽ ⣾ ⣿</t>
        </is>
      </c>
      <c r="P96" s="37" t="inlineStr">
        <is>
          <t>⠀ ⠁ ⠂ ⠃ ⠄ ⠅ ⠆ ⠇ ⠈ ⠉ ⠊ ⠋ ⠌ ⠍ ⠎ ⠏ ⠐ ⠑ ⠒ ⠓ ⠔ ⠕ ⠖ ⠗ ⠘ ⠙ ⠚ ⠛ ⠜ ⠝ ⠞ ⠟ ⠠ ⠡ ⠢ ⠣ ⠤ ⠥ ⠦ ⠧ ⠨ ⠩ ⠪ ⠫ ⠬ ⠭ ⠮ ⠯ ⠰ ⠱ ⠲ ⠳ ⠴ ⠵ ⠶ ⠷ ⠸ ⠹ ⠺ ⠻ ⠼ ⠽ ⠾ ⠿ ⡀ ⡁ ⡂ ⡃ ⡄ ⡅ ⡆ ⡇ ⡈ ⡉ ⡊ ⡋ ⡌ ⡍ ⡎ ⡏ ⡐ ⡑ ⡒ ⡓ ⡔ ⡕ ⡖ ⡗ ⡘ ⡙ ⡚ ⡛ ⡜ ⡝ ⡞ ⡟ ⡠ ⡡ ⡢ ⡣ ⡤ ⡥ ⡦ ⡧ ⡨ ⡩ ⡪ ⡫ ⡬ ⡭ ⡮ ⡯ ⡰ ⡱ ⡲ ⡳ ⡴ ⡵ ⡶ ⡷ ⡸ ⡹ ⡺ ⡻ ⡼ ⡽ ⡾ ⡿ ⢀ ⢁ ⢂ ⢃ ⢄ ⢅ ⢆ ⢇ ⢈ ⢉ ⢊ ⢋ ⢌ ⢍ ⢎ ⢏ ⢐ ⢑ ⢒ ⢓ ⢔ ⢕ ⢖ ⢗ ⢘ ⢙ ⢚ ⢛ ⢜ ⢝ ⢞ ⢟ ⢠ ⢡ ⢢ ⢣ ⢤ ⢥ ⢦ ⢧ ⢨ ⢩ ⢪ ⢫ ⢬ ⢭ ⢮ ⢯ ⢰ ⢱ ⢲ ⢳ ⢴ ⢵ ⢶ ⢷ ⢸ ⢹ ⢺ ⢻ ⢼ ⢽ ⢾ ⢿ ⣀ ⣁ ⣂ ⣃ ⣄ ⣅ ⣆ ⣇ ⣈ ⣉ ⣊ ⣋ ⣌ ⣍ ⣎ ⣏ ⣐ ⣑ ⣒ ⣓ ⣔ ⣕ ⣖ ⣗ ⣘ ⣙ ⣚ ⣛ ⣜ ⣝ ⣞ ⣟ ⣠ ⣡ ⣢ ⣣ ⣤ ⣥ ⣦ ⣧ ⣨ ⣩ ⣪ ⣫ ⣬ ⣭ ⣮ ⣯ ⣰ ⣱ ⣲ ⣳ ⣴ ⣵ ⣶ ⣷ ⣸ ⣹ ⣺ ⣻ ⣼ ⣽ ⣾ ⣿</t>
        </is>
      </c>
      <c r="Q96" s="38" t="inlineStr"/>
      <c r="R96" t="inlineStr"/>
      <c r="S96" s="40" t="n"/>
      <c r="V96" s="14">
        <f>(LEN(O96)+1)/2</f>
        <v/>
      </c>
      <c r="W96" s="14">
        <f>ROUNDDOWN((LEN(P96)+1)/2,0)</f>
        <v/>
      </c>
      <c r="X96" s="14">
        <f>ROUNDDOWN((LEN(Q96)+1)/2,0)</f>
        <v/>
      </c>
      <c r="Y96" s="14">
        <f>ROUNDDOWN((LEN(R96)+1)/2,0)</f>
        <v/>
      </c>
      <c r="Z96" s="14">
        <f>ROUNDDOWN((LEN(S96)+1)/2,0)</f>
        <v/>
      </c>
      <c r="AA96" s="56" t="n">
        <v>46150.55824988198</v>
      </c>
    </row>
    <row r="97" ht="75" customHeight="1">
      <c r="A97" s="46" t="inlineStr">
        <is>
          <t>Arrows</t>
        </is>
      </c>
      <c r="B97" s="46" t="inlineStr">
        <is>
          <t>U+2900-U+297F</t>
        </is>
      </c>
      <c r="C97" s="46" t="inlineStr">
        <is>
          <t>Supplemental Arrows-B</t>
        </is>
      </c>
      <c r="D97" s="54">
        <f>HEX2DEC(MID(B97,3,FIND("-",E97)-3))</f>
        <v/>
      </c>
      <c r="E97" s="46" t="inlineStr">
        <is>
          <t>U+2900-U+297F</t>
        </is>
      </c>
      <c r="F97" s="14" t="n">
        <v>3</v>
      </c>
      <c r="G97" s="14" t="n">
        <v>3</v>
      </c>
      <c r="H97" s="14" t="n">
        <v>3</v>
      </c>
      <c r="I97" s="48" t="inlineStr">
        <is>
          <t>y</t>
        </is>
      </c>
      <c r="J97" s="19">
        <f>ROUNDDOWN(W97,0)/$V97</f>
        <v/>
      </c>
      <c r="K97" s="19">
        <f>ROUNDDOWN(X97,0)/$V97</f>
        <v/>
      </c>
      <c r="L97" s="19">
        <f>ROUNDDOWN(Y97,0)/$V97</f>
        <v/>
      </c>
      <c r="M97" s="19">
        <f>ROUNDDOWN(Z97,0)/$V97</f>
        <v/>
      </c>
      <c r="O97" s="36" t="inlineStr">
        <is>
          <t>⤀ ⤁ ⤂ ⤃ ⤄ ⤅ ⤆ ⤇ ⤈ ⤉ ⤊ ⤋ ⤌ ⤍ ⤎ ⤏ ⤐ ⤑ ⤒ ⤓ ⤔ ⤕ ⤖ ⤗ ⤘ ⤙ ⤚ ⤛ ⤜ ⤝ ⤞ ⤟ ⤠ ⤡ ⤢ ⤣ ⤤ ⤥ ⤦ ⤧ ⤨ ⤩ ⤪ ⤫ ⤬ ⤭ ⤮ ⤯ ⤰ ⤱ ⤲ ⤳ ⤴ ⤵ ⤶ ⤷ ⤸ ⤹ ⤺ ⤻ ⤼ ⤽ ⤾ ⤿ ⥀ ⥁ ⥂ ⥃ ⥄ ⥅ ⥆ ⥇ ⥈ ⥉ ⥊ ⥋ ⥌ ⥍ ⥎ ⥏ ⥐ ⥑ ⥒ ⥓ ⥔ ⥕ ⥖ ⥗ ⥘ ⥙ ⥚ ⥛ ⥜ ⥝ ⥞ ⥟ ⥠ ⥡ ⥢ ⥣ ⥤ ⥥ ⥦ ⥧ ⥨ ⥩ ⥪ ⥫ ⥬ ⥭ ⥮ ⥯ ⥰ ⥱ ⥲ ⥳ ⥴ ⥵ ⥶ ⥷ ⥸ ⥹ ⥺ ⥻ ⥼ ⥽ ⥾ ⥿</t>
        </is>
      </c>
      <c r="P97" s="37" t="inlineStr">
        <is>
          <t>⤀ ⤁ ⤂ ⤃ ⤄ ⤅ ⤆ ⤇ ⤈ ⤉ ⤊ ⤋ ⤌ ⤍ ⤎ ⤏ ⤐ ⤑ ⤒ ⤓ ⤔ ⤕ ⤖ ⤗ ⤘ ⤙ ⤚ ⤛ ⤜ ⤝ ⤞ ⤟ ⤠ ⤡ ⤢ ⤣ ⤤ ⤥ ⤦ ⤧ ⤨ ⤩ ⤪ ⤫ ⤬ ⤭ ⤮ ⤯ ⤰ ⤱ ⤲ ⤳ ⤴ ⤵ ⤶ ⤷ ⤸ ⤹ ⤺ ⤻ ⤼ ⤽ ⤾ ⤿ ⥀ ⥁ ⥂ ⥃ ⥄ ⥅ ⥆ ⥇ ⥈ ⥉ ⥊ ⥋ ⥌ ⥍ ⥎ ⥏ ⥐ ⥑ ⥒ ⥓ ⥔ ⥕ ⥖ ⥗ ⥘ ⥙ ⥚ ⥛ ⥜ ⥝ ⥞ ⥟ ⥠ ⥡ ⥢ ⥣ ⥤ ⥥ ⥦ ⥧ ⥨ ⥩ ⥪ ⥫ ⥬ ⥭ ⥮ ⥯ ⥰ ⥱ ⥲ ⥳ ⥴ ⥵ ⥶ ⥷ ⥸ ⥹ ⥺ ⥻ ⥼ ⥽ ⥾ ⥿</t>
        </is>
      </c>
      <c r="Q97" s="38" t="inlineStr"/>
      <c r="R97" s="39" t="inlineStr"/>
      <c r="S97" s="40" t="n"/>
      <c r="T97" s="41" t="inlineStr">
        <is>
          <t>⤀ ⤁ ⤂ ⤃ ⤄ ⤅ ⤆ ⤇ ⤈ ⤉ ⤊ ⤋ ⤌ ⤍ ⤎ ⤏ ⤐ ⤑ ⤒ ⤓ ⤔ ⤕ ⤖ ⤗ ⤘ ⤙ ⤚ ⤛ ⤜ ⤝ ⤞ ⤟ ⤠ ⤡ ⤢ ⤣ ⤤ ⤥ ⤦ ⤧ ⤨ ⤩ ⤪ ⤫ ⤬ ⤭ ⤮ ⤯ ⤰ ⤱ ⤲ ⤳ ⤴ ⤵ ⤶ ⤷ ⤸ ⤹ ⤺ ⤻ ⤼ ⤽ ⤾ ⤿ ⥀ ⥁ ⥂ ⥃ ⥄ ⥅ ⥆ ⥇ ⥈ ⥉ ⥊ ⥋ ⥌ ⥍ ⥎ ⥏ ⥐ ⥑ ⥒ ⥓ ⥔ ⥕ ⥖ ⥗ ⥘ ⥙ ⥚ ⥛ ⥜ ⥝ ⥞ ⥟ ⥠ ⥡ ⥢ ⥣ ⥤ ⥥ ⥦ ⥧ ⥨ ⥩ ⥪ ⥫ ⥬ ⥭ ⥮ ⥯ ⥰ ⥱ ⥲ ⥳ ⥴ ⥵ ⥶ ⥷ ⥸ ⥹ ⥺ ⥻ ⥼ ⥽ ⥾ ⥿</t>
        </is>
      </c>
      <c r="U97" s="42" t="inlineStr">
        <is>
          <t>⤚ ⤙ ⤧ ⤨ ⤩ ⤪ ⤢ ⤡ ⤊ ⤋ ⤮ ⤭ ⤲ ⤱ ⤜ ⤛ ⤍ ⤌ ⥾ ⥽ ⥿ ⥼ ⥸ ⥶ ⤿ ⤾ ⥹ ⥻ ⥷ ⥺ ⥇ ⤒ ⤓ ⤏ ⤎ ⤳ ⤤ ⤥ ⤦ ⤣ ⥂ ⥃ ⥄ ⥅ ⥆ ⥴ ⥱ ⥳ ⥲ ⥵ ⥁ ⥀ ⤇ ⤆ ⤯ ⤰ ⤻ ⤹ ⤺ ⤸ ⤴ ⤷ ⤵ ⤶ ⤀ ⤁ ⤂ ⤃ ⤄ ⤅ ⤐ ⤑ ⤔ ⤕ ⤖ ⤗ ⤘ ⤉ ⤈ ⥌ ⥊ ⥍ ⥋ ⥎ ⥏ ⥐ ⥑ ⥰ ⥉ ⥈ ⤫ ⤬ ⤞ ⤝ ⤠ ⤟ ⤽ ⤼ ⥠ ⥛ ⥝ ⥞ ⥜ ⥟ ⥡ ⥚ ⥘ ⥓ ⥕ ⥖ ⥔ ⥗ ⥙ ⥒ ⥭ ⥫ ⥬ ⥪ ⥩ ⥧ ⥮ ⥣ ⥤ ⥥ ⥢ ⥯ ⥨ ⥦</t>
        </is>
      </c>
      <c r="V97" s="14">
        <f>(LEN(O97)+1)/2</f>
        <v/>
      </c>
      <c r="W97" s="14">
        <f>ROUNDDOWN((LEN(P97)+1)/2,0)</f>
        <v/>
      </c>
      <c r="X97" s="14">
        <f>ROUNDDOWN((LEN(Q97)+1)/2,0)</f>
        <v/>
      </c>
      <c r="Y97" s="14">
        <f>ROUNDDOWN((LEN(R97)+1)/2,0)</f>
        <v/>
      </c>
      <c r="Z97" s="14">
        <f>ROUNDDOWN((LEN(S97)+1)/2,0)</f>
        <v/>
      </c>
      <c r="AA97" s="56" t="n">
        <v>46150.5582498951</v>
      </c>
    </row>
    <row r="98" ht="75" customHeight="1">
      <c r="A98" s="46" t="inlineStr">
        <is>
          <t>Symbols</t>
        </is>
      </c>
      <c r="B98" s="46" t="inlineStr">
        <is>
          <t>U+2980-U+29FF</t>
        </is>
      </c>
      <c r="C98" s="46" t="inlineStr">
        <is>
          <t>Miscellaneous Mathematical Symbols-B</t>
        </is>
      </c>
      <c r="D98" s="54">
        <f>HEX2DEC(MID(B98,3,FIND("-",E98)-3))</f>
        <v/>
      </c>
      <c r="E98" s="46" t="inlineStr">
        <is>
          <t>U+2980-U+29FF</t>
        </is>
      </c>
      <c r="F98" s="14" t="n">
        <v>3</v>
      </c>
      <c r="G98" s="14" t="n">
        <v>3</v>
      </c>
      <c r="H98" s="14" t="n">
        <v>3</v>
      </c>
      <c r="I98" s="48" t="inlineStr">
        <is>
          <t>y</t>
        </is>
      </c>
      <c r="J98" s="19">
        <f>ROUNDDOWN(W98,0)/$V98</f>
        <v/>
      </c>
      <c r="K98" s="19">
        <f>ROUNDDOWN(X98,0)/$V98</f>
        <v/>
      </c>
      <c r="L98" s="19">
        <f>ROUNDDOWN(Y98,0)/$V98</f>
        <v/>
      </c>
      <c r="M98" s="19">
        <f>ROUNDDOWN(Z98,0)/$V98</f>
        <v/>
      </c>
      <c r="O98" s="36" t="inlineStr">
        <is>
          <t>⦀ ⦁ ⦂ ⦃ ⦄ ⦅ ⦆ ⦇ ⦈ ⦉ ⦊ ⦋ ⦌ ⦍ ⦎ ⦏ ⦐ ⦑ ⦒ ⦓ ⦔ ⦕ ⦖ ⦗ ⦘ ⦙ ⦚ ⦛ ⦜ ⦝ ⦞ ⦟ ⦠ ⦡ ⦢ ⦣ ⦤ ⦥ ⦦ ⦧ ⦨ ⦩ ⦪ ⦫ ⦬ ⦭ ⦮ ⦯ ⦰ ⦱ ⦲ ⦳ ⦴ ⦵ ⦶ ⦷ ⦸ ⦹ ⦺ ⦻ ⦼ ⦽ ⦾ ⦿ ⧀ ⧁ ⧂ ⧃ ⧄ ⧅ ⧆ ⧇ ⧈ ⧉ ⧊ ⧋ ⧌ ⧍ ⧎ ⧏ ⧐ ⧑ ⧒ ⧓ ⧔ ⧕ ⧖ ⧗ ⧘ ⧙ ⧚ ⧛ ⧜ ⧝ ⧞ ⧟ ⧠ ⧡ ⧢ ⧣ ⧤ ⧥ ⧦ ⧧ ⧨ ⧩ ⧪ ⧫ ⧬ ⧭ ⧮ ⧯ ⧰ ⧱ ⧲ ⧳ ⧴ ⧵ ⧶ ⧷ ⧸ ⧹ ⧺ ⧻ ⧼ ⧽ ⧾ ⧿</t>
        </is>
      </c>
      <c r="P98" s="37" t="inlineStr">
        <is>
          <t>⦀ ⦁ ⦂ ⦃ ⦄ ⦅ ⦆ ⦇ ⦈ ⦉ ⦊ ⦋ ⦌ ⦍ ⦎ ⦏ ⦐ ⦑ ⦒ ⦓ ⦔ ⦕ ⦖ ⦗ ⦘ ⦙ ⦚ ⦛ ⦜ ⦝ ⦞ ⦟ ⦠ ⦡ ⦢ ⦣ ⦤ ⦥ ⦦ ⦧ ⦨ ⦩ ⦪ ⦫ ⦬ ⦭ ⦮ ⦯ ⦰ ⦱ ⦲ ⦳ ⦴ ⦵ ⦶ ⦷ ⦸ ⦹ ⦺ ⦻ ⦼ ⦽ ⦾ ⦿ ⧀ ⧁ ⧂ ⧃ ⧄ ⧅ ⧆ ⧇ ⧈ ⧉ ⧊ ⧋ ⧌ ⧍ ⧎ ⧏ ⧐ ⧑ ⧒ ⧓ ⧔ ⧕ ⧖ ⧗ ⧘ ⧙ ⧚ ⧛ ⧜ ⧝ ⧞ ⧟ ⧠ ⧡ ⧢ ⧣ ⧤ ⧥ ⧦ ⧧ ⧨ ⧩ ⧪ ⧫ ⧬ ⧭ ⧮ ⧯ ⧰ ⧱ ⧲ ⧳ ⧴ ⧵ ⧶ ⧷ ⧸ ⧹ ⧺ ⧻ ⧼ ⧽ ⧾ ⧿</t>
        </is>
      </c>
      <c r="Q98" s="38" t="inlineStr">
        <is>
          <t>⦁ ⦂ ⦃ ⦅ ⦇ ⦉ ⦓ ⦔ ⦖ ⦗ ⦙ ⦚ ⦛ ⦟ ⦠ ⦢ ⦣ ⦦ ⦰ ⦷ ⦸ ⦹ ⦼ ⦽ ⧀ ⧁ ⧄ ⧅ ⧆ ⧇ ⧈ ⧉ ⧌ ⧎ ⧓ ⧖ ⧘ ⧜ ⧝ ⧟ ⧡ ⧢ ⧣ ⧥ ⧦ ⧧ ⧫ ⧴ ⧵ ⧸ ⧹ ⧺ ⧼ ⧾ ⧿</t>
        </is>
      </c>
      <c r="R98" s="39" t="inlineStr">
        <is>
          <t>⦁ ⦃ ⦅ ⦇ ⦉ ⦓ ⦔ ⦖ ⦗ ⦚ ⦛ ⦟ ⦠ ⦢ ⦣ ⦰ ⦷ ⦸ ⦹ ⦼ ⦽ ⧀ ⧁ ⧄ ⧅ ⧆ ⧇ ⧈ ⧉ ⧎ ⧓ ⧖ ⧘ ⧜ ⧝ ⧡ ⧢ ⧧ ⧫ ⧵ ⧺ ⧼</t>
        </is>
      </c>
      <c r="S98" s="40" t="n"/>
      <c r="V98" s="14">
        <f>(LEN(O98)+1)/2</f>
        <v/>
      </c>
      <c r="W98" s="14">
        <f>ROUNDDOWN((LEN(P98)+1)/2,0)</f>
        <v/>
      </c>
      <c r="X98" s="14">
        <f>ROUNDDOWN((LEN(Q98)+1)/2,0)</f>
        <v/>
      </c>
      <c r="Y98" s="14">
        <f>ROUNDDOWN((LEN(R98)+1)/2,0)</f>
        <v/>
      </c>
      <c r="Z98" s="14">
        <f>ROUNDDOWN((LEN(S98)+1)/2,0)</f>
        <v/>
      </c>
      <c r="AA98" s="56" t="n">
        <v>46150.5582505573</v>
      </c>
    </row>
    <row r="99" ht="135" customHeight="1">
      <c r="A99" s="46" t="inlineStr">
        <is>
          <t>Math</t>
        </is>
      </c>
      <c r="B99" s="46" t="inlineStr">
        <is>
          <t>U+2A00-U+2AFF</t>
        </is>
      </c>
      <c r="C99" s="46" t="inlineStr">
        <is>
          <t>Supplemental Mathematical Operators</t>
        </is>
      </c>
      <c r="D99" s="54">
        <f>HEX2DEC(MID(B99,3,FIND("-",E99)-3))</f>
        <v/>
      </c>
      <c r="E99" s="46" t="inlineStr">
        <is>
          <t>U+2A00-U+2AFF</t>
        </is>
      </c>
      <c r="F99" s="14" t="n">
        <v>3</v>
      </c>
      <c r="G99" s="14" t="n">
        <v>3</v>
      </c>
      <c r="H99" s="14" t="n">
        <v>3</v>
      </c>
      <c r="I99" s="48" t="inlineStr">
        <is>
          <t>y</t>
        </is>
      </c>
      <c r="J99" s="19">
        <f>ROUNDDOWN(W99,0)/$V99</f>
        <v/>
      </c>
      <c r="K99" s="19">
        <f>ROUNDDOWN(X99,0)/$V99</f>
        <v/>
      </c>
      <c r="L99" s="19">
        <f>ROUNDDOWN(Y99,0)/$V99</f>
        <v/>
      </c>
      <c r="M99" s="19">
        <f>ROUNDDOWN(Z99,0)/$V99</f>
        <v/>
      </c>
      <c r="O99" s="36" t="inlineStr">
        <is>
          <t>⨀ ⨁ ⨂ ⨃ ⨄ ⨅ ⨆ ⨇ ⨈ ⨉ ⨊ ⨋ ⨌ ⨍ ⨎ ⨏ ⨐ ⨑ ⨒ ⨓ ⨔ ⨕ ⨖ ⨗ ⨘ ⨙ ⨚ ⨛ ⨜ ⨝ ⨞ ⨟ ⨠ ⨡ ⨢ ⨣ ⨤ ⨥ ⨦ ⨧ ⨨ ⨩ ⨪ ⨫ ⨬ ⨭ ⨮ ⨯ ⨰ ⨱ ⨲ ⨳ ⨴ ⨵ ⨶ ⨷ ⨸ ⨹ ⨺ ⨻ ⨼ ⨽ ⨾ ⨿ ⩀ ⩁ ⩂ ⩃ ⩄ ⩅ ⩆ ⩇ ⩈ ⩉ ⩊ ⩋ ⩌ ⩍ ⩎ ⩏ ⩐ ⩑ ⩒ ⩓ ⩔ ⩕ ⩖ ⩗ ⩘ ⩙ ⩚ ⩛ ⩜ ⩝ ⩞ ⩟ ⩠ ⩡ ⩢ ⩣ ⩤ ⩥ ⩦ ⩧ ⩨ ⩩ ⩪ ⩫ ⩬ ⩭ ⩮ ⩯ ⩰ ⩱ ⩲ ⩳ ⩴ ⩵ ⩶ ⩷ ⩸ ⩹ ⩺ ⩻ ⩼ ⩽ ⩾ ⩿ ⪀ ⪁ ⪂ ⪃ ⪄ ⪅ ⪆ ⪇ ⪈ ⪉ ⪊ ⪋ ⪌ ⪍ ⪎ ⪏ ⪐ ⪑ ⪒ ⪓ ⪔ ⪕ ⪖ ⪗ ⪘ ⪙ ⪚ ⪛ ⪜ ⪝ ⪞ ⪟ ⪠ ⪡ ⪢ ⪣ ⪤ ⪥ ⪦ ⪧ ⪨ ⪩ ⪪ ⪫ ⪬ ⪭ ⪮ ⪯ ⪰ ⪱ ⪲ ⪳ ⪴ ⪵ ⪶ ⪷ ⪸ ⪹ ⪺ ⪻ ⪼ ⪽ ⪾ ⪿ ⫀ ⫁ ⫂ ⫃ ⫄ ⫅ ⫆ ⫇ ⫈ ⫉ ⫊ ⫋ ⫌ ⫍ ⫎ ⫏ ⫐ ⫑ ⫒ ⫓ ⫔ ⫕ ⫖ ⫗ ⫘ ⫙ ⫚ ⫛ ⫝̸ ⫝ ⫞ ⫟ ⫠ ⫡ ⫢ ⫣ ⫤ ⫥ ⫦ ⫧ ⫨ ⫩ ⫪ ⫫ ⫬ ⫭ ⫮ ⫯ ⫰ ⫱ ⫲ ⫳ ⫴ ⫵ ⫶ ⫷ ⫸ ⫹ ⫺ ⫻ ⫼ ⫽ ⫾ ⫿</t>
        </is>
      </c>
      <c r="P99" s="37" t="inlineStr">
        <is>
          <t>⨀ ⨁ ⨂ ⨃ ⨄ ⨅ ⨆ ⨇ ⨈ ⨉ ⨊ ⨋ ⨌ ⨍ ⨎ ⨏ ⨐ ⨑ ⨒ ⨓ ⨔ ⨕ ⨖ ⨗ ⨘ ⨙ ⨚ ⨛ ⨜ ⨝ ⨞ ⨟ ⨠ ⨡ ⨢ ⨣ ⨤ ⨥ ⨦ ⨧ ⨨ ⨩ ⨪ ⨫ ⨬ ⨭ ⨮ ⨯ ⨰ ⨱ ⨲ ⨳ ⨴ ⨵ ⨶ ⨷ ⨸ ⨹ ⨺ ⨻ ⨼ ⨽ ⨾ ⨿ ⩀ ⩁ ⩂ ⩃ ⩄ ⩅ ⩆ ⩇ ⩈ ⩉ ⩊ ⩋ ⩌ ⩍ ⩎ ⩏ ⩐ ⩑ ⩒ ⩓ ⩔ ⩕ ⩖ ⩗ ⩘ ⩙ ⩚ ⩛ ⩜ ⩝ ⩞ ⩟ ⩠ ⩡ ⩢ ⩣ ⩤ ⩥ ⩦ ⩧ ⩨ ⩩ ⩪ ⩫ ⩬ ⩭ ⩮ ⩯ ⩰ ⩱ ⩲ ⩳ ⩴ ⩵ ⩶ ⩷ ⩸ ⩹ ⩺ ⩻ ⩼ ⩽ ⩾ ⩿ ⪀ ⪁ ⪂ ⪃ ⪄ ⪅ ⪆ ⪇ ⪈ ⪉ ⪊ ⪋ ⪌ ⪍ ⪎ ⪏ ⪐ ⪑ ⪒ ⪓ ⪔ ⪕ ⪖ ⪗ ⪘ ⪙ ⪚ ⪛ ⪜ ⪝ ⪞ ⪟ ⪠ ⪡ ⪢ ⪣ ⪤ ⪥ ⪦ ⪧ ⪨ ⪩ ⪪ ⪫ ⪬ ⪭ ⪮ ⪯ ⪰ ⪱ ⪲ ⪳ ⪴ ⪵ ⪶ ⪷ ⪸ ⪹ ⪺ ⪻ ⪼ ⪽ ⪾ ⪿ ⫀ ⫁ ⫂ ⫃ ⫄ ⫅ ⫆ ⫇ ⫈ ⫉ ⫊ ⫋ ⫌ ⫍ ⫎ ⫏ ⫐ ⫑ ⫒ ⫓ ⫔ ⫕ ⫖ ⫗ ⫘ ⫙ ⫚ ⫛ ⫝ ⫞ ⫟ ⫠ ⫡ ⫢ ⫣ ⫤ ⫥ ⫦ ⫧ ⫨ ⫩ ⫪ ⫫ ⫬ ⫭ ⫮ ⫯ ⫰ ⫱ ⫲ ⫳ ⫴ ⫵ ⫶ ⫷ ⫸ ⫹ ⫺ ⫻ ⫼ ⫽ ⫾ ⫿</t>
        </is>
      </c>
      <c r="Q99" s="38" t="inlineStr">
        <is>
          <t>⨁ ⨂ ⨅ ⨆ ⨇ ⨈ ⨉ ⨊ ⨍ ⨐ ⨑ ⨔ ⨕ ⨖ ⨝ ⨞ ⨟ ⨠ ⨡ ⨭ ⨯ ⨳ ⨴ ⨷ ⨸ ⨹ ⨺ ⨻ ⨼ ⨽ ⨾ ⨿ ⩆ ⩇ ⩈ ⩉ ⩎ ⩏ ⩓ ⩔ ⩕ ⩖ ⩗ ⩘ ⩙ ⩤ ⩥ ⩬ ⩰ ⩱ ⩲ ⩳ ⩽ ⩾ ⪅ ⪆ ⪇ ⪈ ⪉ ⪊ ⪋ ⪌ ⪍ ⪎ ⪏ ⪐ ⪑ ⪒ ⪓ ⪔ ⪕ ⪖ ⪙ ⪚ ⪛ ⪜ ⪝ ⪞ ⪟ ⪠ ⪡ ⪢ ⪤ ⪥ ⪦ ⪧ ⪨ ⪩ ⪪ ⪫ ⪬ ⪭ ⪯ ⪰ ⪱ ⪲ ⪳ ⪴ ⪵ ⪶ ⪷ ⪸ ⪹ ⪺ ⪻ ⪼ ⫅ ⫆ ⫇ ⫈ ⫉ ⫊ ⫋ ⫌ ⫍ ⫏ ⫐ ⫑ ⫒ ⫓ ⫔ ⫕ ⫖ ⫗ ⫙ ⫛ ⫝ ⫞ ⫦ ⫩ ⫪ ⫬ ⫭ ⫶ ⫷ ⫸ ⫹ ⫺ ⫻ ⫽</t>
        </is>
      </c>
      <c r="R99" s="39" t="inlineStr">
        <is>
          <t>⨁ ⨂ ⨅ ⨆ ⨉ ⨊ ⨍ ⨐ ⨑ ⨔ ⨕ ⨖ ⨝ ⨞ ⨠ ⨡ ⨭ ⨳ ⨴ ⨸ ⨼ ⨽ ⨾ ⨿ ⩆ ⩈ ⩉ ⩎ ⩏ ⩓ ⩔ ⩕ ⩖ ⩗ ⩘ ⩤ ⩥ ⩬ ⩰ ⩱ ⩲ ⩽ ⩾ ⪇ ⪈ ⪉ ⪊ ⪋ ⪌ ⪏ ⪐ ⪒ ⪓ ⪔ ⪕ ⪖ ⪛ ⪜ ⪝ ⪡ ⪢ ⪤ ⪦ ⪧ ⪨ ⪩ ⪪ ⪫ ⪬ ⪭ ⪯ ⪰ ⪱ ⪲ ⪳ ⪴ ⪵ ⪶ ⪷ ⪸ ⪹ ⪺ ⫅ ⫆ ⫇ ⫉ ⫊ ⫋ ⫌ ⫏ ⫐ ⫑ ⫒ ⫓ ⫔ ⫕ ⫖ ⫙ ⫛ ⫝ ⫦ ⫪ ⫬ ⫭ ⫷ ⫸ ⫹ ⫺ ⫻ ⫽</t>
        </is>
      </c>
      <c r="S99" s="40" t="n"/>
      <c r="V99" s="14">
        <f>(LEN(O99)+1)/2</f>
        <v/>
      </c>
      <c r="W99" s="14">
        <f>ROUNDDOWN((LEN(P99)+1)/2,0)</f>
        <v/>
      </c>
      <c r="X99" s="14">
        <f>ROUNDDOWN((LEN(Q99)+1)/2,0)</f>
        <v/>
      </c>
      <c r="Y99" s="14">
        <f>ROUNDDOWN((LEN(R99)+1)/2,0)</f>
        <v/>
      </c>
      <c r="Z99" s="14">
        <f>ROUNDDOWN((LEN(S99)+1)/2,0)</f>
        <v/>
      </c>
      <c r="AA99" s="56" t="n">
        <v>46150.55825209231</v>
      </c>
    </row>
    <row r="100" ht="120" customHeight="1">
      <c r="A100" s="46" t="inlineStr">
        <is>
          <t>Arrows, Shapes, Symbols</t>
        </is>
      </c>
      <c r="B100" s="46" t="inlineStr">
        <is>
          <t>U+2B00-U+2BFF</t>
        </is>
      </c>
      <c r="C100" s="15" t="inlineStr">
        <is>
          <t>Miscellaneous Symbols and Arrows</t>
        </is>
      </c>
      <c r="D100" s="54">
        <f>HEX2DEC(MID(B100,3,FIND("-",E100)-3))</f>
        <v/>
      </c>
      <c r="E100" s="46" t="inlineStr">
        <is>
          <t>U+2B00-U+2BFF</t>
        </is>
      </c>
      <c r="F100" s="14" t="n">
        <v>3</v>
      </c>
      <c r="G100" s="14" t="n">
        <v>3</v>
      </c>
      <c r="H100" s="14" t="n">
        <v>3</v>
      </c>
      <c r="I100" s="48" t="inlineStr">
        <is>
          <t>y</t>
        </is>
      </c>
      <c r="J100" s="19">
        <f>ROUNDDOWN(W100,0)/$V100</f>
        <v/>
      </c>
      <c r="K100" s="19">
        <f>ROUNDDOWN(X100,0)/$V100</f>
        <v/>
      </c>
      <c r="L100" s="19">
        <f>ROUNDDOWN(Y100,0)/$V100</f>
        <v/>
      </c>
      <c r="M100" s="19">
        <f>ROUNDDOWN(Z100,0)/$V100</f>
        <v/>
      </c>
      <c r="O100" s="36" t="inlineStr">
        <is>
          <t>⬀ ⬁ ⬂ ⬃ ⬄ ⬅ ⬆ ⬇ ⬈ ⬉ ⬊ ⬋ ⬌ ⬍ ⬎ ⬏ ⬐ ⬑ ⬒ ⬓ ⬔ ⬕ ⬖ ⬗ ⬘ ⬙ ⬚ ⬛ ⬜ ⬝ ⬞ ⬟ ⬠ ⬡ ⬢ ⬣ ⬤ ⬥ ⬦ ⬧ ⬨ ⬩ ⬪ ⬫ ⬬ ⬭ ⬮ ⬯ ⬰ ⬱ ⬲ ⬳ ⬴ ⬵ ⬶ ⬷ ⬸ ⬹ ⬺ ⬻ ⬼ ⬽ ⬾ ⬿ ⭀ ⭁ ⭂ ⭃ ⭄ ⭅ ⭆ ⭇ ⭈ ⭉ ⭊ ⭋ ⭌ ⭍ ⭎ ⭏ ⭐ ⭑ ⭒ ⭓ ⭔ ⭕ ⭖ ⭗ ⭘ ⭙ ⭚ ⭛ ⭜ ⭝ ⭞ ⭟ ⭠ ⭡ ⭢ ⭣ ⭤ ⭥ ⭦ ⭧ ⭨ ⭩ ⭪ ⭫ ⭬ ⭭ ⭮ ⭯ ⭰ ⭱ ⭲ ⭳ ⭶ ⭷ ⭸ ⭹ ⭺ ⭻ ⭼ ⭽ ⭾ ⭿ ⮀ ⮁ ⮂ ⮃ ⮄ ⮅ ⮆ ⮇ ⮈ ⮉ ⮊ ⮋ ⮌ ⮍ ⮎ ⮏ ⮐ ⮑ ⮒ ⮓ ⮔ ⮕ ⮗ ⮘ ⮙ ⮚ ⮛ ⮜ ⮝ ⮞ ⮟ ⮠ ⮡ ⮢ ⮣ ⮤ ⮥ ⮦ ⮧ ⮨ ⮩ ⮪ ⮫ ⮬ ⮭ ⮮ ⮯ ⮰ ⮱ ⮲ ⮳ ⮴ ⮵ ⮶ ⮷ ⮸ ⮹ ⮺ ⮻ ⮼ ⮽ ⮾ ⮿ ⯀ ⯁ ⯂ ⯃ ⯄ ⯅ ⯆ ⯇ ⯈ ⯉ ⯊ ⯋ ⯌ ⯍ ⯎ ⯏ ⯐ ⯑ ⯒ ⯓ ⯔ ⯕ ⯖ ⯗ ⯘ ⯙ ⯚ ⯛ ⯜ ⯝ ⯞ ⯟ ⯠ ⯡ ⯢ ⯣ ⯤ ⯥ ⯦ ⯧ ⯨ ⯩ ⯪ ⯫ ⯬ ⯭ ⯮ ⯯ ⯰ ⯱ ⯲ ⯳ ⯴ ⯵ ⯶ ⯷ ⯸ ⯹ ⯺ ⯻ ⯼ ⯽ ⯾ ⯿</t>
        </is>
      </c>
      <c r="P100" s="37" t="inlineStr">
        <is>
          <t>⬀ ⬁ ⬂ ⬃ ⬄ ⬅ ⬆ ⬇ ⬈ ⬉ ⬊ ⬋ ⬌ ⬍ ⬎ ⬏ ⬐ ⬑ ⬒ ⬓ ⬔ ⬕ ⬖ ⬗ ⬘ ⬙ ⬚ ⬛ ⬜ ⬝ ⬞ ⬟ ⬠ ⬡ ⬢ ⬣ ⬤ ⬥ ⬦ ⬧ ⬨ ⬩ ⬪ ⬫ ⬬ ⬭ ⬮ ⬯ ⬰ ⬱ ⬲ ⬳ ⬴ ⬵ ⬶ ⬷ ⬸ ⬹ ⬺ ⬻ ⬼ ⬽ ⬾ ⬿ ⭀ ⭁ ⭂ ⭃ ⭄ ⭅ ⭆ ⭇ ⭈ ⭉ ⭊ ⭋ ⭌ ⭍ ⭎ ⭏ ⭐ ⭑ ⭒ ⭓ ⭔ ⭕ ⭖ ⭗ ⭘ ⭙ ⭚ ⭛ ⭜ ⭝ ⭞ ⭟ ⭠ ⭡ ⭢ ⭣ ⭤ ⭥ ⭦ ⭧ ⭨ ⭩ ⭪ ⭫ ⭬ ⭭ ⭮ ⭯ ⭰ ⭱ ⭲ ⭳ ⭶ ⭷ ⭸ ⭹ ⭺ ⭻ ⭼ ⭽ ⭾ ⭿ ⮀ ⮁ ⮂ ⮃ ⮄ ⮅ ⮆ ⮇ ⮈ ⮉ ⮊ ⮋ ⮌ ⮍ ⮎ ⮏ ⮐ ⮑ ⮒ ⮓ ⮔ ⮕ ⮗ ⮘ ⮙ ⮚ ⮛ ⮜ ⮝ ⮞ ⮟ ⮠ ⮡ ⮢ ⮣ ⮤ ⮥ ⮦ ⮧ ⮨ ⮩ ⮪ ⮫ ⮬ ⮭ ⮮ ⮯ ⮰ ⮱ ⮲ ⮳ ⮴ ⮵ ⮶ ⮷ ⮸ ⮹ ⮺ ⮻ ⮼ ⮽ ⮾ ⮿ ⯀ ⯁ ⯂ ⯃ ⯄ ⯅ ⯆ ⯇ ⯈ ⯉ ⯊ ⯋ ⯌ ⯍ ⯎ ⯏ ⯐ ⯑ ⯒ ⯓ ⯔ ⯕ ⯖ ⯗ ⯘ ⯙ ⯚ ⯛ ⯜ ⯝ ⯞ ⯟ ⯠ ⯡ ⯢ ⯣ ⯤ ⯥ ⯦ ⯧ ⯨ ⯩ ⯪ ⯫ ⯬ ⯭ ⯮ ⯯ ⯰ ⯱ ⯲ ⯳ ⯴ ⯵ ⯶ ⯷ ⯸ ⯹ ⯺ ⯻ ⯼ ⯽ ⯾ ⯿</t>
        </is>
      </c>
      <c r="Q100" s="38" t="inlineStr">
        <is>
          <t>⬀ ⬅ ⬆ ⬇ ⬈ ⬚ ⬛ ⬜ ⬝ ⬟ ⬡ ⬣ ⬤ ⬥ ⬧ ⬩ ⬪ ⬬ ⬮ ⭅ ⭆ ⭍ ⭎ ⭏ ⭐ ⭓ ⭕ ⭙ ⭞ ⭟ ⭠ ⭡ ⭢ ⭣ ⭤ ⭪ ⭫ ⭬ ⭭ ⭮ ⭯ ⭰ ⭱ ⭲ ⭳ ⭶ ⭾ ⭿ ⮀ ⮁ ⮂ ⮃ ⮄ ⮅ ⮆ ⮇ ⮈ ⮉ ⮊ ⮋ ⮌ ⮍ ⮎ ⮏ ⮐ ⮒ ⮔ ⮕ ⮗ ⮘ ⮙ ⮚ ⮛ ⮜ ⮝ ⮞ ⮟ ⮨ ⮩ ⮪ ⮫ ⮬ ⮭ ⮮ ⮯ ⮰ ⮹ ⮻ ⮼ ⮾ ⮿ ⯀ ⯁ ⯂ ⯃ ⯄ ⯅ ⯉ ⯊ ⯋ ⯌ ⯍ ⯎ ⯏ ⯐ ⯑ ⯒ ⯓ ⯔ ⯕ ⯖ ⯗ ⯘ ⯙ ⯚ ⯛ ⯜ ⯝ ⯞ ⯟ ⯠ ⯡ ⯢ ⯣ ⯤ ⯥ ⯦ ⯧ ⯨ ⯰ ⯱ ⯲ ⯳ ⯴ ⯵ ⯶ ⯷ ⯸ ⯺ ⯻ ⯼ ⯽ ⯾ ⯿</t>
        </is>
      </c>
      <c r="R100" s="39" t="inlineStr">
        <is>
          <t>⬀ ⬅ ⬆ ⬇ ⬈ ⬛ ⬜ ⬝ ⬟ ⬡ ⬥ ⬧ ⬩ ⬪ ⬮ ⭍ ⭎ ⭏ ⭐ ⭓ ⭕ ⭞ ⭟ ⭡ ⭣ ⭫ ⭭ ⭮ ⭯ ⭱ ⭳ ⭶ ⭿ ⮃ ⮈ ⮊ ⮬ ⮭ ⮮ ⮯ ⮻ ⮼ ⯁ ⯂ ⯉ ⯍ ⯏ ⯒ ⯓ ⯔ ⯖ ⯗ ⯙ ⯚ ⯛ ⯜ ⯝ ⯞ ⯟ ⯠ ⯡ ⯢ ⯣ ⯤ ⯥ ⯦ ⯧ ⯨ ⯰ ⯱ ⯲ ⯳ ⯶ ⯷ ⯸ ⯼ ⯽ ⯾ ⯿</t>
        </is>
      </c>
      <c r="S100" s="40" t="n"/>
      <c r="T100" s="41" t="inlineStr">
        <is>
          <t>⬀ ⬁ ⬂ ⬃ ⬄ ⬅ ⬆ ⬇ ⬈ ⬉ ⬊ ⬋ ⬌ ⬍ ⬎ ⬏ ⬐ ⬑ ⬰ ⬱ ⬲ ⬳ ⬴ ⬵ ⬶ ⬷ ⬸ ⬹ ⬺ ⬻ ⬼ ⬽ ⬾ ⬿ ⭀ ⭁ ⭂ ⭃ ⭄ ⭅ ⭆ ⭇ ⭈ ⭉ ⭊ ⭋ ⭌ ⭍ ⭎ ⭏ ⭚ ⭛ ⭜ ⭝ ⭞ ⭟ ⭠ ⭡ ⭢ ⭣ ⭤ ⭥ ⭦ ⭧ ⭨ ⭩ ⭪ ⭫ ⭬ ⭭ ⭮ ⭯ ⭰ ⭱ ⭲ ⭳ ⭶ ⭷ ⭸ ⭹ ⭺ ⭻ ⭼ ⭽ ⭾ ⭿ ⮀ ⮁ ⮂ ⮃ ⮄ ⮅ ⮆ ⮇ ⮈ ⮉ ⮊ ⮋ ⮌ ⮍ ⮎ ⮏ ⮐ ⮑ ⮒ ⮓ ⮔ ⮕ ⮠ ⮡ ⮢ ⮣ ⮤ ⮥ ⮦ ⮧ ⮨ ⮩ ⮪ ⮫ ⮬ ⮭ ⮮ ⮯ ⮰ ⮱ ⮲ ⮳ ⮴ ⮵ ⮶ ⮷ ⮸ ⯬ ⯭ ⯮ ⯯</t>
        </is>
      </c>
      <c r="U100" s="42" t="inlineStr">
        <is>
          <t>⬆ ⬈ ⬊ ⬇ ⬋ ⬅ ⬉ ⮤ ⮣ ⮧ ⮠ ⮥ ⮡ ⮦ ⮢ ⮓ ⮒ ⮔ ⮕ ⮑ ⮐ 	 ⭧ ⭢ ⭨ ⭣ ⭩ ⭠ ⭦ ⬀ ⬂ ⬃ ⬁ ⭫ ⭬ ⭭ ⭪ ⮅ ⮆ ⮇ ⮄ ⬍ ⬌ ⮴ ⮳ ⮷ ⮰ ⮵ ⮱ ⮶ ⮲ ⮸ ⭥ ⭤ ⬄ ⮁ ⮂ ⮃ ⮀ ⮍ ⮎ ⮏ ⮌ ⭞ ⭟ ⮉ ⮊ ⮋ ⮈ ⮬ ⮫ ⮯ ⮪ ⮭ ⮩ ⮮ ⮨ ⭿ ⭾ ⭱ ⭷ ⭲ ⭸ ⭳ ⭹ ⭰ ⭶ ⭺ ⭻ ⭼ ⭽ ⬎ ⬐ ⬏ ⬑ ⭮ ⭯ ⭛ ⭝ ⭚ ⭜ ⯭ ⯮ ⯯ ⯬ ⬰ ⬱ ⬲ ⬳ ⬴ ⬵ ⬶ ⬷ ⬸ ⬹ ⬺ ⬻ ⬼ ⬽ ⬾ ⬿ ⭀ ⭁ ⭂ ⭃ ⭄ ⭅ ⭆ ⭇ ⭈ ⭉ ⭊ ⭋ ⭌ ⭍ ⭎ ⭏</t>
        </is>
      </c>
      <c r="V100" s="14">
        <f>(LEN(O100)+1)/2</f>
        <v/>
      </c>
      <c r="W100" s="14">
        <f>ROUNDDOWN((LEN(P100)+1)/2,0)</f>
        <v/>
      </c>
      <c r="X100" s="14">
        <f>ROUNDDOWN((LEN(Q100)+1)/2,0)</f>
        <v/>
      </c>
      <c r="Y100" s="14">
        <f>ROUNDDOWN((LEN(R100)+1)/2,0)</f>
        <v/>
      </c>
      <c r="Z100" s="14">
        <f>ROUNDDOWN((LEN(S100)+1)/2,0)</f>
        <v/>
      </c>
      <c r="AA100" s="56" t="n">
        <v>46150.55825354579</v>
      </c>
    </row>
    <row r="101" ht="45" customHeight="1">
      <c r="B101" s="46" t="inlineStr">
        <is>
          <t>U+2C00-U+2C5F</t>
        </is>
      </c>
      <c r="C101" s="46" t="inlineStr">
        <is>
          <t>Glagolitic</t>
        </is>
      </c>
      <c r="D101" s="54">
        <f>HEX2DEC(MID(B101,3,FIND("-",E101)-3))</f>
        <v/>
      </c>
      <c r="E101" s="46" t="inlineStr">
        <is>
          <t>U+2C00-U+2C5F</t>
        </is>
      </c>
      <c r="F101" s="14" t="n">
        <v>3</v>
      </c>
      <c r="G101" s="14" t="n">
        <v>3</v>
      </c>
      <c r="H101" s="14" t="n">
        <v>3</v>
      </c>
      <c r="I101" s="48" t="inlineStr">
        <is>
          <t>y</t>
        </is>
      </c>
      <c r="J101" s="19">
        <f>ROUNDDOWN(W101,0)/$V101</f>
        <v/>
      </c>
      <c r="K101" s="19">
        <f>ROUNDDOWN(X101,0)/$V101</f>
        <v/>
      </c>
      <c r="L101" s="19">
        <f>ROUNDDOWN(Y101,0)/$V101</f>
        <v/>
      </c>
      <c r="M101" s="19">
        <f>ROUNDDOWN(Z101,0)/$V101</f>
        <v/>
      </c>
      <c r="O101" s="36" t="inlineStr">
        <is>
          <t>Ⰰ Ⰱ Ⰲ Ⰳ Ⰴ Ⰵ Ⰶ Ⰷ Ⰸ Ⰹ Ⰺ Ⰻ Ⰼ Ⰽ Ⰾ Ⰿ Ⱀ Ⱁ Ⱂ Ⱃ Ⱄ Ⱅ Ⱆ Ⱇ Ⱈ Ⱉ Ⱊ Ⱋ Ⱌ Ⱍ Ⱎ Ⱏ Ⱐ Ⱑ Ⱒ Ⱓ Ⱔ Ⱕ Ⱖ Ⱗ Ⱘ Ⱙ Ⱚ Ⱛ Ⱜ Ⱝ Ⱞ Ⱟ ⰰ ⰱ ⰲ ⰳ ⰴ ⰵ ⰶ ⰷ ⰸ ⰹ ⰺ ⰻ ⰼ ⰽ ⰾ ⰿ ⱀ ⱁ ⱂ ⱃ ⱄ ⱅ ⱆ ⱇ ⱈ ⱉ ⱊ ⱋ ⱌ ⱍ ⱎ ⱏ ⱐ ⱑ ⱒ ⱓ ⱔ ⱕ ⱖ ⱗ ⱘ ⱙ ⱚ ⱛ ⱜ ⱝ ⱞ ⱟ</t>
        </is>
      </c>
      <c r="P101" s="37" t="inlineStr">
        <is>
          <t>Ⰰ Ⰱ Ⰲ Ⰳ Ⰴ Ⰵ Ⰶ Ⰷ Ⰸ Ⰹ Ⰺ Ⰻ Ⰼ Ⰽ Ⰾ Ⰿ Ⱀ Ⱁ Ⱂ Ⱃ Ⱄ Ⱅ Ⱆ Ⱇ Ⱈ Ⱉ Ⱊ Ⱋ Ⱌ Ⱍ Ⱎ Ⱏ Ⱐ Ⱑ Ⱒ Ⱓ Ⱔ Ⱕ Ⱖ Ⱗ Ⱘ Ⱙ Ⱚ Ⱛ Ⱜ Ⱝ Ⱞ Ⱟ ⰰ ⰱ ⰲ ⰳ ⰴ ⰵ ⰶ ⰷ ⰸ ⰹ ⰺ ⰻ ⰼ ⰽ ⰾ ⰿ ⱀ ⱁ ⱂ ⱃ ⱄ ⱅ ⱆ ⱇ ⱈ ⱉ ⱊ ⱋ ⱌ ⱍ ⱎ ⱏ ⱐ ⱑ ⱒ ⱓ ⱔ ⱕ ⱖ ⱗ ⱘ ⱙ ⱚ ⱛ ⱜ ⱝ ⱞ ⱟ</t>
        </is>
      </c>
      <c r="Q101" s="38" t="inlineStr">
        <is>
          <t>ⰰ ⰱ ⰲ ⰳ ⰴ ⰵ ⰶ ⰷ ⰸ ⰹ ⰺ ⰻ ⰼ ⰽ ⰾ ⰿ ⱀ ⱁ ⱂ ⱃ ⱄ ⱅ ⱆ ⱇ ⱈ ⱉ ⱊ ⱋ ⱌ ⱍ ⱎ ⱏ ⱐ ⱑ ⱒ ⱓ ⱔ ⱖ ⱗ ⱘ ⱙ ⱚ ⱛ ⱜ ⱝ ⱞ ⱟ</t>
        </is>
      </c>
      <c r="R101" s="39" t="inlineStr">
        <is>
          <t>ⰰ ⰱ ⰲ ⰳ ⰴ ⰵ ⰶ ⰷ ⰸ ⰹ ⰺ ⰻ ⰼ ⰽ ⰾ ⰿ ⱀ ⱁ ⱂ ⱃ ⱄ ⱅ ⱆ ⱇ ⱈ ⱉ ⱊ ⱋ ⱌ ⱍ ⱎ ⱏ ⱐ ⱑ ⱒ ⱓ ⱔ ⱖ ⱗ ⱘ ⱚ ⱛ ⱜ ⱝ ⱞ ⱟ</t>
        </is>
      </c>
      <c r="S101" s="40" t="n"/>
      <c r="V101" s="14">
        <f>(LEN(O101)+1)/2</f>
        <v/>
      </c>
      <c r="W101" s="14">
        <f>ROUNDDOWN((LEN(P101)+1)/2,0)</f>
        <v/>
      </c>
      <c r="X101" s="14">
        <f>ROUNDDOWN((LEN(Q101)+1)/2,0)</f>
        <v/>
      </c>
      <c r="Y101" s="14">
        <f>ROUNDDOWN((LEN(R101)+1)/2,0)</f>
        <v/>
      </c>
      <c r="Z101" s="14">
        <f>ROUNDDOWN((LEN(S101)+1)/2,0)</f>
        <v/>
      </c>
      <c r="AA101" s="56" t="n">
        <v>46150.55825404864</v>
      </c>
    </row>
    <row r="102" ht="25.5" customHeight="1">
      <c r="A102" s="46" t="inlineStr">
        <is>
          <t>Latin 3B</t>
        </is>
      </c>
      <c r="B102" s="46" t="inlineStr">
        <is>
          <t>U+2C60-U+2C7F</t>
        </is>
      </c>
      <c r="C102" s="15" t="inlineStr">
        <is>
          <t>Latin Extended-C</t>
        </is>
      </c>
      <c r="D102" s="54">
        <f>HEX2DEC(MID(B102,3,FIND("-",E102)-3))</f>
        <v/>
      </c>
      <c r="E102" s="46" t="inlineStr">
        <is>
          <t>U+2C60-U+2C7F</t>
        </is>
      </c>
      <c r="F102" s="14" t="n">
        <v>3</v>
      </c>
      <c r="G102" s="14" t="n">
        <v>3</v>
      </c>
      <c r="H102" s="14" t="n">
        <v>0</v>
      </c>
      <c r="I102" s="48" t="inlineStr">
        <is>
          <t>n</t>
        </is>
      </c>
      <c r="J102" s="19">
        <f>ROUNDDOWN(W102,0)/$V102</f>
        <v/>
      </c>
      <c r="K102" s="19">
        <f>ROUNDDOWN(X102,0)/$V102</f>
        <v/>
      </c>
      <c r="L102" s="19">
        <f>ROUNDDOWN(Y102,0)/$V102</f>
        <v/>
      </c>
      <c r="M102" s="19">
        <f>ROUNDDOWN(Z102,0)/$V102</f>
        <v/>
      </c>
      <c r="O102" s="36" t="inlineStr">
        <is>
          <t>Ⱡ ⱡ Ɫ Ᵽ Ɽ ⱥ ⱦ Ⱨ ⱨ Ⱪ ⱪ Ⱬ ⱬ Ɑ Ɱ Ɐ Ɒ ⱱ Ⱳ ⱳ ⱴ Ⱶ ⱶ ⱷ ⱸ ⱹ ⱺ ⱻ ⱼ ⱽ Ȿ Ɀ</t>
        </is>
      </c>
      <c r="P102" s="37" t="inlineStr">
        <is>
          <t>Ⱡ ⱡ Ɫ Ᵽ Ɽ ⱥ ⱦ Ⱨ ⱨ Ⱪ ⱪ Ⱬ ⱬ Ɑ Ɱ Ɐ Ɒ ⱱ Ⱳ ⱳ ⱴ Ⱶ ⱶ ⱷ ⱸ ⱹ ⱺ ⱻ ⱼ ⱽ Ȿ Ɀ</t>
        </is>
      </c>
      <c r="Q102" s="38" t="inlineStr">
        <is>
          <t>ⱶ ⱷ ⱻ</t>
        </is>
      </c>
      <c r="R102" s="43" t="inlineStr">
        <is>
          <t>ⱶ ⱷ ⱻ</t>
        </is>
      </c>
      <c r="S102" s="40" t="n"/>
      <c r="T102" s="41" t="inlineStr">
        <is>
          <t>Ⱡ ⱡ Ɫ Ᵽ Ɽ ⱥ ⱦ Ⱨ ⱨ Ⱪ ⱪ Ⱬ ⱬ Ɑ Ɱ Ɐ Ɒ ⱱ Ⱳ ⱳ ⱴ Ⱶ ⱶ ⱷ ⱸ ⱹ ⱺ ⱻ ⱼ ⱽ Ȿ Ɀ</t>
        </is>
      </c>
      <c r="U102" s="42" t="inlineStr">
        <is>
          <t>Ɑ Ⱶ Ɐ Ɒ ⱶ ⱷ ⱻ Ɫ ⱦ Ᵽ ⱥ Ɱ Ⱳ ⱳ ⱱ Ⱡ ⱡ ⱴ Ⱨ Ⱪ Ⱬ ⱨ ⱪ ⱬ ⱺ ⱸ Ȿ Ɀ Ɽ ⱹ ⱼ ⱽ</t>
        </is>
      </c>
      <c r="V102" s="14">
        <f>(LEN(O102)+1)/2</f>
        <v/>
      </c>
      <c r="W102" s="14">
        <f>ROUNDDOWN((LEN(P102)+1)/2,0)</f>
        <v/>
      </c>
      <c r="X102" s="14">
        <f>ROUNDDOWN((LEN(Q102)+1)/2,0)</f>
        <v/>
      </c>
      <c r="Y102" s="14">
        <f>ROUNDDOWN((LEN(R102)+1)/2,0)</f>
        <v/>
      </c>
      <c r="Z102" s="14">
        <f>ROUNDDOWN((LEN(S102)+1)/2,0)</f>
        <v/>
      </c>
      <c r="AA102" s="56" t="n">
        <v>46150.55825425225</v>
      </c>
    </row>
    <row r="103" ht="75" customHeight="1">
      <c r="B103" s="46" t="inlineStr">
        <is>
          <t>U+2C80-U+2CFF</t>
        </is>
      </c>
      <c r="C103" s="46" t="inlineStr">
        <is>
          <t>Coptic</t>
        </is>
      </c>
      <c r="D103" s="54">
        <f>HEX2DEC(MID(B103,3,FIND("-",E103)-3))</f>
        <v/>
      </c>
      <c r="E103" s="46" t="inlineStr">
        <is>
          <t>U+2C80-U+2CFF</t>
        </is>
      </c>
      <c r="F103" s="14" t="n">
        <v>3</v>
      </c>
      <c r="I103" s="48" t="inlineStr">
        <is>
          <t>ALL</t>
        </is>
      </c>
      <c r="J103" s="19">
        <f>ROUNDDOWN(W103,0)/$V103</f>
        <v/>
      </c>
      <c r="K103" s="19">
        <f>ROUNDDOWN(X103,0)/$V103</f>
        <v/>
      </c>
      <c r="L103" s="19">
        <f>ROUNDDOWN(Y103,0)/$V103</f>
        <v/>
      </c>
      <c r="M103" s="19">
        <f>ROUNDDOWN(Z103,0)/$V103</f>
        <v/>
      </c>
      <c r="O103" s="36" t="inlineStr">
        <is>
          <t>Ⲁ ⲁ Ⲃ ⲃ Ⲅ ⲅ Ⲇ ⲇ Ⲉ ⲉ Ⲋ ⲋ Ⲍ ⲍ Ⲏ ⲏ Ⲑ ⲑ Ⲓ ⲓ Ⲕ ⲕ Ⲗ ⲗ Ⲙ ⲙ Ⲛ ⲛ Ⲝ ⲝ Ⲟ ⲟ Ⲡ ⲡ Ⲣ ⲣ Ⲥ ⲥ Ⲧ ⲧ Ⲩ ⲩ Ⲫ ⲫ Ⲭ ⲭ Ⲯ ⲯ Ⲱ ⲱ Ⲳ ⲳ Ⲵ ⲵ Ⲷ ⲷ Ⲹ ⲹ Ⲻ ⲻ Ⲽ ⲽ Ⲿ ⲿ Ⳁ ⳁ Ⳃ ⳃ Ⳅ ⳅ Ⳇ ⳇ Ⳉ ⳉ Ⳋ ⳋ Ⳍ ⳍ Ⳏ ⳏ Ⳑ ⳑ Ⳓ ⳓ Ⳕ ⳕ Ⳗ ⳗ Ⳙ ⳙ Ⳛ ⳛ Ⳝ ⳝ Ⳟ ⳟ Ⳡ ⳡ Ⳣ ⳣ ⳤ ⳥ ⳦ ⳧ ⳨ ⳩ ⳪ Ⳬ ⳬ Ⳮ ⳮ ⳯ ⳰ ⳱ Ⳳ ⳳ ⳹ ⳺ ⳻ ⳼ ⳽ ⳾ ⳿</t>
        </is>
      </c>
      <c r="P103" s="37" t="inlineStr">
        <is>
          <t>Ⲁ ⲁ Ⲃ ⲃ Ⲅ ⲅ Ⲇ ⲇ Ⲉ ⲉ Ⲋ ⲋ Ⲍ ⲍ Ⲏ ⲏ Ⲑ ⲑ Ⲓ ⲓ Ⲕ ⲕ Ⲗ ⲗ Ⲙ ⲙ Ⲛ ⲛ Ⲝ ⲝ Ⲟ ⲟ Ⲡ ⲡ Ⲣ ⲣ Ⲥ ⲥ Ⲧ ⲧ Ⲩ ⲩ Ⲫ ⲫ Ⲭ ⲭ Ⲯ ⲯ Ⲱ ⲱ Ⲳ ⲳ Ⲵ ⲵ Ⲷ ⲷ Ⲹ ⲹ Ⲻ ⲻ Ⲽ ⲽ Ⲿ ⲿ Ⳁ ⳁ Ⳃ ⳃ Ⳅ ⳅ Ⳇ ⳇ Ⳉ ⳉ Ⳋ ⳋ Ⳍ ⳍ Ⳏ ⳏ Ⳑ ⳑ Ⳓ ⳓ Ⳕ ⳕ Ⳗ ⳗ Ⳙ ⳙ Ⳛ ⳛ Ⳝ ⳝ Ⳟ ⳟ Ⳡ ⳡ Ⳣ ⳣ ⳤ ⳥ ⳦ ⳧ ⳨ ⳩ ⳪ Ⳬ ⳬ Ⳮ ⳮ Ⳳ ⳳ ⳹ ⳺ ⳻ ⳼ ⳽ ⳾ ⳿</t>
        </is>
      </c>
      <c r="Q103" s="38" t="inlineStr">
        <is>
          <t>ⲁ ⲃ ⲅ ⲇ ⲉ ⲋ ⲍ ⲏ ⲑ ⲓ ⲕ ⲗ ⲙ ⲛ ⲝ ⲡ ⲣ ⲥ ⲧ ⲩ ⲫ ⲭ ⲯ ⲱ ⲳ ⲵ ⲷ ⲹ ⲻ ⲽ ⲿ ⳁ ⳅ ⳇ ⳉ ⳋ ⳍ ⳏ ⳑ ⳓ ⳕ ⳗ ⳙ ⳛ ⳝ ⳟ ⳡ ⳣ ⳤ ⳥ ⳦ ⳧ ⳨ ⳩ ⳪ ⳬ ⳮ ⳳ ⳹ ⳺ ⳻ ⳼ ⳾ ⳿</t>
        </is>
      </c>
      <c r="R103" s="43" t="inlineStr">
        <is>
          <t>ⲁ ⲃ ⲇ ⲉ ⲋ ⲍ ⲏ ⲑ ⲕ ⲗ ⲙ ⲛ ⲝ ⲡ ⲧ ⲫ ⲭ ⲯ ⲱ ⲳ ⲵ ⲷ ⲹ ⲻ ⲿ ⳁ ⳅ ⳇ ⳉ ⳍ ⳑ ⳕ ⳗ ⳙ ⳛ ⳝ ⳟ ⳡ ⳣ ⳤ ⳥ ⳦ ⳨ ⳩ ⳬ ⳮ ⳳ ⳹ ⳺ ⳻ ⳼ ⳾</t>
        </is>
      </c>
      <c r="S103" s="40" t="n"/>
      <c r="V103" s="14">
        <f>(LEN(O103)+1)/2</f>
        <v/>
      </c>
      <c r="W103" s="14">
        <f>ROUNDDOWN((LEN(P103)+1)/2,0)</f>
        <v/>
      </c>
      <c r="X103" s="14">
        <f>ROUNDDOWN((LEN(Q103)+1)/2,0)</f>
        <v/>
      </c>
      <c r="Y103" s="14">
        <f>ROUNDDOWN((LEN(R103)+1)/2,0)</f>
        <v/>
      </c>
      <c r="Z103" s="14">
        <f>ROUNDDOWN((LEN(S103)+1)/2,0)</f>
        <v/>
      </c>
      <c r="AA103" s="56" t="n">
        <v>46150.55825482303</v>
      </c>
    </row>
    <row r="104" ht="25.5" customHeight="1">
      <c r="B104" s="46" t="inlineStr">
        <is>
          <t>U+2D00-U+2D2D</t>
        </is>
      </c>
      <c r="C104" s="46" t="inlineStr">
        <is>
          <t>Georgian Supplement</t>
        </is>
      </c>
      <c r="D104" s="54">
        <f>HEX2DEC(MID(B104,3,FIND("-",E104)-3))</f>
        <v/>
      </c>
      <c r="E104" s="46" t="inlineStr">
        <is>
          <t>U+2D00-U+2D2F</t>
        </is>
      </c>
      <c r="F104" s="14" t="n">
        <v>3</v>
      </c>
      <c r="I104" s="48" t="inlineStr">
        <is>
          <t>ALL</t>
        </is>
      </c>
      <c r="J104" s="19">
        <f>ROUNDDOWN(W104,0)/$V104</f>
        <v/>
      </c>
      <c r="K104" s="19">
        <f>ROUNDDOWN(X104,0)/$V104</f>
        <v/>
      </c>
      <c r="L104" s="19">
        <f>ROUNDDOWN(Y104,0)/$V104</f>
        <v/>
      </c>
      <c r="M104" s="19">
        <f>ROUNDDOWN(Z104,0)/$V104</f>
        <v/>
      </c>
      <c r="O104" s="36" t="inlineStr">
        <is>
          <t>ⴀ ⴁ ⴂ ⴃ ⴄ ⴅ ⴆ ⴇ ⴈ ⴉ ⴊ ⴋ ⴌ ⴍ ⴎ ⴏ ⴐ ⴑ ⴒ ⴓ ⴔ ⴕ ⴖ ⴗ ⴘ ⴙ ⴚ ⴛ ⴜ ⴝ ⴞ ⴟ ⴠ ⴡ ⴢ ⴣ ⴤ ⴥ ⴧ ⴭ</t>
        </is>
      </c>
      <c r="P104" s="37" t="inlineStr">
        <is>
          <t>ⴀ ⴁ ⴂ ⴃ ⴄ ⴅ ⴆ ⴇ ⴈ ⴉ ⴊ ⴋ ⴌ ⴍ ⴎ ⴏ ⴐ ⴑ ⴒ ⴓ ⴔ ⴕ ⴖ ⴗ ⴘ ⴙ ⴚ ⴛ ⴜ ⴝ ⴞ ⴟ ⴠ ⴡ ⴢ ⴣ ⴤ ⴥ ⴧ ⴭ</t>
        </is>
      </c>
      <c r="Q104" s="38" t="inlineStr">
        <is>
          <t>ⴀ ⴁ ⴂ ⴃ ⴄ ⴅ ⴆ ⴇ ⴈ ⴉ ⴊ ⴋ ⴌ ⴍ ⴎ ⴏ ⴐ ⴑ ⴒ ⴓ ⴔ ⴕ ⴖ ⴗ ⴘ ⴙ ⴚ ⴛ ⴜ ⴝ ⴞ ⴟ ⴠ ⴡ ⴢ ⴣ ⴤ ⴥ ⴧ ⴭ</t>
        </is>
      </c>
      <c r="R104" s="43" t="inlineStr">
        <is>
          <t>ⴀ ⴁ ⴂ ⴃ ⴄ ⴅ ⴆ ⴇ ⴈ ⴉ ⴊ ⴋ ⴌ ⴍ ⴎ ⴏ ⴐ ⴑ ⴒ ⴓ ⴔ ⴕ ⴖ ⴗ ⴘ ⴙ ⴚ ⴛ ⴜ ⴝ ⴞ ⴟ ⴠ ⴡ ⴢ ⴣ ⴤ ⴥ ⴧ ⴭ</t>
        </is>
      </c>
      <c r="S104" s="40" t="n"/>
      <c r="V104" s="14">
        <f>(LEN(O104)+1)/2</f>
        <v/>
      </c>
      <c r="W104" s="14">
        <f>ROUNDDOWN((LEN(P104)+1)/2,0)</f>
        <v/>
      </c>
      <c r="X104" s="14">
        <f>ROUNDDOWN((LEN(Q104)+1)/2,0)</f>
        <v/>
      </c>
      <c r="Y104" s="14">
        <f>ROUNDDOWN((LEN(R104)+1)/2,0)</f>
        <v/>
      </c>
      <c r="Z104" s="14">
        <f>ROUNDDOWN((LEN(S104)+1)/2,0)</f>
        <v/>
      </c>
      <c r="AA104" s="56" t="n">
        <v>46150.55825524891</v>
      </c>
    </row>
    <row r="105" ht="25.5" customHeight="1">
      <c r="B105" s="46" t="inlineStr">
        <is>
          <t>U+2D30-U+2D7F</t>
        </is>
      </c>
      <c r="C105" s="46" t="inlineStr">
        <is>
          <t>Tifinagh</t>
        </is>
      </c>
      <c r="D105" s="54">
        <f>HEX2DEC(MID(B105,3,FIND("-",E105)-3))</f>
        <v/>
      </c>
      <c r="E105" s="46" t="inlineStr">
        <is>
          <t>U+2D30-U+2D7F</t>
        </is>
      </c>
      <c r="F105" s="14" t="n">
        <v>3</v>
      </c>
      <c r="I105" s="48" t="inlineStr">
        <is>
          <t>ALL</t>
        </is>
      </c>
      <c r="J105" s="19">
        <f>ROUNDDOWN(W105,0)/$V105</f>
        <v/>
      </c>
      <c r="K105" s="19">
        <f>ROUNDDOWN(X105,0)/$V105</f>
        <v/>
      </c>
      <c r="L105" s="19">
        <f>ROUNDDOWN(Y105,0)/$V105</f>
        <v/>
      </c>
      <c r="M105" s="19">
        <f>ROUNDDOWN(Z105,0)/$V105</f>
        <v/>
      </c>
      <c r="O105" s="36" t="inlineStr">
        <is>
          <t>ⴰ ⴱ ⴲ ⴳ ⴴ ⴵ ⴶ ⴷ ⴸ ⴹ ⴺ ⴻ ⴼ ⴽ ⴾ ⴿ ⵀ ⵁ ⵂ ⵃ ⵄ ⵅ ⵆ ⵇ ⵈ ⵉ ⵊ ⵋ ⵌ ⵍ ⵎ ⵏ ⵐ ⵑ ⵒ ⵓ ⵔ ⵕ ⵖ ⵗ ⵘ ⵙ ⵚ ⵛ ⵜ ⵝ ⵞ ⵟ ⵠ ⵡ ⵢ ⵣ ⵤ ⵥ ⵦ ⵧ ⵯ ⵰ ⵿</t>
        </is>
      </c>
      <c r="P105" s="37" t="inlineStr">
        <is>
          <t>ⴰ ⴱ ⴲ ⴳ ⴴ ⴵ ⴶ ⴷ ⴸ ⴹ ⴺ ⴻ ⴼ ⴽ ⴾ ⴿ ⵀ ⵁ ⵂ ⵃ ⵄ ⵅ ⵆ ⵇ ⵈ ⵉ ⵊ ⵋ ⵌ ⵍ ⵎ ⵏ ⵐ ⵑ ⵒ ⵓ ⵔ ⵕ ⵖ ⵗ ⵘ ⵙ ⵚ ⵛ ⵜ ⵝ ⵞ ⵟ ⵠ ⵡ ⵢ ⵣ ⵤ ⵥ ⵦ ⵧ ⵰</t>
        </is>
      </c>
      <c r="Q105" s="38" t="inlineStr">
        <is>
          <t>ⴰ ⴱ ⴲ ⴳ ⴴ ⴵ ⴶ ⴷ ⴸ ⴹ ⴺ ⴻ ⴼ ⴽ ⴾ ⴿ ⵀ ⵁ ⵂ ⵃ ⵄ ⵅ ⵆ ⵇ ⵈ ⵉ ⵊ ⵋ ⵌ ⵍ ⵎ ⵏ ⵐ ⵑ ⵒ ⵓ ⵔ ⵕ ⵖ ⵗ ⵘ ⵙ ⵚ ⵛ ⵜ ⵝ ⵞ ⵟ ⵠ ⵡ ⵢ ⵣ ⵤ ⵥ ⵦ ⵧ ⵰</t>
        </is>
      </c>
      <c r="R105" s="43" t="inlineStr">
        <is>
          <t>ⴰ ⴱ ⴲ ⴳ ⴴ ⴵ ⴷ ⴺ ⴻ ⴼ ⴽ ⴿ ⵀ ⵁ ⵃ ⵄ ⵅ ⵇ ⵉ ⵊ ⵋ ⵌ ⵍ ⵎ ⵐ ⵑ ⵒ ⵖ ⵙ ⵚ ⵛ ⵜ ⵞ ⵟ ⵠ ⵡ ⵢ ⵣ ⵤ ⵥ ⵦ ⵰</t>
        </is>
      </c>
      <c r="S105" s="40" t="n"/>
      <c r="V105" s="14">
        <f>(LEN(O105)+1)/2</f>
        <v/>
      </c>
      <c r="W105" s="14">
        <f>ROUNDDOWN((LEN(P105)+1)/2,0)</f>
        <v/>
      </c>
      <c r="X105" s="14">
        <f>ROUNDDOWN((LEN(Q105)+1)/2,0)</f>
        <v/>
      </c>
      <c r="Y105" s="14">
        <f>ROUNDDOWN((LEN(R105)+1)/2,0)</f>
        <v/>
      </c>
      <c r="Z105" s="14">
        <f>ROUNDDOWN((LEN(S105)+1)/2,0)</f>
        <v/>
      </c>
      <c r="AA105" s="56" t="n">
        <v>46150.55825577361</v>
      </c>
    </row>
    <row r="106" ht="25.5" customHeight="1">
      <c r="B106" s="46" t="inlineStr">
        <is>
          <t>U+2D80-U+2DDE</t>
        </is>
      </c>
      <c r="C106" s="46" t="inlineStr">
        <is>
          <t>Ethiopic Extended</t>
        </is>
      </c>
      <c r="D106" s="54">
        <f>HEX2DEC(MID(B106,3,FIND("-",E106)-3))</f>
        <v/>
      </c>
      <c r="E106" s="46" t="inlineStr">
        <is>
          <t>U+2D80-U+2DDF</t>
        </is>
      </c>
      <c r="F106" s="14" t="n">
        <v>3</v>
      </c>
      <c r="I106" s="48" t="inlineStr">
        <is>
          <t>no</t>
        </is>
      </c>
      <c r="J106" s="19">
        <f>ROUNDDOWN(W106,0)/$V106</f>
        <v/>
      </c>
      <c r="K106" s="19">
        <f>ROUNDDOWN(X106,0)/$V106</f>
        <v/>
      </c>
      <c r="L106" s="19">
        <f>ROUNDDOWN(Y106,0)/$V106</f>
        <v/>
      </c>
      <c r="M106" s="19">
        <f>ROUNDDOWN(Z106,0)/$V106</f>
        <v/>
      </c>
      <c r="O106" s="36" t="inlineStr">
        <is>
          <t>ⶀ ⶁ ⶂ ⶃ ⶄ ⶅ ⶆ ⶇ ⶈ ⶉ ⶊ ⶋ ⶌ ⶍ ⶎ ⶏ ⶐ ⶑ ⶒ ⶓ ⶔ ⶕ ⶖ ⶠ ⶡ ⶢ ⶣ ⶤ ⶥ ⶦ ⶨ ⶩ ⶪ ⶫ ⶬ ⶭ ⶮ ⶰ ⶱ ⶲ ⶳ ⶴ ⶵ ⶶ ⶸ ⶹ ⶺ ⶻ ⶼ ⶽ ⶾ ⷀ ⷁ ⷂ ⷃ ⷄ ⷅ ⷆ ⷈ ⷉ ⷊ ⷋ ⷌ ⷍ ⷎ ⷐ ⷑ ⷒ ⷓ ⷔ ⷕ ⷖ ⷘ ⷙ ⷚ ⷛ ⷜ ⷝ ⷞ</t>
        </is>
      </c>
      <c r="P106" s="37" t="inlineStr">
        <is>
          <t>ⶀ ⶁ ⶂ ⶃ ⶄ ⶅ ⶆ ⶇ ⶈ ⶉ ⶊ ⶋ ⶌ ⶍ ⶎ ⶏ ⶐ ⶑ ⶒ ⶓ ⶔ ⶕ ⶖ ⶠ ⶡ ⶢ ⶣ ⶤ ⶥ ⶦ ⶨ ⶩ ⶪ ⶫ ⶬ ⶭ ⶮ ⶰ ⶱ ⶲ ⶳ ⶴ ⶵ ⶶ ⶸ ⶹ ⶺ ⶻ ⶼ ⶽ ⶾ ⷀ ⷁ ⷂ ⷃ ⷄ ⷅ ⷆ ⷈ ⷉ ⷊ ⷋ ⷌ ⷍ ⷎ ⷐ ⷑ ⷒ ⷓ ⷔ ⷕ ⷖ ⷘ ⷙ ⷚ ⷛ ⷜ ⷝ ⷞ</t>
        </is>
      </c>
      <c r="Q106" s="38" t="inlineStr">
        <is>
          <t>ⶀ ⶁ ⶂ ⶃ ⶄ ⶅ ⶆ ⶇ ⶈ ⶉ ⶊ ⶋ ⶌ ⶍ ⶎ ⶏ ⶐ ⶑ ⶒ ⶓ ⶔ ⶕ ⶖ ⶠ ⶡ ⶢ ⶣ ⶤ ⶥ ⶦ ⶨ ⶩ ⶪ ⶫ ⶬ ⶭ ⶮ ⶰ ⶱ ⶲ ⶳ ⶴ ⶵ ⶶ ⶸ ⶹ ⶺ ⶻ ⶼ ⶽ ⶾ ⷀ ⷁ ⷂ ⷃ ⷄ ⷅ ⷆ ⷈ ⷉ ⷊ ⷋ ⷌ ⷍ ⷎ ⷐ ⷑ ⷒ ⷓ ⷔ ⷕ ⷖ ⷘ ⷙ ⷚ ⷛ ⷜ ⷝ ⷞ</t>
        </is>
      </c>
      <c r="R106" s="43" t="inlineStr">
        <is>
          <t>ⶆ ⶇ ⶈ ⶉ ⶊ ⶌ ⶍ ⶎ ⶏ ⶒ ⶠ ⶣ ⶦ ⶨ ⶩ ⶪ ⶫ ⶬ ⶭ ⷀ ⷁ ⷂ ⷃ ⷄ ⷅ ⷆ ⷈ ⷉ ⷊ ⷋ ⷌ ⷍ ⷎ ⷘ ⷝ</t>
        </is>
      </c>
      <c r="S106" s="40" t="n"/>
      <c r="V106" s="14">
        <f>(LEN(O106)+1)/2</f>
        <v/>
      </c>
      <c r="W106" s="14">
        <f>ROUNDDOWN((LEN(P106)+1)/2,0)</f>
        <v/>
      </c>
      <c r="X106" s="14">
        <f>ROUNDDOWN((LEN(Q106)+1)/2,0)</f>
        <v/>
      </c>
      <c r="Y106" s="14">
        <f>ROUNDDOWN((LEN(R106)+1)/2,0)</f>
        <v/>
      </c>
      <c r="Z106" s="14">
        <f>ROUNDDOWN((LEN(S106)+1)/2,0)</f>
        <v/>
      </c>
      <c r="AA106" s="56" t="n">
        <v>46150.55825648685</v>
      </c>
    </row>
    <row r="107" ht="25.5" customHeight="1">
      <c r="A107" s="46" t="inlineStr">
        <is>
          <t>Cyrillic 3B</t>
        </is>
      </c>
      <c r="B107" s="46" t="inlineStr">
        <is>
          <t>U+2DE0-U+2DFF</t>
        </is>
      </c>
      <c r="C107" s="46" t="inlineStr">
        <is>
          <t>Cyrillic Extended-A</t>
        </is>
      </c>
      <c r="D107" s="54">
        <f>HEX2DEC(MID(B107,3,FIND("-",E107)-3))</f>
        <v/>
      </c>
      <c r="E107" s="46" t="inlineStr">
        <is>
          <t>U+2DE0-U+2DFF</t>
        </is>
      </c>
      <c r="F107" s="14" t="n">
        <v>3</v>
      </c>
      <c r="I107" s="48" t="inlineStr">
        <is>
          <t>--</t>
        </is>
      </c>
      <c r="J107" s="19">
        <f>ROUNDDOWN(W107,0)/$V107</f>
        <v/>
      </c>
      <c r="K107" s="19">
        <f>ROUNDDOWN(X107,0)/$V107</f>
        <v/>
      </c>
      <c r="L107" s="19">
        <f>ROUNDDOWN(Y107,0)/$V107</f>
        <v/>
      </c>
      <c r="M107" s="19">
        <f>ROUNDDOWN(Z107,0)/$V107</f>
        <v/>
      </c>
      <c r="N107" s="35" t="inlineStr">
        <is>
          <t>Too small</t>
        </is>
      </c>
      <c r="O107" s="36" t="inlineStr">
        <is>
          <t>ⷠ ⷡ ⷢ ⷣ ⷤ ⷥ ⷦ ⷧ ⷨ ⷩ ⷪ ⷫ ⷬ ⷭ ⷮ ⷯ ⷰ ⷱ ⷲ ⷳ ⷴ ⷵ ⷶ ⷷ ⷸ ⷹ ⷺ ⷻ ⷼ ⷽ ⷾ ⷿ</t>
        </is>
      </c>
      <c r="P107" s="37" t="inlineStr"/>
      <c r="Q107" s="38" t="inlineStr"/>
      <c r="R107" t="inlineStr"/>
      <c r="V107" s="14">
        <f>(LEN(O107)+1)/2</f>
        <v/>
      </c>
      <c r="W107" s="14">
        <f>ROUNDDOWN((LEN(P107)+1)/2,0)</f>
        <v/>
      </c>
      <c r="X107" s="14">
        <f>ROUNDDOWN((LEN(Q107)+1)/2,0)</f>
        <v/>
      </c>
      <c r="Y107" s="14">
        <f>ROUNDDOWN((LEN(R107)+1)/2,0)</f>
        <v/>
      </c>
      <c r="Z107" s="14">
        <f>ROUNDDOWN((LEN(S107)+1)/2,0)</f>
        <v/>
      </c>
      <c r="AA107" s="56" t="n">
        <v>46150.55825648759</v>
      </c>
    </row>
    <row r="108" ht="25.5" customHeight="1">
      <c r="B108" s="46" t="inlineStr">
        <is>
          <t>U+2E00-U+2E5D</t>
        </is>
      </c>
      <c r="C108" s="46" t="inlineStr">
        <is>
          <t>Supplemental Punctuation</t>
        </is>
      </c>
      <c r="D108" s="54">
        <f>HEX2DEC(MID(B108,3,FIND("-",E108)-3))</f>
        <v/>
      </c>
      <c r="E108" s="46" t="inlineStr">
        <is>
          <t>U+2E00-U+2E7F</t>
        </is>
      </c>
      <c r="F108" s="14" t="n">
        <v>3</v>
      </c>
      <c r="I108" s="48" t="inlineStr">
        <is>
          <t>no</t>
        </is>
      </c>
      <c r="J108" s="19">
        <f>ROUNDDOWN(W108,0)/$V108</f>
        <v/>
      </c>
      <c r="K108" s="19">
        <f>ROUNDDOWN(X108,0)/$V108</f>
        <v/>
      </c>
      <c r="L108" s="19">
        <f>ROUNDDOWN(Y108,0)/$V108</f>
        <v/>
      </c>
      <c r="M108" s="19">
        <f>ROUNDDOWN(Z108,0)/$V108</f>
        <v/>
      </c>
      <c r="O108" s="36" t="inlineStr">
        <is>
          <t>⸀ ⸁ ⸂ ⸃ ⸄ ⸅ ⸆ ⸇ ⸈ ⸉ ⸊ ⸋ ⸌ ⸍ ⸎ ⸏ ⸐ ⸑ ⸒ ⸓ ⸔ ⸕ ⸖ ⸗ ⸘ ⸙ ⸚ ⸛ ⸜ ⸝ ⸞ ⸟ ⸠ ⸡ ⸢ ⸣ ⸤ ⸥ ⸦ ⸧ ⸨ ⸩ ⸪ ⸫ ⸬ ⸭ ⸮ ⸯ ⸰ ⸱ ⸲ ⸳ ⸴ ⸵ ⸶ ⸷ ⸸ ⸹ ⸺ ⸻ ⸼ ⸽ ⸾ ⸿ ⹀ ⹁ ⹂ ⹃ ⹄ ⹅ ⹆ ⹇ ⹈ ⹉ ⹊ ⹋ ⹌ ⹍ ⹎ ⹏ ⹐ ⹑ ⹒ ⹓ ⹔ ⹕ ⹖ ⹗ ⹘ ⹙ ⹚ ⹛ ⹜ ⹝</t>
        </is>
      </c>
      <c r="P108" s="37" t="inlineStr">
        <is>
          <t>⸀ ⸁ ⸂ ⸃ ⸄ ⸅ ⸆ ⸇ ⸈ ⸉ ⸊ ⸋ ⸌ ⸍ ⸎ ⸏ ⸐ ⸑ ⸒ ⸓ ⸔ ⸕ ⸖ ⸗ ⸘ ⸙ ⸚ ⸛ ⸜ ⸝ ⸞ ⸟ ⸠ ⸡ ⸢ ⸣ ⸤ ⸥ ⸦ ⸧ ⸨ ⸩ ⸪ ⸫ ⸬ ⸭ ⸮ ⸰ ⸱ ⸲ ⸳ ⸴ ⸵ ⸶ ⸷ ⸸ ⸹ ⸺ ⸻ ⸼ ⸽ ⸾ ⸿ ⹀ ⹁ ⹂ ⹃ ⹄ ⹅ ⹆ ⹇ ⹈ ⹉ ⹊ ⹋ ⹌ ⹍ ⹎ ⹏ ⹐ ⹑ ⹒ ⹓ ⹔ ⹕ ⹖ ⹗ ⹘ ⹙ ⹚ ⹛ ⹜ ⹝</t>
        </is>
      </c>
      <c r="Q108" s="38" t="inlineStr">
        <is>
          <t>⸀ ⸁ ⸂ ⸄ ⸆ ⸇ ⸈ ⸉ ⸋ ⸌ ⸎ ⸏ ⸐ ⸑ ⸒ ⸓ ⸔ ⸕ ⸖ ⸗ ⸘ ⸙ ⸜ ⸢ ⸤ ⸦ ⸨ ⸮ ⸰ ⸲ ⸳ ⸴ ⸵ ⸸ ⸹ ⸼ ⸿ ⹀ ⹁ ⹂ ⹄ ⹅ ⹇ ⹉ ⹊ ⹋ ⹌ ⹍ ⹎ ⹏ ⹒ ⹓ ⹔ ⹙ ⹛ ⹝</t>
        </is>
      </c>
      <c r="R108" s="43" t="inlineStr">
        <is>
          <t>⸀ ⸁ ⸂ ⸄ ⸆ ⸇ ⸈ ⸉ ⸋ ⸓ ⸔ ⸕ ⸖ ⸗ ⸘ ⸙ ⸢ ⸤ ⸦ ⸨ ⸮ ⸰ ⸲ ⸴ ⸸ ⸹ ⸿ ⹀ ⹁ ⹉ ⹊ ⹋ ⹍ ⹏ ⹒ ⹔</t>
        </is>
      </c>
      <c r="S108" s="40" t="n"/>
      <c r="V108" s="14">
        <f>(LEN(O108)+1)/2</f>
        <v/>
      </c>
      <c r="W108" s="14">
        <f>ROUNDDOWN((LEN(P108)+1)/2,0)</f>
        <v/>
      </c>
      <c r="X108" s="14">
        <f>ROUNDDOWN((LEN(Q108)+1)/2,0)</f>
        <v/>
      </c>
      <c r="Y108" s="14">
        <f>ROUNDDOWN((LEN(R108)+1)/2,0)</f>
        <v/>
      </c>
      <c r="Z108" s="14">
        <f>ROUNDDOWN((LEN(S108)+1)/2,0)</f>
        <v/>
      </c>
      <c r="AA108" s="56" t="n">
        <v>46150.55825730265</v>
      </c>
    </row>
    <row r="109" ht="51" customHeight="1">
      <c r="B109" s="46" t="inlineStr">
        <is>
          <t>U+2E80-U+2EF3</t>
        </is>
      </c>
      <c r="C109" s="46" t="inlineStr">
        <is>
          <t>CJK Radicals Supplement</t>
        </is>
      </c>
      <c r="D109" s="54">
        <f>HEX2DEC(MID(B109,3,FIND("-",E109)-3))</f>
        <v/>
      </c>
      <c r="E109" s="46" t="inlineStr">
        <is>
          <t>U+2E80-U+2EFF</t>
        </is>
      </c>
      <c r="F109" s="14" t="n">
        <v>3</v>
      </c>
      <c r="I109" s="48" t="inlineStr">
        <is>
          <t>ALL</t>
        </is>
      </c>
      <c r="J109" s="19">
        <f>ROUNDDOWN(W109,0)/$V109</f>
        <v/>
      </c>
      <c r="K109" s="19">
        <f>ROUNDDOWN(X109,0)/$V109</f>
        <v/>
      </c>
      <c r="L109" s="19">
        <f>ROUNDDOWN(Y109,0)/$V109</f>
        <v/>
      </c>
      <c r="M109" s="19">
        <f>ROUNDDOWN(Z109,0)/$V109</f>
        <v/>
      </c>
      <c r="O109" s="36" t="inlineStr">
        <is>
          <t>⺀ ⺁ ⺂ ⺃ ⺄ ⺅ ⺆ ⺇ ⺈ ⺉ ⺊ ⺋ ⺌ ⺍ ⺎ ⺏ ⺐ ⺑ ⺒ ⺓ ⺔ ⺕ ⺖ ⺗ ⺘ ⺙ ⺛ ⺜ ⺝ ⺞ ⺟ ⺠ ⺡ ⺢ ⺣ ⺤ ⺥ ⺦ ⺧ ⺨ ⺩ ⺪ ⺫ ⺬ ⺭ ⺮ ⺯ ⺰ ⺱ ⺲ ⺳ ⺴ ⺵ ⺶ ⺷ ⺸ ⺹ ⺺ ⺻ ⺼ ⺽ ⺾ ⺿ ⻀ ⻁ ⻂ ⻃ ⻄ ⻅ ⻆ ⻇ ⻈ ⻉ ⻊ ⻋ ⻌ ⻍ ⻎ ⻏ ⻐ ⻑ ⻒ ⻓ ⻔ ⻕ ⻖ ⻗ ⻘ ⻙ ⻚ ⻛ ⻜ ⻝ ⻞ ⻟ ⻠ ⻡ ⻢ ⻣ ⻤ ⻥ ⻦ ⻧ ⻨ ⻩ ⻪ ⻫ ⻬ ⻭ ⻮ ⻯ ⻰ ⻱ ⻲ ⻳</t>
        </is>
      </c>
      <c r="P109" s="37" t="inlineStr">
        <is>
          <t>⺀ ⺁ ⺂ ⺃ ⺄ ⺅ ⺆ ⺇ ⺈ ⺉ ⺊ ⺋ ⺌ ⺍ ⺎ ⺏ ⺐ ⺑ ⺒ ⺓ ⺔ ⺕ ⺖ ⺗ ⺘ ⺙ ⺛ ⺜ ⺝ ⺞ ⺟ ⺠ ⺡ ⺢ ⺣ ⺤ ⺥ ⺦ ⺧ ⺨ ⺩ ⺪ ⺫ ⺬ ⺭ ⺮ ⺯ ⺰ ⺱ ⺲ ⺳ ⺴ ⺵ ⺶ ⺷ ⺸ ⺹ ⺺ ⺻ ⺼ ⺽ ⺾ ⺿ ⻀ ⻁ ⻂ ⻃ ⻄ ⻅ ⻆ ⻇ ⻈ ⻉ ⻊ ⻋ ⻌ ⻍ ⻎ ⻏ ⻐ ⻑ ⻒ ⻓ ⻔ ⻕ ⻖ ⻗ ⻘ ⻙ ⻚ ⻛ ⻜ ⻝ ⻞ ⻟ ⻠ ⻡ ⻢ ⻣ ⻤ ⻥ ⻦ ⻧ ⻨ ⻩ ⻪ ⻫ ⻬ ⻭ ⻮ ⻯ ⻰ ⻱ ⻲ ⻳</t>
        </is>
      </c>
      <c r="Q109" s="38" t="inlineStr">
        <is>
          <t>⺀ ⺁ ⺂ ⺃ ⺄ ⺅ ⺆ ⺇ ⺈ ⺉ ⺊ ⺋ ⺌ ⺍ ⺎ ⺏ ⺐ ⺑ ⺒ ⺓ ⺔ ⺕ ⺖ ⺗ ⺘ ⺙ ⺛ ⺜ ⺝ ⺞ ⺟ ⺠ ⺡ ⺢ ⺣ ⺤ ⺥ ⺦ ⺧ ⺨ ⺩ ⺪ ⺫ ⺬ ⺭ ⺮ ⺯ ⺰ ⺱ ⺲ ⺳ ⺴ ⺵ ⺶ ⺷ ⺸ ⺹ ⺺ ⺻ ⺼ ⺽ ⺾ ⺿ ⻀ ⻁ ⻂ ⻃ ⻄ ⻅ ⻆ ⻇ ⻈ ⻉ ⻊ ⻋ ⻌ ⻍ ⻎ ⻏ ⻐ ⻑ ⻒ ⻓ ⻔ ⻕ ⻖ ⻗ ⻘ ⻙ ⻚ ⻛ ⻜ ⻝ ⻞ ⻟ ⻠ ⻡ ⻢ ⻣ ⻤ ⻥ ⻦ ⻧ ⻨ ⻩ ⻪ ⻫ ⻬ ⻭ ⻮ ⻯ ⻰ ⻱ ⻲ ⻳</t>
        </is>
      </c>
      <c r="R109" s="43" t="inlineStr">
        <is>
          <t>⺀ ⺁ ⺂ ⺃ ⺄ ⺅ ⺆ ⺇ ⺊ ⺋ ⺎ ⺐ ⺑ ⺒ ⺓ ⺔ ⺕ ⺘ ⺙ ⺛ ⺝ ⺞ ⺟ ⺠ ⺡ ⺦ ⺨ ⺩ ⺪ ⺭ ⺮ ⺯ ⺰ ⺱ ⺴ ⺵ ⺶ ⺸ ⺹ ⺺ ⺻ ⺼ ⻁ ⻂ ⻄ ⻅ ⻆ ⻇ ⻉ ⻊ ⻋ ⻍ ⻏ ⻐ ⻑ ⻒ ⻓ ⻕ ⻖ ⻗ ⻘ ⻙ ⻚ ⻛ ⻜ ⻝ ⻞ ⻟ ⻠ ⻡ ⻢ ⻣ ⻤ ⻦ ⻧ ⻨ ⻩ ⻪ ⻫ ⻬ ⻭ ⻮ ⻯ ⻰ ⻱ ⻲ ⻳</t>
        </is>
      </c>
      <c r="S109" s="40" t="n"/>
      <c r="V109" s="14">
        <f>(LEN(O109)+1)/2</f>
        <v/>
      </c>
      <c r="W109" s="14">
        <f>ROUNDDOWN((LEN(P109)+1)/2,0)</f>
        <v/>
      </c>
      <c r="X109" s="14">
        <f>ROUNDDOWN((LEN(Q109)+1)/2,0)</f>
        <v/>
      </c>
      <c r="Y109" s="14">
        <f>ROUNDDOWN((LEN(R109)+1)/2,0)</f>
        <v/>
      </c>
      <c r="Z109" s="14">
        <f>ROUNDDOWN((LEN(S109)+1)/2,0)</f>
        <v/>
      </c>
      <c r="AA109" s="56" t="n">
        <v>46150.55825869043</v>
      </c>
    </row>
    <row r="110" ht="89.25" customHeight="1">
      <c r="B110" s="46" t="inlineStr">
        <is>
          <t>U+2F00-U+2FD5</t>
        </is>
      </c>
      <c r="C110" s="46" t="inlineStr">
        <is>
          <t>Kangxi Radicals</t>
        </is>
      </c>
      <c r="D110" s="54">
        <f>HEX2DEC(MID(B110,3,FIND("-",E110)-3))</f>
        <v/>
      </c>
      <c r="E110" s="46" t="inlineStr">
        <is>
          <t>U+2F00-U+2FDF</t>
        </is>
      </c>
      <c r="F110" s="14" t="n">
        <v>3</v>
      </c>
      <c r="I110" s="48" t="inlineStr">
        <is>
          <t>ALL</t>
        </is>
      </c>
      <c r="J110" s="19">
        <f>ROUNDDOWN(W110,0)/$V110</f>
        <v/>
      </c>
      <c r="K110" s="19">
        <f>ROUNDDOWN(X110,0)/$V110</f>
        <v/>
      </c>
      <c r="L110" s="19">
        <f>ROUNDDOWN(Y110,0)/$V110</f>
        <v/>
      </c>
      <c r="M110" s="19">
        <f>ROUNDDOWN(Z110,0)/$V110</f>
        <v/>
      </c>
      <c r="O110" s="36" t="inlineStr">
        <is>
          <t>⼀ ⼁ ⼂ ⼃ ⼄ ⼅ ⼆ ⼇ ⼈ ⼉ ⼊ ⼋ ⼌ ⼍ ⼎ ⼏ ⼐ ⼑ ⼒ ⼓ ⼔ ⼕ ⼖ ⼗ ⼘ ⼙ ⼚ ⼛ ⼜ ⼝ ⼞ ⼟ ⼠ ⼡ ⼢ ⼣ ⼤ ⼥ ⼦ ⼧ ⼨ ⼩ ⼪ ⼫ ⼬ ⼭ ⼮ ⼯ ⼰ ⼱ ⼲ ⼳ ⼴ ⼵ ⼶ ⼷ ⼸ ⼹ ⼺ ⼻ ⼼ ⼽ ⼾ ⼿ ⽀ ⽁ ⽂ ⽃ ⽄ ⽅ ⽆ ⽇ ⽈ ⽉ ⽊ ⽋ ⽌ ⽍ ⽎ ⽏ ⽐ ⽑ ⽒ ⽓ ⽔ ⽕ ⽖ ⽗ ⽘ ⽙ ⽚ ⽛ ⽜ ⽝ ⽞ ⽟ ⽠ ⽡ ⽢ ⽣ ⽤ ⽥ ⽦ ⽧ ⽨ ⽩ ⽪ ⽫ ⽬ ⽭ ⽮ ⽯ ⽰ ⽱ ⽲ ⽳ ⽴ ⽵ ⽶ ⽷ ⽸ ⽹ ⽺ ⽻ ⽼ ⽽ ⽾ ⽿ ⾀ ⾁ ⾂ ⾃ ⾄ ⾅ ⾆ ⾇ ⾈ ⾉ ⾊ ⾋ ⾌ ⾍ ⾎ ⾏ ⾐ ⾑ ⾒ ⾓ ⾔ ⾕ ⾖ ⾗ ⾘ ⾙ ⾚ ⾛ ⾜ ⾝ ⾞ ⾟ ⾠ ⾡ ⾢ ⾣ ⾤ ⾥ ⾦ ⾧ ⾨ ⾩ ⾪ ⾫ ⾬ ⾭ ⾮ ⾯ ⾰ ⾱ ⾲ ⾳ ⾴ ⾵ ⾶ ⾷ ⾸ ⾹ ⾺ ⾻ ⾼ ⾽ ⾾ ⾿ ⿀ ⿁ ⿂ ⿃ ⿄ ⿅ ⿆ ⿇ ⿈ ⿉ ⿊ ⿋ ⿌ ⿍ ⿎ ⿏ ⿐ ⿑ ⿒ ⿓ ⿔ ⿕</t>
        </is>
      </c>
      <c r="P110" s="37" t="inlineStr">
        <is>
          <t>⼀ ⼁ ⼂ ⼃ ⼄ ⼅ ⼆ ⼇ ⼈ ⼉ ⼊ ⼋ ⼌ ⼍ ⼎ ⼏ ⼐ ⼑ ⼒ ⼓ ⼔ ⼕ ⼖ ⼗ ⼘ ⼙ ⼚ ⼛ ⼜ ⼝ ⼞ ⼟ ⼠ ⼡ ⼢ ⼣ ⼤ ⼥ ⼦ ⼧ ⼨ ⼩ ⼪ ⼫ ⼬ ⼭ ⼮ ⼯ ⼰ ⼱ ⼲ ⼳ ⼴ ⼵ ⼶ ⼷ ⼸ ⼹ ⼺ ⼻ ⼼ ⼽ ⼾ ⼿ ⽀ ⽁ ⽂ ⽃ ⽄ ⽅ ⽆ ⽇ ⽈ ⽉ ⽊ ⽋ ⽌ ⽍ ⽎ ⽏ ⽐ ⽑ ⽒ ⽓ ⽔ ⽕ ⽖ ⽗ ⽘ ⽙ ⽚ ⽛ ⽜ ⽝ ⽞ ⽟ ⽠ ⽡ ⽢ ⽣ ⽤ ⽥ ⽦ ⽧ ⽨ ⽩ ⽪ ⽫ ⽬ ⽭ ⽮ ⽯ ⽰ ⽱ ⽲ ⽳ ⽴ ⽵ ⽶ ⽷ ⽸ ⽹ ⽺ ⽻ ⽼ ⽽ ⽾ ⽿ ⾀ ⾁ ⾂ ⾃ ⾄ ⾅ ⾆ ⾇ ⾈ ⾉ ⾊ ⾋ ⾌ ⾍ ⾎ ⾏ ⾐ ⾑ ⾒ ⾓ ⾔ ⾕ ⾖ ⾗ ⾘ ⾙ ⾚ ⾛ ⾜ ⾝ ⾞ ⾟ ⾠ ⾡ ⾢ ⾣ ⾤ ⾥ ⾦ ⾧ ⾨ ⾩ ⾪ ⾫ ⾬ ⾭ ⾮ ⾯ ⾰ ⾱ ⾲ ⾳ ⾴ ⾵ ⾶ ⾷ ⾸ ⾹ ⾺ ⾻ ⾼ ⾽ ⾾ ⾿ ⿀ ⿁ ⿂ ⿃ ⿄ ⿅ ⿆ ⿇ ⿈ ⿉ ⿊ ⿋ ⿌ ⿍ ⿎ ⿏ ⿐ ⿑ ⿒ ⿓ ⿔ ⿕</t>
        </is>
      </c>
      <c r="Q110" s="38" t="inlineStr">
        <is>
          <t>⼀ ⼁ ⼂ ⼃ ⼄ ⼅ ⼆ ⼇ ⼈ ⼉ ⼊ ⼋ ⼌ ⼍ ⼎ ⼏ ⼐ ⼑ ⼒ ⼓ ⼔ ⼕ ⼖ ⼗ ⼘ ⼙ ⼚ ⼛ ⼜ ⼝ ⼞ ⼟ ⼠ ⼡ ⼢ ⼣ ⼤ ⼥ ⼦ ⼧ ⼨ ⼩ ⼪ ⼫ ⼬ ⼭ ⼮ ⼯ ⼰ ⼱ ⼲ ⼳ ⼴ ⼵ ⼶ ⼷ ⼸ ⼹ ⼺ ⼻ ⼼ ⼽ ⼾ ⼿ ⽀ ⽁ ⽂ ⽃ ⽄ ⽅ ⽆ ⽇ ⽈ ⽉ ⽊ ⽋ ⽌ ⽍ ⽎ ⽏ ⽐ ⽑ ⽒ ⽓ ⽔ ⽕ ⽖ ⽗ ⽘ ⽙ ⽚ ⽛ ⽜ ⽝ ⽞ ⽟ ⽠ ⽡ ⽢ ⽣ ⽤ ⽥ ⽦ ⽧ ⽨ ⽩ ⽪ ⽫ ⽬ ⽭ ⽮ ⽯ ⽰ ⽱ ⽲ ⽳ ⽴ ⽵ ⽶ ⽷ ⽸ ⽹ ⽺ ⽻ ⽼ ⽽ ⽾ ⽿ ⾀ ⾁ ⾂ ⾃ ⾄ ⾅ ⾆ ⾇ ⾈ ⾉ ⾊ ⾋ ⾌ ⾍ ⾎ ⾏ ⾐ ⾑ ⾒ ⾓ ⾔ ⾕ ⾖ ⾗ ⾘ ⾙ ⾚ ⾛ ⾜ ⾝ ⾞ ⾟ ⾠ ⾡ ⾢ ⾣ ⾤ ⾥ ⾦ ⾧ ⾨ ⾩ ⾪ ⾫ ⾬ ⾭ ⾮ ⾯ ⾰ ⾱ ⾲ ⾳ ⾴ ⾵ ⾶ ⾷ ⾸ ⾹ ⾺ ⾻ ⾼ ⾽ ⾾ ⾿ ⿀ ⿁ ⿂ ⿃ ⿄ ⿅ ⿆ ⿇ ⿈ ⿉ ⿊ ⿋ ⿌ ⿍ ⿎ ⿏ ⿐ ⿑ ⿒ ⿓ ⿔ ⿕</t>
        </is>
      </c>
      <c r="R110" s="43" t="inlineStr">
        <is>
          <t>⼁ ⼃ ⼄ ⼅ ⼈ ⼊ ⼌ ⼎ ⼏ ⼐ ⼑ ⼒ ⼓ ⼔ ⼕ ⼖ ⼗ ⼘ ⼙ ⼚ ⼛ ⼜ ⼝ ⼞ ⼟ ⼠ ⼡ ⼢ ⼣ ⼤ ⼥ ⼦ ⼨ ⼪ ⼫ ⼬ ⼭ ⼮ ⼯ ⼰ ⼱ ⼲ ⼳ ⼴ ⼵ ⼶ ⼷ ⼸ ⼹ ⼺ ⼻ ⼽ ⼾ ⼿ ⽀ ⽁ ⽂ ⽃ ⽄ ⽅ ⽆ ⽇ ⽈ ⽉ ⽊ ⽋ ⽌ ⽍ ⽎ ⽏ ⽑ ⽒ ⽓ ⽔ ⽕ ⽖ ⽗ ⽘ ⽙ ⽚ ⽛ ⽜ ⽝ ⽞ ⽟ ⽠ ⽡ ⽢ ⽣ ⽤ ⽥ ⽦ ⽧ ⽨ ⽩ ⽪ ⽫ ⽬ ⽭ ⽮ ⽯ ⽱ ⽲ ⽳ ⽴ ⽵ ⽶ ⽷ ⽸ ⽹ ⽺ ⽻ ⽼ ⽽ ⽾ ⽿ ⾀ ⾁ ⾂ ⾃ ⾄ ⾅ ⾆ ⾇ ⾈ ⾉ ⾊ ⾌ ⾍ ⾎ ⾏ ⾐ ⾑ ⾒ ⾓ ⾕ ⾖ ⾗ ⾘ ⾙ ⾚ ⾛ ⾜ ⾝ ⾞ ⾟ ⾠ ⾡ ⾢ ⾣ ⾤ ⾥ ⾦ ⾧ ⾩ ⾪ ⾫ ⾬ ⾭ ⾯ ⾰ ⾱ ⾲ ⾳ ⾴ ⾵ ⾶ ⾷ ⾸ ⾹ ⾺ ⾻ ⾼ ⾽ ⾿ ⿀ ⿁ ⿂ ⿄ ⿅ ⿆ ⿇ ⿈ ⿉ ⿊ ⿋ ⿌ ⿍ ⿎ ⿏ ⿐ ⿑ ⿒ ⿔ ⿕</t>
        </is>
      </c>
      <c r="S110" s="40" t="n"/>
      <c r="V110" s="14">
        <f>(LEN(O110)+1)/2</f>
        <v/>
      </c>
      <c r="W110" s="14">
        <f>ROUNDDOWN((LEN(P110)+1)/2,0)</f>
        <v/>
      </c>
      <c r="X110" s="14">
        <f>ROUNDDOWN((LEN(Q110)+1)/2,0)</f>
        <v/>
      </c>
      <c r="Y110" s="14">
        <f>ROUNDDOWN((LEN(R110)+1)/2,0)</f>
        <v/>
      </c>
      <c r="Z110" s="14">
        <f>ROUNDDOWN((LEN(S110)+1)/2,0)</f>
        <v/>
      </c>
      <c r="AA110" s="56" t="n">
        <v>46150.55826112184</v>
      </c>
    </row>
    <row r="111" ht="38.25" customHeight="1">
      <c r="B111" s="46" t="inlineStr">
        <is>
          <t>U+2FF0-U+2FFF</t>
        </is>
      </c>
      <c r="C111" s="46" t="inlineStr">
        <is>
          <t>Ideographic Description Characters</t>
        </is>
      </c>
      <c r="D111" s="54">
        <f>HEX2DEC(MID(B111,3,FIND("-",E111)-3))</f>
        <v/>
      </c>
      <c r="E111" s="46" t="inlineStr">
        <is>
          <t>U+2FF0-U+2FFF</t>
        </is>
      </c>
      <c r="F111" s="14" t="n">
        <v>3</v>
      </c>
      <c r="I111" s="48" t="inlineStr">
        <is>
          <t>no</t>
        </is>
      </c>
      <c r="J111" s="19">
        <f>ROUNDDOWN(W111,0)/$V111</f>
        <v/>
      </c>
      <c r="K111" s="19">
        <f>ROUNDDOWN(X111,0)/$V111</f>
        <v/>
      </c>
      <c r="L111" s="19">
        <f>ROUNDDOWN(Y111,0)/$V111</f>
        <v/>
      </c>
      <c r="M111" s="19">
        <f>ROUNDDOWN(Z111,0)/$V111</f>
        <v/>
      </c>
      <c r="O111" s="36" t="inlineStr">
        <is>
          <t>⿰ ⿱ ⿲ ⿳ ⿴ ⿵ ⿶ ⿷ ⿸ ⿹ ⿺ ⿻ ⿼ ⿽ ⿾ ⿿</t>
        </is>
      </c>
      <c r="P111" s="37" t="inlineStr">
        <is>
          <t>⿰ ⿱ ⿲ ⿳ ⿴ ⿵ ⿶ ⿷ ⿸ ⿹ ⿺ ⿻ ⿼ ⿽ ⿾ ⿿</t>
        </is>
      </c>
      <c r="Q111" s="38" t="inlineStr">
        <is>
          <t>⿰ ⿱ ⿲ ⿳ ⿴ ⿵ ⿶ ⿷ ⿸ ⿹ ⿺ ⿻ ⿼ ⿽ ⿾ ⿿</t>
        </is>
      </c>
      <c r="R111" s="43" t="inlineStr"/>
      <c r="S111" s="40" t="n"/>
      <c r="V111" s="14">
        <f>(LEN(O111)+1)/2</f>
        <v/>
      </c>
      <c r="W111" s="14">
        <f>ROUNDDOWN((LEN(P111)+1)/2,0)</f>
        <v/>
      </c>
      <c r="X111" s="14">
        <f>ROUNDDOWN((LEN(Q111)+1)/2,0)</f>
        <v/>
      </c>
      <c r="Y111" s="14">
        <f>ROUNDDOWN((LEN(R111)+1)/2,0)</f>
        <v/>
      </c>
      <c r="Z111" s="14">
        <f>ROUNDDOWN((LEN(S111)+1)/2,0)</f>
        <v/>
      </c>
      <c r="AA111" s="56" t="n">
        <v>46150.55826146443</v>
      </c>
    </row>
    <row r="112" ht="25.5" customHeight="1">
      <c r="B112" s="46" t="inlineStr">
        <is>
          <t>U+3000-U+303F</t>
        </is>
      </c>
      <c r="C112" s="46" t="inlineStr">
        <is>
          <t>CJK Symbols and Punctuation</t>
        </is>
      </c>
      <c r="D112" s="54">
        <f>HEX2DEC(MID(B112,3,FIND("-",E112)-3))</f>
        <v/>
      </c>
      <c r="E112" s="46" t="inlineStr">
        <is>
          <t>U+3000-U+303F</t>
        </is>
      </c>
      <c r="F112" s="14" t="n">
        <v>3</v>
      </c>
      <c r="I112" s="48" t="inlineStr">
        <is>
          <t>no</t>
        </is>
      </c>
      <c r="J112" s="19">
        <f>ROUNDDOWN(W112,0)/$V112</f>
        <v/>
      </c>
      <c r="K112" s="19">
        <f>ROUNDDOWN(X112,0)/$V112</f>
        <v/>
      </c>
      <c r="L112" s="19">
        <f>ROUNDDOWN(Y112,0)/$V112</f>
        <v/>
      </c>
      <c r="M112" s="19">
        <f>ROUNDDOWN(Z112,0)/$V112</f>
        <v/>
      </c>
      <c r="O112" s="36" t="inlineStr">
        <is>
          <t xml:space="preserve">　 、 。 〃 〄 々 〆 〇 〈 〉 《 》 「 」 『 』 【 】 〒 〓 〔 〕 〖 〗 〘 〙 〚 〛 〜 〝 〞 〟 〠 〡 〢 〣 〤 〥 〦 〧 〨 〩 〪 〫 〬 〭 〮 〯 〰 〱 〲 〳 〴 〵 〶 〷 〸 〹 〺 〻 〼 〽 〾 〿</t>
        </is>
      </c>
      <c r="P112" s="37" t="inlineStr">
        <is>
          <t>、 。 〃 〄 々 〆 〇 〈 〉 《 》 「 」 『 』 【 】 〒 〓 〔 〕 〖 〗 〘 〙 〚 〛 〜 〝 〞 〟 〠 〡 〢 〣 〤 〥 〦 〧 〨 〩 〰 〱 〲 〳 〴 〵 〶 〷 〸 〹 〺 〻 〼 〽 〾 〿</t>
        </is>
      </c>
      <c r="Q112" s="38" t="inlineStr">
        <is>
          <t>、 。 〃 〄 々 〆 〈 〉 《 》 「 」 『 』 【 】 〒 〓 〔 〕 〖 〗 〘 〙 〚 〛 〜 〝 〞 〟 〠 〡 〢 〣 〤 〥 〦 〧 〨 〩 〰 〱 〲 〳 〴 〵 〶 〷 〸 〹 〺 〻 〼 〽 〾 〿</t>
        </is>
      </c>
      <c r="R112" s="43" t="inlineStr">
        <is>
          <t>。 〃 〄 々 〆 〈 〉 《 》 「 」 『 』 【 】 〔 〕 〖 〗 〘 〙 〚 〛 〜 〠 〡 〤 〥 〦 〩 〰 〱 〲 〳 〵 〶 〸 〹 〺 〻 〼 〽 〿</t>
        </is>
      </c>
      <c r="S112" s="40" t="n"/>
      <c r="V112" s="14">
        <f>(LEN(O112)+1)/2</f>
        <v/>
      </c>
      <c r="W112" s="14">
        <f>ROUNDDOWN((LEN(P112)+1)/2,0)</f>
        <v/>
      </c>
      <c r="X112" s="14">
        <f>ROUNDDOWN((LEN(Q112)+1)/2,0)</f>
        <v/>
      </c>
      <c r="Y112" s="14">
        <f>ROUNDDOWN((LEN(R112)+1)/2,0)</f>
        <v/>
      </c>
      <c r="Z112" s="14">
        <f>ROUNDDOWN((LEN(S112)+1)/2,0)</f>
        <v/>
      </c>
      <c r="AA112" s="56" t="n">
        <v>46150.55826219316</v>
      </c>
    </row>
    <row r="113" ht="38.25" customHeight="1">
      <c r="B113" s="46" t="inlineStr">
        <is>
          <t>U+3041-U+309F</t>
        </is>
      </c>
      <c r="C113" s="46" t="inlineStr">
        <is>
          <t>Hiragana</t>
        </is>
      </c>
      <c r="D113" s="54">
        <f>HEX2DEC(MID(B113,3,FIND("-",E113)-3))</f>
        <v/>
      </c>
      <c r="E113" s="46" t="inlineStr">
        <is>
          <t>U+3040-U+309F</t>
        </is>
      </c>
      <c r="F113" s="14" t="n">
        <v>3</v>
      </c>
      <c r="I113" s="48" t="inlineStr">
        <is>
          <t>ALL</t>
        </is>
      </c>
      <c r="J113" s="19">
        <f>ROUNDDOWN(W113,0)/$V113</f>
        <v/>
      </c>
      <c r="K113" s="19">
        <f>ROUNDDOWN(X113,0)/$V113</f>
        <v/>
      </c>
      <c r="L113" s="19">
        <f>ROUNDDOWN(Y113,0)/$V113</f>
        <v/>
      </c>
      <c r="M113" s="19">
        <f>ROUNDDOWN(Z113,0)/$V113</f>
        <v/>
      </c>
      <c r="O113" s="36" t="inlineStr">
        <is>
          <t>ぁ あ ぃ い ぅ う ぇ え ぉ お か が き ぎ く ぐ け げ こ ご さ ざ し じ す ず せ ぜ そ ぞ た だ ち ぢ っ つ づ て で と ど な に ぬ ね の は ば ぱ ひ び ぴ ふ ぶ ぷ へ べ ぺ ほ ぼ ぽ ま み む め も ゃ や ゅ ゆ ょ よ ら り る れ ろ ゎ わ ゐ ゑ を ん ゔ ゕ ゖ ゙ ゚ ゛ ゜ ゝ ゞ ゟ</t>
        </is>
      </c>
      <c r="P113" s="37" t="inlineStr">
        <is>
          <t>ぁ あ ぃ い ぅ う ぇ え ぉ お か が き ぎ く ぐ け げ こ ご さ ざ し じ す ず せ ぜ そ ぞ た だ ち ぢ っ つ づ て で と ど な に ぬ ね の は ば ぱ ひ び ぴ ふ ぶ ぷ へ べ ぺ ほ ぼ ぽ ま み む め も ゃ や ゅ ゆ ょ よ ら り る れ ろ ゎ わ ゐ ゑ を ん ゔ ゕ ゖ ゛ ゜ ゝ ゞ ゟ</t>
        </is>
      </c>
      <c r="Q113" s="38" t="inlineStr">
        <is>
          <t>ぁ あ ぃ い ぅ う ぇ え か き く け こ さ し す せ そ た ち っ つ て と な に ぬ ね の は ひ ふ へ ほ ま み む め も ゃ や ゅ ゆ ょ よ ら り る れ ろ ゎ わ ゐ ゑ を ん ゕ ゖ ゝ</t>
        </is>
      </c>
      <c r="R113" s="43" t="inlineStr">
        <is>
          <t>ぁ あ ぅ ぇ か き く さ し す せ そ た ち っ つ て と な ぬ ね の は ひ へ ま み む め も ゃ や ゅ ゆ ょ よ ら り る れ ろ ゎ わ ゐ ゑ を ん ゕ ゝ</t>
        </is>
      </c>
      <c r="S113" s="40" t="n"/>
      <c r="V113" s="14">
        <f>(LEN(O113)+1)/2</f>
        <v/>
      </c>
      <c r="W113" s="14">
        <f>ROUNDDOWN((LEN(P113)+1)/2,0)</f>
        <v/>
      </c>
      <c r="X113" s="14">
        <f>ROUNDDOWN((LEN(Q113)+1)/2,0)</f>
        <v/>
      </c>
      <c r="Y113" s="14">
        <f>ROUNDDOWN((LEN(R113)+1)/2,0)</f>
        <v/>
      </c>
      <c r="Z113" s="14">
        <f>ROUNDDOWN((LEN(S113)+1)/2,0)</f>
        <v/>
      </c>
      <c r="AA113" s="56" t="n">
        <v>46150.55826300797</v>
      </c>
    </row>
    <row r="114" ht="51" customHeight="1">
      <c r="B114" s="46" t="inlineStr">
        <is>
          <t>U+30A0-U+30FF</t>
        </is>
      </c>
      <c r="C114" s="46" t="inlineStr">
        <is>
          <t>Katakana</t>
        </is>
      </c>
      <c r="D114" s="54">
        <f>HEX2DEC(MID(B114,3,FIND("-",E114)-3))</f>
        <v/>
      </c>
      <c r="E114" s="46" t="inlineStr">
        <is>
          <t>U+30A0-U+30FF</t>
        </is>
      </c>
      <c r="F114" s="14" t="n">
        <v>3</v>
      </c>
      <c r="I114" s="48" t="inlineStr">
        <is>
          <t>ALL</t>
        </is>
      </c>
      <c r="J114" s="19">
        <f>ROUNDDOWN(W114,0)/$V114</f>
        <v/>
      </c>
      <c r="K114" s="19">
        <f>ROUNDDOWN(X114,0)/$V114</f>
        <v/>
      </c>
      <c r="L114" s="19">
        <f>ROUNDDOWN(Y114,0)/$V114</f>
        <v/>
      </c>
      <c r="M114" s="19">
        <f>ROUNDDOWN(Z114,0)/$V114</f>
        <v/>
      </c>
      <c r="O114" s="36" t="inlineStr">
        <is>
          <t>゠ ァ ア ィ イ ゥ ウ ェ エ ォ オ カ ガ キ ギ ク グ ケ ゲ コ ゴ サ ザ シ ジ ス ズ セ ゼ ソ ゾ タ ダ チ ヂ ッ ツ ヅ テ デ ト ド ナ ニ ヌ ネ ノ ハ バ パ ヒ ビ ピ フ ブ プ ヘ ベ ペ ホ ボ ポ マ ミ ム メ モ ャ ヤ ュ ユ ョ ヨ ラ リ ル レ ロ ヮ ワ ヰ ヱ ヲ ン ヴ ヵ ヶ ヷ ヸ ヹ ヺ ・ ー ヽ ヾ ヿ</t>
        </is>
      </c>
      <c r="P114" s="37" t="inlineStr">
        <is>
          <t>゠ ァ ア ィ イ ゥ ウ ェ エ ォ オ カ ガ キ ギ ク グ ケ ゲ コ ゴ サ ザ シ ジ ス ズ セ ゼ ソ ゾ タ ダ チ ヂ ッ ツ ヅ テ デ ト ド ナ ニ ヌ ネ ノ ハ バ パ ヒ ビ ピ フ ブ プ ヘ ベ ペ ホ ボ ポ マ ミ ム メ モ ャ ヤ ュ ユ ョ ヨ ラ リ ル レ ロ ヮ ワ ヰ ヱ ヲ ン ヴ ヵ ヶ ヷ ヸ ヹ ヺ ・ ー ヽ ヾ ヿ</t>
        </is>
      </c>
      <c r="Q114" s="38" t="inlineStr">
        <is>
          <t>゠ ァ ア ィ イ ゥ ウ ェ エ カ キ ク ケ コ サ シ ス セ ソ タ チ ッ ツ テ ト ナ ニ ヌ ネ ノ ハ ヒ フ ヘ ホ マ ミ ム メ モ ャ ヤ ュ ユ ョ ヨ ラ リ ル レ ロ ヮ ワ ヰ ヱ ヲ ン ヵ ヶ ・ ー ヽ</t>
        </is>
      </c>
      <c r="R114" s="43" t="inlineStr">
        <is>
          <t>ァ ア ィ イ ゥ ウ ェ エ カ キ ク ケ コ サ シ ス セ ソ タ チ ッ ツ テ ト ナ ヌ ネ ノ ヒ フ ヘ ホ マ ミ ム メ モ ャ ヤ ュ ユ ョ ヨ ラ リ レ ロ ヮ ワ ヰ ヱ ヲ ン ヵ ヶ ・ ー ヽ</t>
        </is>
      </c>
      <c r="S114" s="40" t="n"/>
      <c r="V114" s="14">
        <f>(LEN(O114)+1)/2</f>
        <v/>
      </c>
      <c r="W114" s="14">
        <f>ROUNDDOWN((LEN(P114)+1)/2,0)</f>
        <v/>
      </c>
      <c r="X114" s="14">
        <f>ROUNDDOWN((LEN(Q114)+1)/2,0)</f>
        <v/>
      </c>
      <c r="Y114" s="14">
        <f>ROUNDDOWN((LEN(R114)+1)/2,0)</f>
        <v/>
      </c>
      <c r="Z114" s="14">
        <f>ROUNDDOWN((LEN(S114)+1)/2,0)</f>
        <v/>
      </c>
      <c r="AA114" s="56" t="n">
        <v>46150.55826381292</v>
      </c>
    </row>
    <row r="115" ht="25.5" customHeight="1">
      <c r="B115" s="46" t="inlineStr">
        <is>
          <t>U+3105-U+312F</t>
        </is>
      </c>
      <c r="C115" s="46" t="inlineStr">
        <is>
          <t>Bopomofo</t>
        </is>
      </c>
      <c r="D115" s="54">
        <f>HEX2DEC(MID(B115,3,FIND("-",E115)-3))</f>
        <v/>
      </c>
      <c r="E115" s="46" t="inlineStr">
        <is>
          <t>U+3100-U+312F</t>
        </is>
      </c>
      <c r="F115" s="14" t="n">
        <v>3</v>
      </c>
      <c r="I115" s="48" t="inlineStr">
        <is>
          <t>ALL</t>
        </is>
      </c>
      <c r="J115" s="19">
        <f>ROUNDDOWN(W115,0)/$V115</f>
        <v/>
      </c>
      <c r="K115" s="19">
        <f>ROUNDDOWN(X115,0)/$V115</f>
        <v/>
      </c>
      <c r="L115" s="19">
        <f>ROUNDDOWN(Y115,0)/$V115</f>
        <v/>
      </c>
      <c r="M115" s="19">
        <f>ROUNDDOWN(Z115,0)/$V115</f>
        <v/>
      </c>
      <c r="O115" s="36" t="inlineStr">
        <is>
          <t>ㄅ ㄆ ㄇ ㄈ ㄉ ㄊ ㄋ ㄌ ㄍ ㄎ ㄏ ㄐ ㄑ ㄒ ㄓ ㄔ ㄕ ㄖ ㄗ ㄘ ㄙ ㄚ ㄛ ㄜ ㄝ ㄞ ㄟ ㄠ ㄡ ㄢ ㄣ ㄤ ㄥ ㄦ ㄧ ㄨ ㄩ ㄪ ㄫ ㄬ ㄭ ㄮ ㄯ</t>
        </is>
      </c>
      <c r="P115" s="37" t="inlineStr">
        <is>
          <t>ㄅ ㄆ ㄇ ㄈ ㄉ ㄊ ㄋ ㄌ ㄍ ㄎ ㄏ ㄐ ㄑ ㄒ ㄓ ㄔ ㄕ ㄖ ㄗ ㄘ ㄙ ㄚ ㄛ ㄜ ㄝ ㄞ ㄟ ㄠ ㄡ ㄢ ㄣ ㄤ ㄥ ㄦ ㄧ ㄨ ㄩ ㄪ ㄫ ㄬ ㄭ ㄮ ㄯ</t>
        </is>
      </c>
      <c r="Q115" s="38" t="inlineStr">
        <is>
          <t>ㄅ ㄆ ㄇ ㄈ ㄉ ㄊ ㄋ ㄌ ㄍ ㄎ ㄏ ㄐ ㄑ ㄒ ㄓ ㄔ ㄕ ㄖ ㄗ ㄘ ㄙ ㄚ ㄜ ㄝ ㄞ ㄟ ㄠ ㄡ ㄢ ㄣ ㄤ ㄥ ㄦ ㄧ ㄨ ㄩ ㄪ ㄫ ㄬ ㄭ ㄯ</t>
        </is>
      </c>
      <c r="R115" s="43" t="inlineStr">
        <is>
          <t>ㄅ ㄆ ㄇ ㄈ ㄉ ㄊ ㄋ ㄌ ㄎ ㄏ ㄐ ㄑ ㄒ ㄓ ㄔ ㄕ ㄖ ㄗ ㄘ ㄙ ㄜ ㄝ ㄞ ㄟ ㄠ ㄡ ㄢ ㄣ ㄤ ㄥ ㄧ ㄨ ㄩ ㄪ ㄫ ㄬ ㄭ ㄯ</t>
        </is>
      </c>
      <c r="S115" s="40" t="n"/>
      <c r="V115" s="14">
        <f>(LEN(O115)+1)/2</f>
        <v/>
      </c>
      <c r="W115" s="14">
        <f>ROUNDDOWN((LEN(P115)+1)/2,0)</f>
        <v/>
      </c>
      <c r="X115" s="14">
        <f>ROUNDDOWN((LEN(Q115)+1)/2,0)</f>
        <v/>
      </c>
      <c r="Y115" s="14">
        <f>ROUNDDOWN((LEN(R115)+1)/2,0)</f>
        <v/>
      </c>
      <c r="Z115" s="14">
        <f>ROUNDDOWN((LEN(S115)+1)/2,0)</f>
        <v/>
      </c>
      <c r="AA115" s="56" t="n">
        <v>46150.55826440416</v>
      </c>
    </row>
    <row r="116" ht="38.25" customHeight="1">
      <c r="B116" s="46" t="inlineStr">
        <is>
          <t>U+3131-U+318E</t>
        </is>
      </c>
      <c r="C116" s="46" t="inlineStr">
        <is>
          <t>Hangul Compatibility Jamo</t>
        </is>
      </c>
      <c r="D116" s="54">
        <f>HEX2DEC(MID(B116,3,FIND("-",E116)-3))</f>
        <v/>
      </c>
      <c r="E116" s="46" t="inlineStr">
        <is>
          <t>U+3130-U+318F</t>
        </is>
      </c>
      <c r="F116" s="14" t="n">
        <v>3</v>
      </c>
      <c r="I116" s="48" t="inlineStr">
        <is>
          <t>ALL</t>
        </is>
      </c>
      <c r="J116" s="19">
        <f>ROUNDDOWN(W116,0)/$V116</f>
        <v/>
      </c>
      <c r="K116" s="19">
        <f>ROUNDDOWN(X116,0)/$V116</f>
        <v/>
      </c>
      <c r="L116" s="19">
        <f>ROUNDDOWN(Y116,0)/$V116</f>
        <v/>
      </c>
      <c r="M116" s="19">
        <f>ROUNDDOWN(Z116,0)/$V116</f>
        <v/>
      </c>
      <c r="O116" s="36" t="inlineStr">
        <is>
          <t>ㄱ ㄲ ㄳ ㄴ ㄵ ㄶ ㄷ ㄸ ㄹ ㄺ ㄻ ㄼ ㄽ ㄾ ㄿ ㅀ ㅁ ㅂ ㅃ ㅄ ㅅ ㅆ ㅇ ㅈ ㅉ ㅊ ㅋ ㅌ ㅍ ㅎ ㅏ ㅐ ㅑ ㅒ ㅓ ㅔ ㅕ ㅖ ㅗ ㅘ ㅙ ㅚ ㅛ ㅜ ㅝ ㅞ ㅟ ㅠ ㅡ ㅢ ㅣ ㅤ ㅥ ㅦ ㅧ ㅨ ㅩ ㅪ ㅫ ㅬ ㅭ ㅮ ㅯ ㅰ ㅱ ㅲ ㅳ ㅴ ㅵ ㅶ ㅷ ㅸ ㅹ ㅺ ㅻ ㅼ ㅽ ㅾ ㅿ ㆀ ㆁ ㆂ ㆃ ㆄ ㆅ ㆆ ㆇ ㆈ ㆉ ㆊ ㆋ ㆌ ㆍ ㆎ</t>
        </is>
      </c>
      <c r="P116" s="37" t="inlineStr">
        <is>
          <t>ㄱ ㄲ ㄳ ㄴ ㄵ ㄶ ㄷ ㄸ ㄹ ㄺ ㄻ ㄼ ㄽ ㄾ ㄿ ㅀ ㅁ ㅂ ㅃ ㅄ ㅅ ㅆ ㅇ ㅈ ㅉ ㅊ ㅋ ㅌ ㅍ ㅎ ㅏ ㅐ ㅑ ㅒ ㅓ ㅔ ㅕ ㅖ ㅗ ㅘ ㅙ ㅚ ㅛ ㅜ ㅝ ㅞ ㅟ ㅠ ㅡ ㅢ ㅣ ㅥ ㅦ ㅧ ㅨ ㅩ ㅪ ㅫ ㅬ ㅭ ㅮ ㅯ ㅰ ㅱ ㅲ ㅳ ㅴ ㅵ ㅶ ㅷ ㅸ ㅹ ㅺ ㅻ ㅼ ㅽ ㅾ ㅿ ㆀ ㆁ ㆂ ㆃ ㆄ ㆅ ㆆ ㆇ ㆈ ㆉ ㆊ ㆋ ㆌ ㆍ ㆎ</t>
        </is>
      </c>
      <c r="Q116" s="38" t="inlineStr">
        <is>
          <t>ㄱ ㄲ ㄳ ㄴ ㄵ ㄶ ㄷ ㄸ ㄹ ㄺ ㄻ ㄼ ㄽ ㄾ ㄿ ㅀ ㅁ ㅂ ㅃ ㅄ ㅅ ㅆ ㅇ ㅈ ㅉ ㅊ ㅋ ㅌ ㅍ ㅎ ㅏ ㅐ ㅑ ㅒ ㅓ ㅔ ㅕ ㅖ ㅘ ㅙ ㅚ ㅛ ㅜ ㅝ ㅞ ㅟ ㅠ ㅡ ㅢ ㅣ ㅥ ㅦ ㅧ ㅨ ㅩ ㅪ ㅫ ㅬ ㅭ ㅮ ㅯ ㅰ ㅱ ㅲ ㅳ ㅴ ㅵ ㅶ ㅷ ㅸ ㅹ ㅺ ㅻ ㅼ ㅽ ㅾ ㅿ ㆀ ㆁ ㆂ ㆃ ㆄ ㆅ ㆆ ㆇ ㆈ ㆉ ㆊ ㆋ ㆌ ㆍ ㆎ</t>
        </is>
      </c>
      <c r="R116" s="43" t="inlineStr">
        <is>
          <t>ㄱ ㄳ ㄴ ㄵ ㄶ ㄷ ㄹ ㄽ ㄾ ㅀ ㅁ ㅂ ㅄ ㅅ ㅆ ㅇ ㅈ ㅉ ㅊ ㅋ ㅌ ㅍ ㅎ ㅏ ㅐ ㅑ ㅒ ㅓ ㅕ ㅛ ㅜ ㅝ ㅠ ㅡ ㅣ ㅧ ㅨ ㅬ ㅭ ㅯ ㅰ ㅱ ㅴ ㅵ ㅶ ㅸ ㅹ ㅺ ㅻ ㅼ ㅽ ㅾ ㅿ ㆁ ㆂ ㆃ ㆄ ㆅ ㆆ</t>
        </is>
      </c>
      <c r="S116" s="40" t="n"/>
      <c r="V116" s="14">
        <f>(LEN(O116)+1)/2</f>
        <v/>
      </c>
      <c r="W116" s="14">
        <f>ROUNDDOWN((LEN(P116)+1)/2,0)</f>
        <v/>
      </c>
      <c r="X116" s="14">
        <f>ROUNDDOWN((LEN(Q116)+1)/2,0)</f>
        <v/>
      </c>
      <c r="Y116" s="14">
        <f>ROUNDDOWN((LEN(R116)+1)/2,0)</f>
        <v/>
      </c>
      <c r="Z116" s="14">
        <f>ROUNDDOWN((LEN(S116)+1)/2,0)</f>
        <v/>
      </c>
      <c r="AA116" s="56" t="n">
        <v>46150.55826553377</v>
      </c>
    </row>
    <row r="117" ht="25.5" customHeight="1">
      <c r="B117" s="46" t="inlineStr">
        <is>
          <t>U+3190-U+319F</t>
        </is>
      </c>
      <c r="C117" s="46" t="inlineStr">
        <is>
          <t>Kanbun</t>
        </is>
      </c>
      <c r="D117" s="54">
        <f>HEX2DEC(MID(B117,3,FIND("-",E117)-3))</f>
        <v/>
      </c>
      <c r="E117" s="46" t="inlineStr">
        <is>
          <t>U+3190-U+319F</t>
        </is>
      </c>
      <c r="F117" s="14" t="n">
        <v>3</v>
      </c>
      <c r="I117" s="48" t="inlineStr">
        <is>
          <t>no</t>
        </is>
      </c>
      <c r="J117" s="19">
        <f>ROUNDDOWN(W117,0)/$V117</f>
        <v/>
      </c>
      <c r="K117" s="19">
        <f>ROUNDDOWN(X117,0)/$V117</f>
        <v/>
      </c>
      <c r="L117" s="19">
        <f>ROUNDDOWN(Y117,0)/$V117</f>
        <v/>
      </c>
      <c r="M117" s="19">
        <f>ROUNDDOWN(Z117,0)/$V117</f>
        <v/>
      </c>
      <c r="O117" s="36" t="inlineStr">
        <is>
          <t>㆐ ㆑ ㆒ ㆓ ㆔ ㆕ ㆖ ㆗ ㆘ ㆙ ㆚ ㆛ ㆜ ㆝ ㆞ ㆟</t>
        </is>
      </c>
      <c r="P117" s="37" t="inlineStr">
        <is>
          <t>㆐ ㆑ ㆒ ㆓ ㆔ ㆕ ㆖ ㆗ ㆘ ㆙ ㆚ ㆛ ㆜ ㆝ ㆞ ㆟</t>
        </is>
      </c>
      <c r="Q117" s="38" t="inlineStr">
        <is>
          <t>㆐ ㆑ ㆖ ㆗ ㆘ ㆙ ㆚ ㆛ ㆜ ㆝ ㆞ ㆟</t>
        </is>
      </c>
      <c r="R117" s="43" t="inlineStr">
        <is>
          <t>㆐ ㆑ ㆖ ㆗ ㆘ ㆙ ㆚ ㆛ ㆜ ㆝ ㆞ ㆟</t>
        </is>
      </c>
      <c r="S117" s="40" t="n"/>
      <c r="V117" s="14">
        <f>(LEN(O117)+1)/2</f>
        <v/>
      </c>
      <c r="W117" s="14">
        <f>ROUNDDOWN((LEN(P117)+1)/2,0)</f>
        <v/>
      </c>
      <c r="X117" s="14">
        <f>ROUNDDOWN((LEN(Q117)+1)/2,0)</f>
        <v/>
      </c>
      <c r="Y117" s="14">
        <f>ROUNDDOWN((LEN(R117)+1)/2,0)</f>
        <v/>
      </c>
      <c r="Z117" s="14">
        <f>ROUNDDOWN((LEN(S117)+1)/2,0)</f>
        <v/>
      </c>
      <c r="AA117" s="56" t="n">
        <v>46150.55826581481</v>
      </c>
    </row>
    <row r="118" ht="25.5" customHeight="1">
      <c r="B118" s="46" t="inlineStr">
        <is>
          <t>U+31A0-U+31BF</t>
        </is>
      </c>
      <c r="C118" s="46" t="inlineStr">
        <is>
          <t>Bopomofo Extended</t>
        </is>
      </c>
      <c r="D118" s="54">
        <f>HEX2DEC(MID(B118,3,FIND("-",E118)-3))</f>
        <v/>
      </c>
      <c r="E118" s="46" t="inlineStr">
        <is>
          <t>U+31A0-U+31BF</t>
        </is>
      </c>
      <c r="F118" s="14" t="n">
        <v>3</v>
      </c>
      <c r="I118" s="48" t="inlineStr">
        <is>
          <t>no</t>
        </is>
      </c>
      <c r="J118" s="19">
        <f>ROUNDDOWN(W118,0)/$V118</f>
        <v/>
      </c>
      <c r="K118" s="19">
        <f>ROUNDDOWN(X118,0)/$V118</f>
        <v/>
      </c>
      <c r="L118" s="19">
        <f>ROUNDDOWN(Y118,0)/$V118</f>
        <v/>
      </c>
      <c r="M118" s="19">
        <f>ROUNDDOWN(Z118,0)/$V118</f>
        <v/>
      </c>
      <c r="O118" s="36" t="inlineStr">
        <is>
          <t>ㆠ ㆡ ㆢ ㆣ ㆤ ㆥ ㆦ ㆧ ㆨ ㆩ ㆪ ㆫ ㆬ ㆭ ㆮ ㆯ ㆰ ㆱ ㆲ ㆳ ㆴ ㆵ ㆶ ㆷ ㆸ ㆹ ㆺ ㆻ ㆼ ㆽ ㆾ ㆿ</t>
        </is>
      </c>
      <c r="P118" s="37" t="inlineStr">
        <is>
          <t>ㆠ ㆡ ㆢ ㆣ ㆤ ㆥ ㆦ ㆧ ㆨ ㆩ ㆪ ㆫ ㆬ ㆭ ㆮ ㆯ ㆰ ㆱ ㆲ ㆳ ㆴ ㆵ ㆶ ㆷ ㆸ ㆹ ㆺ ㆻ ㆼ ㆽ ㆾ ㆿ</t>
        </is>
      </c>
      <c r="Q118" s="38" t="inlineStr">
        <is>
          <t>ㆠ ㆡ ㆢ ㆣ ㆤ ㆥ ㆦ ㆧ ㆨ ㆩ ㆪ ㆫ ㆬ ㆭ ㆮ ㆯ ㆰ ㆱ ㆲ ㆳ ㆴ ㆵ ㆶ ㆷ ㆸ ㆹ ㆺ ㆻ ㆼ ㆽ ㆾ ㆿ</t>
        </is>
      </c>
      <c r="R118" s="43" t="inlineStr">
        <is>
          <t>ㆠ ㆡ ㆢ ㆣ ㆤ ㆥ ㆦ ㆧ ㆨ ㆩ ㆪ ㆫ ㆬ ㆭ ㆮ ㆯ ㆰ ㆱ ㆲ ㆳ ㆴ ㆵ ㆶ ㆷ ㆸ ㆹ ㆺ ㆼ ㆽ ㆾ</t>
        </is>
      </c>
      <c r="S118" s="40" t="n"/>
      <c r="V118" s="14">
        <f>(LEN(O118)+1)/2</f>
        <v/>
      </c>
      <c r="W118" s="14">
        <f>ROUNDDOWN((LEN(P118)+1)/2,0)</f>
        <v/>
      </c>
      <c r="X118" s="14">
        <f>ROUNDDOWN((LEN(Q118)+1)/2,0)</f>
        <v/>
      </c>
      <c r="Y118" s="14">
        <f>ROUNDDOWN((LEN(R118)+1)/2,0)</f>
        <v/>
      </c>
      <c r="Z118" s="14">
        <f>ROUNDDOWN((LEN(S118)+1)/2,0)</f>
        <v/>
      </c>
      <c r="AA118" s="56" t="n">
        <v>46150.55826632828</v>
      </c>
    </row>
    <row r="119" ht="25.5" customHeight="1">
      <c r="B119" s="46" t="inlineStr">
        <is>
          <t>U+31C0-U+31EF</t>
        </is>
      </c>
      <c r="C119" s="46" t="inlineStr">
        <is>
          <t>CJK Strokes</t>
        </is>
      </c>
      <c r="D119" s="54">
        <f>HEX2DEC(MID(B119,3,FIND("-",E119)-3))</f>
        <v/>
      </c>
      <c r="E119" s="46" t="inlineStr">
        <is>
          <t>U+31C0-U+31EF</t>
        </is>
      </c>
      <c r="F119" s="14" t="n">
        <v>3</v>
      </c>
      <c r="I119" s="48" t="inlineStr">
        <is>
          <t>no</t>
        </is>
      </c>
      <c r="J119" s="19">
        <f>ROUNDDOWN(W119,0)/$V119</f>
        <v/>
      </c>
      <c r="K119" s="19">
        <f>ROUNDDOWN(X119,0)/$V119</f>
        <v/>
      </c>
      <c r="L119" s="19">
        <f>ROUNDDOWN(Y119,0)/$V119</f>
        <v/>
      </c>
      <c r="M119" s="19">
        <f>ROUNDDOWN(Z119,0)/$V119</f>
        <v/>
      </c>
      <c r="O119" s="36" t="inlineStr">
        <is>
          <t>㇀ ㇁ ㇂ ㇃ ㇄ ㇅ ㇆ ㇇ ㇈ ㇉ ㇊ ㇋ ㇌ ㇍ ㇎ ㇏ ㇐ ㇑ ㇒ ㇓ ㇔ ㇕ ㇖ ㇗ ㇘ ㇙ ㇚ ㇛ ㇜ ㇝ ㇞ ㇟ ㇠ ㇡ ㇢ ㇣ ㇯</t>
        </is>
      </c>
      <c r="P119" s="37" t="inlineStr">
        <is>
          <t>㇀ ㇁ ㇂ ㇃ ㇄ ㇅ ㇆ ㇇ ㇈ ㇉ ㇊ ㇋ ㇌ ㇍ ㇎ ㇏ ㇐ ㇑ ㇒ ㇓ ㇔ ㇕ ㇖ ㇗ ㇘ ㇙ ㇚ ㇛ ㇜ ㇝ ㇞ ㇟ ㇠ ㇡ ㇢ ㇣ ㇯</t>
        </is>
      </c>
      <c r="Q119" s="38" t="inlineStr">
        <is>
          <t>㇀ ㇁ ㇂ ㇃ ㇄ ㇅ ㇆ ㇇ ㇈ ㇉ ㇊ ㇋ ㇌ ㇍ ㇎ ㇏ ㇐ ㇑ ㇒ ㇓ ㇔ ㇕ ㇖ ㇗ ㇘ ㇙ ㇚ ㇛ ㇜ ㇝ ㇞ ㇟ ㇠ ㇡ ㇢ ㇣ ㇯</t>
        </is>
      </c>
      <c r="R119" s="43" t="inlineStr">
        <is>
          <t>㇀ ㇁ ㇂ ㇃ ㇄ ㇅ ㇆ ㇇ ㇈ ㇉ ㇊ ㇋ ㇌ ㇍ ㇎ ㇏ ㇐ ㇑ ㇒ ㇓ ㇕ ㇗ ㇘ ㇙ ㇚ ㇛ ㇜ ㇝ ㇞ ㇟ ㇠ ㇡ ㇢ ㇣</t>
        </is>
      </c>
      <c r="S119" s="40" t="n"/>
      <c r="V119" s="14">
        <f>(LEN(O119)+1)/2</f>
        <v/>
      </c>
      <c r="W119" s="14">
        <f>ROUNDDOWN((LEN(P119)+1)/2,0)</f>
        <v/>
      </c>
      <c r="X119" s="14">
        <f>ROUNDDOWN((LEN(Q119)+1)/2,0)</f>
        <v/>
      </c>
      <c r="Y119" s="14">
        <f>ROUNDDOWN((LEN(R119)+1)/2,0)</f>
        <v/>
      </c>
      <c r="Z119" s="14">
        <f>ROUNDDOWN((LEN(S119)+1)/2,0)</f>
        <v/>
      </c>
      <c r="AA119" s="56" t="n">
        <v>46150.55826686462</v>
      </c>
    </row>
    <row r="120" ht="25.5" customHeight="1">
      <c r="B120" s="46" t="inlineStr">
        <is>
          <t>U+31F0-U+31FF</t>
        </is>
      </c>
      <c r="C120" s="46" t="inlineStr">
        <is>
          <t>Katakana Phonetic Extensions</t>
        </is>
      </c>
      <c r="D120" s="54">
        <f>HEX2DEC(MID(B120,3,FIND("-",E120)-3))</f>
        <v/>
      </c>
      <c r="E120" s="46" t="inlineStr">
        <is>
          <t>U+31F0-U+31FF</t>
        </is>
      </c>
      <c r="F120" s="14" t="n">
        <v>3</v>
      </c>
      <c r="I120" s="48" t="inlineStr">
        <is>
          <t>ALL</t>
        </is>
      </c>
      <c r="J120" s="19">
        <f>ROUNDDOWN(W120,0)/$V120</f>
        <v/>
      </c>
      <c r="K120" s="19">
        <f>ROUNDDOWN(X120,0)/$V120</f>
        <v/>
      </c>
      <c r="L120" s="19">
        <f>ROUNDDOWN(Y120,0)/$V120</f>
        <v/>
      </c>
      <c r="M120" s="19">
        <f>ROUNDDOWN(Z120,0)/$V120</f>
        <v/>
      </c>
      <c r="O120" s="36" t="inlineStr">
        <is>
          <t>ㇰ ㇱ ㇲ ㇳ ㇴ ㇵ ㇶ ㇷ ㇸ ㇹ ㇺ ㇻ ㇼ ㇽ ㇾ ㇿ</t>
        </is>
      </c>
      <c r="P120" s="37" t="inlineStr">
        <is>
          <t>ㇰ ㇱ ㇲ ㇳ ㇴ ㇵ ㇶ ㇷ ㇸ ㇹ ㇺ ㇻ ㇼ ㇽ ㇾ ㇿ</t>
        </is>
      </c>
      <c r="Q120" s="38" t="inlineStr">
        <is>
          <t>ㇰ ㇱ ㇲ ㇳ ㇴ ㇵ ㇶ ㇷ ㇸ ㇹ ㇺ ㇻ ㇼ ㇽ ㇾ ㇿ</t>
        </is>
      </c>
      <c r="R120" s="43" t="inlineStr">
        <is>
          <t>ㇰ ㇱ ㇲ ㇳ ㇴ ㇶ ㇷ ㇸ ㇹ ㇺ ㇻ ㇼ ㇾ ㇿ</t>
        </is>
      </c>
      <c r="S120" s="40" t="n"/>
      <c r="V120" s="14">
        <f>(LEN(O120)+1)/2</f>
        <v/>
      </c>
      <c r="W120" s="14">
        <f>ROUNDDOWN((LEN(P120)+1)/2,0)</f>
        <v/>
      </c>
      <c r="X120" s="14">
        <f>ROUNDDOWN((LEN(Q120)+1)/2,0)</f>
        <v/>
      </c>
      <c r="Y120" s="14">
        <f>ROUNDDOWN((LEN(R120)+1)/2,0)</f>
        <v/>
      </c>
      <c r="Z120" s="14">
        <f>ROUNDDOWN((LEN(S120)+1)/2,0)</f>
        <v/>
      </c>
      <c r="AA120" s="56" t="n">
        <v>46150.55826717829</v>
      </c>
    </row>
    <row r="121" ht="102" customHeight="1">
      <c r="B121" s="46" t="inlineStr">
        <is>
          <t>U+3200-U+32FF</t>
        </is>
      </c>
      <c r="C121" s="46" t="inlineStr">
        <is>
          <t>Enclosed CJK Letters and Months</t>
        </is>
      </c>
      <c r="D121" s="54">
        <f>HEX2DEC(MID(B121,3,FIND("-",E121)-3))</f>
        <v/>
      </c>
      <c r="E121" s="46" t="inlineStr">
        <is>
          <t>U+3200-U+32FF</t>
        </is>
      </c>
      <c r="F121" s="14" t="n">
        <v>3</v>
      </c>
      <c r="I121" s="48" t="inlineStr">
        <is>
          <t>ALL</t>
        </is>
      </c>
      <c r="J121" s="19">
        <f>ROUNDDOWN(W121,0)/$V121</f>
        <v/>
      </c>
      <c r="K121" s="19">
        <f>ROUNDDOWN(X121,0)/$V121</f>
        <v/>
      </c>
      <c r="L121" s="19">
        <f>ROUNDDOWN(Y121,0)/$V121</f>
        <v/>
      </c>
      <c r="M121" s="19">
        <f>ROUNDDOWN(Z121,0)/$V121</f>
        <v/>
      </c>
      <c r="O121" s="36" t="inlineStr">
        <is>
          <t>㈀ ㈁ ㈂ ㈃ ㈄ ㈅ ㈆ ㈇ ㈈ ㈉ ㈊ ㈋ ㈌ ㈍ ㈎ ㈏ ㈐ ㈑ ㈒ ㈓ ㈔ ㈕ ㈖ ㈗ ㈘ ㈙ ㈚ ㈛ ㈜ ㈝ ㈞ ㈠ ㈡ ㈢ ㈣ ㈤ ㈥ ㈦ ㈧ ㈨ ㈩ ㈪ ㈫ ㈬ ㈭ ㈮ ㈯ ㈰ ㈱ ㈲ ㈳ ㈴ ㈵ ㈶ ㈷ ㈸ ㈹ ㈺ ㈻ ㈼ ㈽ ㈾ ㈿ ㉀ ㉁ ㉂ ㉃ ㉄ ㉅ ㉆ ㉇ ㉈ ㉉ ㉊ ㉋ ㉌ ㉍ ㉎ ㉏ ㉐ ㉑ ㉒ ㉓ ㉔ ㉕ ㉖ ㉗ ㉘ ㉙ ㉚ ㉛ ㉜ ㉝ ㉞ ㉟ ㉠ ㉡ ㉢ ㉣ ㉤ ㉥ ㉦ ㉧ ㉨ ㉩ ㉪ ㉫ ㉬ ㉭ ㉮ ㉯ ㉰ ㉱ ㉲ ㉳ ㉴ ㉵ ㉶ ㉷ ㉸ ㉹ ㉺ ㉻ ㉼ ㉽ ㉾ ㉿ ㊀ ㊁ ㊂ ㊃ ㊄ ㊅ ㊆ ㊇ ㊈ ㊉ ㊊ ㊋ ㊌ ㊍ ㊎ ㊏ ㊐ ㊑ ㊒ ㊓ ㊔ ㊕ ㊖ ㊗ ㊘ ㊙ ㊚ ㊛ ㊜ ㊝ ㊞ ㊟ ㊠ ㊡ ㊢ ㊣ ㊤ ㊥ ㊦ ㊧ ㊨ ㊩ ㊪ ㊫ ㊬ ㊭ ㊮ ㊯ ㊰ ㊱ ㊲ ㊳ ㊴ ㊵ ㊶ ㊷ ㊸ ㊹ ㊺ ㊻ ㊼ ㊽ ㊾ ㊿ ㋀ ㋁ ㋂ ㋃ ㋄ ㋅ ㋆ ㋇ ㋈ ㋉ ㋊ ㋋ ㋌ ㋍ ㋎ ㋏ ㋐ ㋑ ㋒ ㋓ ㋔ ㋕ ㋖ ㋗ ㋘ ㋙ ㋚ ㋛ ㋜ ㋝ ㋞ ㋟ ㋠ ㋡ ㋢ ㋣ ㋤ ㋥ ㋦ ㋧ ㋨ ㋩ ㋪ ㋫ ㋬ ㋭ ㋮ ㋯ ㋰ ㋱ ㋲ ㋳ ㋴ ㋵ ㋶ ㋷ ㋸ ㋹ ㋺ ㋻ ㋼ ㋽ ㋾ ㋿</t>
        </is>
      </c>
      <c r="P121" s="37" t="inlineStr">
        <is>
          <t>㈀ ㈁ ㈂ ㈃ ㈄ ㈅ ㈆ ㈇ ㈈ ㈉ ㈊ ㈋ ㈌ ㈍ ㈎ ㈏ ㈐ ㈑ ㈒ ㈓ ㈔ ㈕ ㈖ ㈗ ㈘ ㈙ ㈚ ㈛ ㈜ ㈝ ㈞ ㈠ ㈡ ㈢ ㈣ ㈤ ㈥ ㈦ ㈧ ㈨ ㈩ ㈪ ㈫ ㈬ ㈭ ㈮ ㈯ ㈰ ㈱ ㈲ ㈳ ㈴ ㈵ ㈶ ㈷ ㈸ ㈹ ㈺ ㈻ ㈼ ㈽ ㈾ ㈿ ㉀ ㉁ ㉂ ㉃ ㉄ ㉅ ㉆ ㉇ ㉈ ㉉ ㉊ ㉋ ㉌ ㉍ ㉎ ㉏ ㉐ ㉑ ㉒ ㉓ ㉔ ㉕ ㉖ ㉗ ㉘ ㉙ ㉚ ㉛ ㉜ ㉝ ㉞ ㉟ ㉠ ㉡ ㉢ ㉣ ㉤ ㉥ ㉦ ㉧ ㉨ ㉩ ㉪ ㉫ ㉬ ㉭ ㉮ ㉯ ㉰ ㉱ ㉲ ㉳ ㉴ ㉵ ㉶ ㉷ ㉸ ㉹ ㉺ ㉻ ㉼ ㉽ ㉾ ㉿ ㊀ ㊁ ㊂ ㊃ ㊄ ㊅ ㊆ ㊇ ㊈ ㊉ ㊊ ㊋ ㊌ ㊍ ㊎ ㊏ ㊐ ㊑ ㊒ ㊓ ㊔ ㊕ ㊖ ㊗ ㊘ ㊙ ㊚ ㊛ ㊜ ㊝ ㊞ ㊟ ㊠ ㊡ ㊢ ㊣ ㊤ ㊥ ㊦ ㊧ ㊨ ㊩ ㊪ ㊫ ㊬ ㊭ ㊮ ㊯ ㊰ ㊱ ㊲ ㊳ ㊴ ㊵ ㊶ ㊷ ㊸ ㊹ ㊺ ㊻ ㊼ ㊽ ㊾ ㊿ ㋀ ㋁ ㋂ ㋃ ㋄ ㋅ ㋆ ㋇ ㋈ ㋉ ㋊ ㋋ ㋌ ㋍ ㋎ ㋏ ㋐ ㋑ ㋒ ㋓ ㋔ ㋕ ㋖ ㋗ ㋘ ㋙ ㋚ ㋛ ㋜ ㋝ ㋞ ㋟ ㋠ ㋡ ㋢ ㋣ ㋤ ㋥ ㋦ ㋧ ㋨ ㋩ ㋪ ㋫ ㋬ ㋭ ㋮ ㋯ ㋰ ㋱ ㋲ ㋳ ㋴ ㋵ ㋶ ㋷ ㋸ ㋹ ㋺ ㋻ ㋼ ㋽ ㋾ ㋿</t>
        </is>
      </c>
      <c r="Q121" s="38" t="inlineStr">
        <is>
          <t>㉄ ㉅ ㉆ ㉇ ㉠ ㉡ ㉢ ㉣ ㉤ ㉥ ㉦ ㉧ ㉨ ㉩ ㉪ ㉫ ㉬ ㉭ ㉿ ㊊ ㊋ ㊌ ㊍ ㊎ ㊏ ㊐ ㊑ ㊒ ㊓ ㊔ ㊕ ㊖ ㊗ ㊘ ㊙ ㊚ ㊛ ㊜ ㊝ ㊞ ㊟ ㊠ ㊡ ㊢ ㊣ ㊤ ㊥ ㊦ ㊧ ㊨ ㊩ ㊪ ㊫ ㊬ ㊭ ㊮ ㊯ ㊰ ㋐ ㋑ ㋒ ㋓ ㋔ ㋕ ㋖ ㋗ ㋘ ㋙ ㋚ ㋛ ㋜ ㋝ ㋞ ㋟ ㋠ ㋡ ㋢ ㋣ ㋤ ㋥ ㋦ ㋧ ㋨ ㋩ ㋪ ㋫ ㋬ ㋭ ㋮ ㋯ ㋰ ㋱ ㋲ ㋳ ㋴ ㋵ ㋶ ㋷ ㋸ ㋹ ㋺ ㋻ ㋼ ㋽ ㋾</t>
        </is>
      </c>
      <c r="R121" s="43" t="inlineStr">
        <is>
          <t>㉄ ㉅ ㉆ ㉇ ㉠ ㉡ ㉢ ㉣ ㉤ ㉥ ㉦ ㉧ ㉨ ㉩ ㉪ ㉫ ㉬ ㉭ ㉿ ㊊ ㊋ ㊌ ㊍ ㊎ ㊏ ㊐ ㊑ ㊒ ㊓ ㊔ ㊕ ㊖ ㊗ ㊘ ㊙ ㊚ ㊛ ㊜ ㊝ ㊞ ㊟ ㊠ ㊡ ㊢ ㊣ ㊤ ㊥ ㊦ ㊧ ㊨ ㊩ ㊪ ㊫ ㊬ ㊭ ㊮ ㊯ ㊰ ㋐ ㋑ ㋒ ㋓ ㋔ ㋕ ㋖ ㋗ ㋘ ㋙ ㋚ ㋛ ㋜ ㋝ ㋞ ㋟ ㋠ ㋡ ㋢ ㋣ ㋤ ㋥ ㋦ ㋧ ㋨ ㋩ ㋪ ㋫ ㋬ ㋭ ㋮ ㋯ ㋰ ㋱ ㋲ ㋳ ㋴ ㋵ ㋶ ㋷ ㋸ ㋹ ㋺ ㋻ ㋼ ㋽ ㋾</t>
        </is>
      </c>
      <c r="S121" s="40" t="n"/>
      <c r="V121" s="14">
        <f>(LEN(O121)+1)/2</f>
        <v/>
      </c>
      <c r="W121" s="14">
        <f>ROUNDDOWN((LEN(P121)+1)/2,0)</f>
        <v/>
      </c>
      <c r="X121" s="14">
        <f>ROUNDDOWN((LEN(Q121)+1)/2,0)</f>
        <v/>
      </c>
      <c r="Y121" s="14">
        <f>ROUNDDOWN((LEN(R121)+1)/2,0)</f>
        <v/>
      </c>
      <c r="Z121" s="14">
        <f>ROUNDDOWN((LEN(S121)+1)/2,0)</f>
        <v/>
      </c>
      <c r="AA121" s="56" t="n">
        <v>46150.55826842334</v>
      </c>
    </row>
    <row r="122" ht="114.75" customHeight="1">
      <c r="B122" s="46" t="inlineStr">
        <is>
          <t>U+3300-U+33FF</t>
        </is>
      </c>
      <c r="C122" s="46" t="inlineStr">
        <is>
          <t>CJK Compatibility</t>
        </is>
      </c>
      <c r="D122" s="54">
        <f>HEX2DEC(MID(B122,3,FIND("-",E122)-3))</f>
        <v/>
      </c>
      <c r="E122" s="46" t="inlineStr">
        <is>
          <t>U+3300-U+33FF</t>
        </is>
      </c>
      <c r="F122" s="14" t="n">
        <v>3</v>
      </c>
      <c r="I122" s="48" t="inlineStr">
        <is>
          <t>ALL</t>
        </is>
      </c>
      <c r="J122" s="19">
        <f>ROUNDDOWN(W122,0)/$V122</f>
        <v/>
      </c>
      <c r="K122" s="19">
        <f>ROUNDDOWN(X122,0)/$V122</f>
        <v/>
      </c>
      <c r="L122" s="19">
        <f>ROUNDDOWN(Y122,0)/$V122</f>
        <v/>
      </c>
      <c r="M122" s="19">
        <f>ROUNDDOWN(Z122,0)/$V122</f>
        <v/>
      </c>
      <c r="O122" s="36" t="inlineStr">
        <is>
          <t>㌀ ㌁ ㌂ ㌃ ㌄ ㌅ ㌆ ㌇ ㌈ ㌉ ㌊ ㌋ ㌌ ㌍ ㌎ ㌏ ㌐ ㌑ ㌒ ㌓ ㌔ ㌕ ㌖ ㌗ ㌘ ㌙ ㌚ ㌛ ㌜ ㌝ ㌞ ㌟ ㌠ ㌡ ㌢ ㌣ ㌤ ㌥ ㌦ ㌧ ㌨ ㌩ ㌪ ㌫ ㌬ ㌭ ㌮ ㌯ ㌰ ㌱ ㌲ ㌳ ㌴ ㌵ ㌶ ㌷ ㌸ ㌹ ㌺ ㌻ ㌼ ㌽ ㌾ ㌿ ㍀ ㍁ ㍂ ㍃ ㍄ ㍅ ㍆ ㍇ ㍈ ㍉ ㍊ ㍋ ㍌ ㍍ ㍎ ㍏ ㍐ ㍑ ㍒ ㍓ ㍔ ㍕ ㍖ ㍗ ㍘ ㍙ ㍚ ㍛ ㍜ ㍝ ㍞ ㍟ ㍠ ㍡ ㍢ ㍣ ㍤ ㍥ ㍦ ㍧ ㍨ ㍩ ㍪ ㍫ ㍬ ㍭ ㍮ ㍯ ㍰ ㍱ ㍲ ㍳ ㍴ ㍵ ㍶ ㍷ ㍸ ㍹ ㍺ ㍻ ㍼ ㍽ ㍾ ㍿ ㎀ ㎁ ㎂ ㎃ ㎄ ㎅ ㎆ ㎇ ㎈ ㎉ ㎊ ㎋ ㎌ ㎍ ㎎ ㎏ ㎐ ㎑ ㎒ ㎓ ㎔ ㎕ ㎖ ㎗ ㎘ ㎙ ㎚ ㎛ ㎜ ㎝ ㎞ ㎟ ㎠ ㎡ ㎢ ㎣ ㎤ ㎥ ㎦ ㎧ ㎨ ㎩ ㎪ ㎫ ㎬ ㎭ ㎮ ㎯ ㎰ ㎱ ㎲ ㎳ ㎴ ㎵ ㎶ ㎷ ㎸ ㎹ ㎺ ㎻ ㎼ ㎽ ㎾ ㎿ ㏀ ㏁ ㏂ ㏃ ㏄ ㏅ ㏆ ㏇ ㏈ ㏉ ㏊ ㏋ ㏌ ㏍ ㏎ ㏏ ㏐ ㏑ ㏒ ㏓ ㏔ ㏕ ㏖ ㏗ ㏘ ㏙ ㏚ ㏛ ㏜ ㏝ ㏞ ㏟ ㏠ ㏡ ㏢ ㏣ ㏤ ㏥ ㏦ ㏧ ㏨ ㏩ ㏪ ㏫ ㏬ ㏭ ㏮ ㏯ ㏰ ㏱ ㏲ ㏳ ㏴ ㏵ ㏶ ㏷ ㏸ ㏹ ㏺ ㏻ ㏼ ㏽ ㏾ ㏿</t>
        </is>
      </c>
      <c r="P122" s="37" t="inlineStr">
        <is>
          <t>㌀ ㌁ ㌂ ㌃ ㌄ ㌅ ㌆ ㌇ ㌈ ㌉ ㌊ ㌋ ㌌ ㌍ ㌎ ㌏ ㌐ ㌑ ㌒ ㌓ ㌔ ㌕ ㌖ ㌗ ㌘ ㌙ ㌚ ㌛ ㌜ ㌝ ㌞ ㌟ ㌠ ㌡ ㌢ ㌣ ㌤ ㌥ ㌦ ㌧ ㌨ ㌩ ㌪ ㌫ ㌬ ㌭ ㌮ ㌯ ㌰ ㌱ ㌲ ㌳ ㌴ ㌵ ㌶ ㌷ ㌸ ㌹ ㌺ ㌻ ㌼ ㌽ ㌾ ㌿ ㍀ ㍁ ㍂ ㍃ ㍄ ㍅ ㍆ ㍇ ㍈ ㍉ ㍊ ㍋ ㍌ ㍍ ㍎ ㍏ ㍐ ㍑ ㍒ ㍓ ㍔ ㍕ ㍖ ㍗ ㍘ ㍙ ㍚ ㍛ ㍜ ㍝ ㍞ ㍟ ㍠ ㍡ ㍢ ㍣ ㍤ ㍥ ㍦ ㍧ ㍨ ㍩ ㍪ ㍫ ㍬ ㍭ ㍮ ㍯ ㍰ ㍱ ㍲ ㍳ ㍴ ㍵ ㍶ ㍷ ㍸ ㍹ ㍺ ㍻ ㍼ ㍽ ㍾ ㍿ ㎀ ㎁ ㎂ ㎃ ㎄ ㎅ ㎆ ㎇ ㎈ ㎉ ㎊ ㎋ ㎌ ㎍ ㎎ ㎏ ㎐ ㎑ ㎒ ㎓ ㎔ ㎕ ㎖ ㎗ ㎘ ㎙ ㎚ ㎛ ㎜ ㎝ ㎞ ㎟ ㎠ ㎡ ㎢ ㎣ ㎤ ㎥ ㎦ ㎧ ㎨ ㎩ ㎪ ㎫ ㎬ ㎭ ㎮ ㎯ ㎰ ㎱ ㎲ ㎳ ㎴ ㎵ ㎶ ㎷ ㎸ ㎹ ㎺ ㎻ ㎼ ㎽ ㎾ ㎿ ㏀ ㏁ ㏂ ㏃ ㏄ ㏅ ㏆ ㏇ ㏈ ㏉ ㏊ ㏋ ㏌ ㏍ ㏎ ㏏ ㏐ ㏑ ㏒ ㏓ ㏔ ㏕ ㏖ ㏗ ㏘ ㏙ ㏚ ㏛ ㏜ ㏝ ㏞ ㏟ ㏠ ㏡ ㏢ ㏣ ㏤ ㏥ ㏦ ㏧ ㏨ ㏩ ㏪ ㏫ ㏬ ㏭ ㏮ ㏯ ㏰ ㏱ ㏲ ㏳ ㏴ ㏵ ㏶ ㏷ ㏸ ㏹ ㏺ ㏻ ㏼ ㏽ ㏾ ㏿</t>
        </is>
      </c>
      <c r="Q122" s="38" t="inlineStr"/>
      <c r="R122" t="inlineStr"/>
      <c r="S122" s="40" t="n"/>
      <c r="V122" s="14">
        <f>(LEN(O122)+1)/2</f>
        <v/>
      </c>
      <c r="W122" s="14">
        <f>ROUNDDOWN((LEN(P122)+1)/2,0)</f>
        <v/>
      </c>
      <c r="X122" s="14">
        <f>ROUNDDOWN((LEN(Q122)+1)/2,0)</f>
        <v/>
      </c>
      <c r="Y122" s="14">
        <f>ROUNDDOWN((LEN(R122)+1)/2,0)</f>
        <v/>
      </c>
      <c r="Z122" s="14">
        <f>ROUNDDOWN((LEN(S122)+1)/2,0)</f>
        <v/>
      </c>
      <c r="AA122" s="56" t="n">
        <v>46150.55826842783</v>
      </c>
    </row>
    <row r="123" ht="102" customHeight="1">
      <c r="B123" s="46" t="inlineStr">
        <is>
          <t>U+3400-U+34FD</t>
        </is>
      </c>
      <c r="C123" s="46" t="inlineStr">
        <is>
          <t>CJK Unified Ideographs Extension A</t>
        </is>
      </c>
      <c r="D123" s="54">
        <f>HEX2DEC(MID(B123,3,FIND("-",E123)-3))</f>
        <v/>
      </c>
      <c r="E123" s="46" t="inlineStr">
        <is>
          <t>U+3400-U+4DBF</t>
        </is>
      </c>
      <c r="F123" s="12" t="n">
        <v>3</v>
      </c>
      <c r="J123" s="19">
        <f>ROUNDDOWN(W123,0)/$V123</f>
        <v/>
      </c>
      <c r="K123" s="19">
        <f>ROUNDDOWN(X123,0)/$V123</f>
        <v/>
      </c>
      <c r="L123" s="19">
        <f>ROUNDDOWN(Y123,0)/$V123</f>
        <v/>
      </c>
      <c r="M123" s="19">
        <f>ROUNDDOWN(Z123,0)/$V123</f>
        <v/>
      </c>
      <c r="O123" s="36" t="inlineStr">
        <is>
          <t>㐀 㐁 㐂 㐃 㐄 㐅 㐆 㐇 㐈 㐉 㐊 㐋 㐌 㐍 㐎 㐏 㐐 㐑 㐒 㐓 㐔 㐕 㐖 㐗 㐘 㐙 㐚 㐛 㐜 㐝 㐞 㐟 㐠 㐡 㐢 㐣 㐤 㐥 㐦 㐧 㐨 㐩 㐪 㐫 㐬 㐭 㐮 㐯 㐰 㐱 㐲 㐳 㐴 㐵 㐶 㐷 㐸 㐹 㐺 㐻 㐼 㐽 㐾 㐿 㑀 㑁 㑂 㑃 㑄 㑅 㑆 㑇 㑈 㑉 㑊 㑋 㑌 㑍 㑎 㑏 㑐 㑑 㑒 㑓 㑔 㑕 㑖 㑗 㑘 㑙 㑚 㑛 㑜 㑝 㑞 㑟 㑠 㑡 㑢 㑣 㑤 㑥 㑦 㑧 㑨 㑩 㑪 㑫 㑬 㑭 㑮 㑯 㑰 㑱 㑲 㑳 㑴 㑵 㑶 㑷 㑸 㑹 㑺 㑻 㑼 㑽 㑾 㑿 㒀 㒁 㒂 㒃 㒄 㒅 㒆 㒇 㒈 㒉 㒊 㒋 㒌 㒍 㒎 㒏 㒐 㒑 㒒 㒓 㒔 㒕 㒖 㒗 㒘 㒙 㒚 㒛 㒜 㒝 㒞 㒟 㒠 㒡 㒢 㒣 㒤 㒥 㒦 㒧 㒨 㒩 㒪 㒫 㒬 㒭 㒮 㒯 㒰 㒱 㒲 㒳 㒴 㒵 㒶 㒷 㒸 㒹 㒺 㒻 㒼 㒽 㒾 㒿 㓀 㓁 㓂 㓃 㓄 㓅 㓆 㓇 㓈 㓉 㓊 㓋 㓌 㓍 㓎 㓏 㓐 㓑 㓒 㓓 㓔 㓕 㓖 㓗 㓘 㓙 㓚 㓛 㓜 㓝 㓞 㓟 㓠 㓡 㓢 㓣 㓤 㓥 㓦 㓧 㓨 㓩 㓪 㓫 㓬 㓭 㓮 㓯 㓰 㓱 㓲 㓳 㓴 㓵 㓶 㓷 㓸 㓹 㓺 㓻 㓼 㓽</t>
        </is>
      </c>
      <c r="P123" s="37" t="inlineStr">
        <is>
          <t>㐀 㐁 㐂 㐃 㐄 㐅 㐆 㐇 㐈 㐉 㐊 㐋 㐌 㐍 㐎 㐏 㐐 㐑 㐒 㐓 㐔 㐕 㐖 㐗 㐘 㐙 㐚 㐛 㐜 㐝 㐞 㐟 㐠 㐡 㐢 㐣 㐤 㐥 㐦 㐧 㐨 㐩 㐪 㐫 㐬 㐭 㐮 㐯 㐰 㐱 㐲 㐳 㐴 㐵 㐶 㐷 㐸 㐹 㐺 㐻 㐼 㐽 㐾 㐿 㑀 㑁 㑂 㑃 㑄 㑅 㑆 㑇 㑈 㑉 㑊 㑋 㑌 㑍 㑎 㑏 㑐 㑑 㑒 㑓 㑔 㑕 㑖 㑗 㑘 㑙 㑚 㑛 㑜 㑝 㑞 㑟 㑠 㑡 㑢 㑣 㑤 㑥 㑦 㑧 㑨 㑩 㑪 㑫 㑬 㑭 㑮 㑯 㑰 㑱 㑲 㑳 㑴 㑵 㑶 㑷 㑸 㑹 㑺 㑻 㑼 㑽 㑾 㑿 㒀 㒁 㒂 㒃 㒄 㒅 㒆 㒇 㒈 㒉 㒊 㒋 㒌 㒍 㒎 㒏 㒐 㒑 㒒 㒓 㒔 㒕 㒖 㒗 㒘 㒙 㒚 㒛 㒜 㒝 㒞 㒟 㒠 㒡 㒢 㒣 㒤 㒥 㒦 㒧 㒨 㒩 㒪 㒫 㒬 㒭 㒮 㒯 㒰 㒱 㒲 㒳 㒴 㒵 㒶 㒷 㒸 㒹 㒺 㒻 㒼 㒽 㒾 㒿 㓀 㓁 㓂 㓃 㓄 㓅 㓆 㓇 㓈 㓉 㓊 㓋 㓌 㓍 㓎 㓏 㓐 㓑 㓒 㓓 㓔 㓕 㓖 㓗 㓘 㓙 㓚 㓛 㓜 㓝 㓞 㓟 㓠 㓡 㓢 㓣 㓤 㓥 㓦 㓧 㓨 㓩 㓪 㓫 㓬 㓭 㓮 㓯 㓰 㓱 㓲 㓳 㓴 㓵 㓶 㓷 㓸 㓹 㓺 㓻 㓼 㓽</t>
        </is>
      </c>
      <c r="Q123" s="38" t="inlineStr">
        <is>
          <t>㐀 㐁 㐂 㐃 㐄 㐅 㐆 㐇 㐈 㐉 㐊 㐋 㐌 㐍 㐎 㐏 㐐 㐑 㐒 㐓 㐔 㐕 㐖 㐗 㐘 㐙 㐚 㐛 㐜 㐝 㐞 㐟 㐠 㐡 㐢 㐣 㐤 㐥 㐦 㐧 㐨 㐩 㐪 㐫 㐬 㐭 㐮 㐯 㐰 㐱 㐲 㐳 㐴 㐵 㐶 㐷 㐸 㐹 㐺 㐻 㐼 㐽 㐾 㐿 㑀 㑁 㑂 㑃 㑄 㑅 㑆 㑇 㑈 㑉 㑊 㑋 㑌 㑍 㑎 㑏 㑐 㑑 㑒 㑓 㑔 㑕 㑖 㑗 㑘 㑙 㑚 㑛 㑜 㑝 㑞 㑟 㑠 㑡 㑢 㑣 㑤 㑥 㑦 㑧 㑨 㑩 㑪 㑫 㑬 㑭 㑮 㑯 㑰 㑱 㑲 㑳 㑴 㑵 㑶 㑷 㑸 㑹 㑺 㑻 㑼 㑽 㑾 㑿 㒀 㒁 㒂 㒃 㒄 㒅 㒆 㒇 㒈 㒉 㒊 㒋 㒌 㒍 㒎 㒏 㒐 㒑 㒒 㒓 㒔 㒕 㒖 㒗 㒘 㒙 㒚 㒛 㒜 㒝 㒞 㒟 㒠 㒡 㒢 㒣 㒤 㒥 㒦 㒧 㒨 㒩 㒪 㒫 㒬 㒭 㒮 㒯 㒰 㒱 㒲 㒳 㒴 㒵 㒶 㒷 㒸 㒹 㒺 㒻 㒼 㒽 㒾 㒿 㓀 㓁 㓂 㓃 㓄 㓅 㓆 㓇 㓈 㓉 㓊 㓋 㓌 㓍 㓎 㓏 㓐 㓑 㓒 㓓 㓔 㓕 㓖 㓗 㓘 㓙 㓚 㓛 㓜 㓝 㓞 㓟 㓠 㓡 㓢 㓣 㓤 㓥 㓦 㓧 㓨 㓩 㓪 㓫 㓬 㓭 㓮 㓯 㓰 㓱 㓲 㓳 㓴 㓵 㓶 㓷 㓸 㓹 㓺 㓻 㓼 㓽</t>
        </is>
      </c>
      <c r="R123" s="43" t="inlineStr">
        <is>
          <t>㐀 㐁 㐂 㐃 㐄 㐅 㐆 㐇 㐈 㐉 㐌 㐍 㐎 㐏 㐐 㐑 㐒 㐓 㐔 㐕 㐗 㐘 㐙 㐚 㐛 㐜 㐝 㐞 㐟 㐠 㐡 㐢 㐣 㐤 㐥 㐦 㐧 㐪 㐫 㐬 㐮 㐯 㐱 㐲 㐳 㐴 㐵 㐷 㐸 㐹 㐺 㐼 㐽 㐾 㐿 㑀 㑁 㑃 㑄 㑅 㑆 㑇 㑈 㑉 㑊 㑍 㑏 㑐 㑒 㑓 㑕 㑖 㑗 㑘 㑙 㑛 㑜 㑝 㑞 㑟 㑣 㑤 㑥 㑦 㑧 㑨 㑩 㑪 㑫 㑭 㑯 㑰 㑱 㑲 㑳 㑴 㑵 㑶 㑸 㑹 㑺 㑻 㑼 㑽 㑾 㑿 㒂 㒄 㒅 㒆 㒇 㒈 㒉 㒊 㒋 㒌 㒍 㒎 㒏 㒐 㒒 㒓 㒔 㒕 㒗 㒘 㒚 㒛 㒜 㒝 㒞 㒟 㒠 㒡 㒢 㒣 㒤 㒥 㒦 㒧 㒨 㒩 㒪 㒫 㒬 㒭 㒮 㒯 㒰 㒱 㒲 㒳 㒴 㒶 㒷 㒸 㒺 㒻 㒼 㒽 㒾 㒿 㓀 㓂 㓃 㓄 㓆 㓇 㓈 㓋 㓍 㓎 㓑 㓒 㓓 㓔 㓕 㓖 㓘 㓙 㓛 㓜 㓞 㓦 㓪 㓫 㓳 㓹</t>
        </is>
      </c>
      <c r="S123" s="40" t="n"/>
      <c r="V123" s="14">
        <f>(LEN(O123)+1)/2</f>
        <v/>
      </c>
      <c r="W123" s="14">
        <f>ROUNDDOWN((LEN(P123)+1)/2,0)</f>
        <v/>
      </c>
      <c r="X123" s="14">
        <f>ROUNDDOWN((LEN(Q123)+1)/2,0)</f>
        <v/>
      </c>
      <c r="Y123" s="14">
        <f>ROUNDDOWN((LEN(R123)+1)/2,0)</f>
        <v/>
      </c>
      <c r="Z123" s="14">
        <f>ROUNDDOWN((LEN(S123)+1)/2,0)</f>
        <v/>
      </c>
      <c r="AA123" s="56" t="n">
        <v>46150.55827116836</v>
      </c>
    </row>
    <row r="124" ht="102" customHeight="1">
      <c r="B124" s="46" t="inlineStr">
        <is>
          <t>U+34FE-U+35FB</t>
        </is>
      </c>
      <c r="C124" s="46" t="inlineStr">
        <is>
          <t>CJK Unified Ideographs Extension A</t>
        </is>
      </c>
      <c r="D124" s="54">
        <f>HEX2DEC(MID(B124,3,FIND("-",E124)-3))</f>
        <v/>
      </c>
      <c r="E124" s="46" t="inlineStr">
        <is>
          <t>U+3400-U+4DBF</t>
        </is>
      </c>
      <c r="F124" s="12" t="n">
        <v>3</v>
      </c>
      <c r="J124" s="19">
        <f>ROUNDDOWN(W124,0)/$V124</f>
        <v/>
      </c>
      <c r="K124" s="19">
        <f>ROUNDDOWN(X124,0)/$V124</f>
        <v/>
      </c>
      <c r="L124" s="19">
        <f>ROUNDDOWN(Y124,0)/$V124</f>
        <v/>
      </c>
      <c r="M124" s="19">
        <f>ROUNDDOWN(Z124,0)/$V124</f>
        <v/>
      </c>
      <c r="O124" s="36" t="inlineStr">
        <is>
          <t>㓾 㓿 㔀 㔁 㔂 㔃 㔄 㔅 㔆 㔇 㔈 㔉 㔊 㔋 㔌 㔍 㔎 㔏 㔐 㔑 㔒 㔓 㔔 㔕 㔖 㔗 㔘 㔙 㔚 㔛 㔜 㔝 㔞 㔟 㔠 㔡 㔢 㔣 㔤 㔥 㔦 㔧 㔨 㔩 㔪 㔫 㔬 㔭 㔮 㔯 㔰 㔱 㔲 㔳 㔴 㔵 㔶 㔷 㔸 㔹 㔺 㔻 㔼 㔽 㔾 㔿 㕀 㕁 㕂 㕃 㕄 㕅 㕆 㕇 㕈 㕉 㕊 㕋 㕌 㕍 㕎 㕏 㕐 㕑 㕒 㕓 㕔 㕕 㕖 㕗 㕘 㕙 㕚 㕛 㕜 㕝 㕞 㕟 㕠 㕡 㕢 㕣 㕤 㕥 㕦 㕧 㕨 㕩 㕪 㕫 㕬 㕭 㕮 㕯 㕰 㕱 㕲 㕳 㕴 㕵 㕶 㕷 㕸 㕹 㕺 㕻 㕼 㕽 㕾 㕿 㖀 㖁 㖂 㖃 㖄 㖅 㖆 㖇 㖈 㖉 㖊 㖋 㖌 㖍 㖎 㖏 㖐 㖑 㖒 㖓 㖔 㖕 㖖 㖗 㖘 㖙 㖚 㖛 㖜 㖝 㖞 㖟 㖠 㖡 㖢 㖣 㖤 㖥 㖦 㖧 㖨 㖩 㖪 㖫 㖬 㖭 㖮 㖯 㖰 㖱 㖲 㖳 㖴 㖵 㖶 㖷 㖸 㖹 㖺 㖻 㖼 㖽 㖾 㖿 㗀 㗁 㗂 㗃 㗄 㗅 㗆 㗇 㗈 㗉 㗊 㗋 㗌 㗍 㗎 㗏 㗐 㗑 㗒 㗓 㗔 㗕 㗖 㗗 㗘 㗙 㗚 㗛 㗜 㗝 㗞 㗟 㗠 㗡 㗢 㗣 㗤 㗥 㗦 㗧 㗨 㗩 㗪 㗫 㗬 㗭 㗮 㗯 㗰 㗱 㗲 㗳 㗴 㗵 㗶 㗷 㗸 㗹 㗺 㗻</t>
        </is>
      </c>
      <c r="P124" s="37" t="inlineStr">
        <is>
          <t>㓾 㓿 㔀 㔁 㔂 㔃 㔄 㔅 㔆 㔇 㔈 㔉 㔊 㔋 㔌 㔍 㔎 㔏 㔐 㔑 㔒 㔓 㔔 㔕 㔖 㔗 㔘 㔙 㔚 㔛 㔜 㔝 㔞 㔟 㔠 㔡 㔢 㔣 㔤 㔥 㔦 㔧 㔨 㔩 㔪 㔫 㔬 㔭 㔮 㔯 㔰 㔱 㔲 㔳 㔴 㔵 㔶 㔷 㔸 㔹 㔺 㔻 㔼 㔽 㔾 㔿 㕀 㕁 㕂 㕃 㕄 㕅 㕆 㕇 㕈 㕉 㕊 㕋 㕌 㕍 㕎 㕏 㕐 㕑 㕒 㕓 㕔 㕕 㕖 㕗 㕘 㕙 㕚 㕛 㕜 㕝 㕞 㕟 㕠 㕡 㕢 㕣 㕤 㕥 㕦 㕧 㕨 㕩 㕪 㕫 㕬 㕭 㕮 㕯 㕰 㕱 㕲 㕳 㕴 㕵 㕶 㕷 㕸 㕹 㕺 㕻 㕼 㕽 㕾 㕿 㖀 㖁 㖂 㖃 㖄 㖅 㖆 㖇 㖈 㖉 㖊 㖋 㖌 㖍 㖎 㖏 㖐 㖑 㖒 㖓 㖔 㖕 㖖 㖗 㖘 㖙 㖚 㖛 㖜 㖝 㖞 㖟 㖠 㖡 㖢 㖣 㖤 㖥 㖦 㖧 㖨 㖩 㖪 㖫 㖬 㖭 㖮 㖯 㖰 㖱 㖲 㖳 㖴 㖵 㖶 㖷 㖸 㖹 㖺 㖻 㖼 㖽 㖾 㖿 㗀 㗁 㗂 㗃 㗄 㗅 㗆 㗇 㗈 㗉 㗊 㗋 㗌 㗍 㗎 㗏 㗐 㗑 㗒 㗓 㗔 㗕 㗖 㗗 㗘 㗙 㗚 㗛 㗜 㗝 㗞 㗟 㗠 㗡 㗢 㗣 㗤 㗥 㗦 㗧 㗨 㗩 㗪 㗫 㗬 㗭 㗮 㗯 㗰 㗱 㗲 㗳 㗴 㗵 㗶 㗷 㗸 㗹 㗺 㗻</t>
        </is>
      </c>
      <c r="Q124" s="38" t="inlineStr">
        <is>
          <t>㓾 㓿 㔀 㔁 㔂 㔃 㔄 㔅 㔆 㔇 㔈 㔉 㔊 㔋 㔌 㔍 㔎 㔏 㔐 㔑 㔒 㔓 㔔 㔕 㔖 㔗 㔘 㔙 㔚 㔛 㔜 㔝 㔞 㔟 㔠 㔡 㔢 㔣 㔤 㔥 㔦 㔧 㔨 㔩 㔪 㔫 㔬 㔭 㔮 㔯 㔰 㔱 㔲 㔳 㔴 㔵 㔶 㔷 㔸 㔹 㔺 㔻 㔼 㔽 㔾 㔿 㕀 㕁 㕂 㕃 㕄 㕅 㕆 㕇 㕈 㕉 㕊 㕋 㕌 㕍 㕎 㕏 㕐 㕑 㕒 㕓 㕔 㕕 㕖 㕗 㕘 㕙 㕚 㕛 㕜 㕝 㕞 㕟 㕠 㕡 㕢 㕣 㕤 㕥 㕦 㕧 㕨 㕩 㕪 㕫 㕬 㕭 㕮 㕯 㕰 㕱 㕲 㕳 㕴 㕵 㕶 㕷 㕸 㕹 㕺 㕻 㕼 㕽 㕾 㕿 㖀 㖁 㖂 㖃 㖄 㖅 㖆 㖇 㖈 㖉 㖊 㖋 㖌 㖍 㖎 㖏 㖐 㖑 㖒 㖓 㖔 㖕 㖖 㖗 㖘 㖙 㖚 㖛 㖜 㖝 㖞 㖟 㖠 㖡 㖢 㖣 㖤 㖥 㖦 㖧 㖨 㖩 㖪 㖫 㖬 㖭 㖮 㖯 㖰 㖱 㖲 㖳 㖴 㖵 㖶 㖷 㖸 㖹 㖺 㖻 㖼 㖽 㖾 㖿 㗀 㗁 㗂 㗃 㗄 㗅 㗆 㗇 㗈 㗉 㗊 㗋 㗌 㗍 㗎 㗏 㗐 㗑 㗒 㗓 㗔 㗕 㗖 㗗 㗘 㗙 㗚 㗛 㗜 㗝 㗞 㗟 㗠 㗡 㗢 㗣 㗤 㗥 㗦 㗧 㗨 㗩 㗪 㗫 㗬 㗭 㗮 㗯 㗰 㗱 㗲 㗳 㗴 㗵 㗶 㗷 㗸 㗹 㗺 㗻</t>
        </is>
      </c>
      <c r="R124" s="43" t="inlineStr">
        <is>
          <t>㓾 㔂 㔃 㔇 㔊 㔍 㔎 㔐 㔑 㔓 㔔 㔕 㔖 㔗 㔘 㔙 㔚 㔛 㔜 㔝 㔞 㔟 㔠 㔡 㔢 㔣 㔤 㔥 㔦 㔧 㔨 㔩 㔪 㔫 㔬 㔭 㔯 㔰 㔱 㔲 㔳 㔴 㔵 㔶 㔷 㔸 㔹 㔺 㔻 㔼 㔽 㔾 㔿 㕀 㕁 㕂 㕃 㕄 㕅 㕆 㕇 㕈 㕉 㕊 㕋 㕌 㕍 㕎 㕏 㕐 㕑 㕒 㕓 㕔 㕕 㕖 㕗 㕘 㕙 㕚 㕛 㕜 㕝 㕞 㕟 㕠 㕡 㕢 㕣 㕤 㕥 㕦 㕧 㕨 㕪 㕫 㕬 㕭 㕮 㕯 㕱 㕲 㕴 㕵 㕶 㕸 㕹 㕻 㕼 㕾 㕿 㖀 㖁 㖂 㖃 㖄 㖅 㖈 㖉 㖊 㖋 㖌 㖍 㖎 㖐 㖑 㖒 㖓 㖔 㖖 㖗 㖘 㖚 㖛 㖝 㖢 㖦 㖩 㖪 㖫 㖬 㖮 㖯 㖰 㖱 㖳 㖴 㖵 㖶 㖷 㖸 㖹 㖻 㖾 㗂 㗄 㗅 㗉 㗋 㗎 㗏 㗐 㗒 㗓 㗔 㗗 㗙 㗚 㗛 㗝 㗞 㗟 㗠 㗡 㗢 㗣 㗤 㗦 㗨 㗪 㗫 㗬 㗭 㗮 㗯 㗰 㗱 㗲 㗳 㗵 㗶 㗸 㗹 㗺 㗻</t>
        </is>
      </c>
      <c r="S124" s="40" t="n"/>
      <c r="V124" s="14">
        <f>(LEN(O124)+1)/2</f>
        <v/>
      </c>
      <c r="W124" s="14">
        <f>ROUNDDOWN((LEN(P124)+1)/2,0)</f>
        <v/>
      </c>
      <c r="X124" s="14">
        <f>ROUNDDOWN((LEN(Q124)+1)/2,0)</f>
        <v/>
      </c>
      <c r="Y124" s="14">
        <f>ROUNDDOWN((LEN(R124)+1)/2,0)</f>
        <v/>
      </c>
      <c r="Z124" s="14">
        <f>ROUNDDOWN((LEN(S124)+1)/2,0)</f>
        <v/>
      </c>
      <c r="AA124" s="56" t="n">
        <v>46150.55827391983</v>
      </c>
    </row>
    <row r="125" ht="102" customHeight="1">
      <c r="B125" s="46" t="inlineStr">
        <is>
          <t>U+35FC-U+36F9</t>
        </is>
      </c>
      <c r="C125" s="46" t="inlineStr">
        <is>
          <t>CJK Unified Ideographs Extension A</t>
        </is>
      </c>
      <c r="D125" s="54">
        <f>HEX2DEC(MID(B125,3,FIND("-",E125)-3))</f>
        <v/>
      </c>
      <c r="E125" s="46" t="inlineStr">
        <is>
          <t>U+3400-U+4DBF</t>
        </is>
      </c>
      <c r="F125" s="12" t="n">
        <v>3</v>
      </c>
      <c r="J125" s="19">
        <f>ROUNDDOWN(W125,0)/$V125</f>
        <v/>
      </c>
      <c r="K125" s="19">
        <f>ROUNDDOWN(X125,0)/$V125</f>
        <v/>
      </c>
      <c r="L125" s="19">
        <f>ROUNDDOWN(Y125,0)/$V125</f>
        <v/>
      </c>
      <c r="M125" s="19">
        <f>ROUNDDOWN(Z125,0)/$V125</f>
        <v/>
      </c>
      <c r="O125" s="36" t="inlineStr">
        <is>
          <t>㗼 㗽 㗾 㗿 㘀 㘁 㘂 㘃 㘄 㘅 㘆 㘇 㘈 㘉 㘊 㘋 㘌 㘍 㘎 㘏 㘐 㘑 㘒 㘓 㘔 㘕 㘖 㘗 㘘 㘙 㘚 㘛 㘜 㘝 㘞 㘟 㘠 㘡 㘢 㘣 㘤 㘥 㘦 㘧 㘨 㘩 㘪 㘫 㘬 㘭 㘮 㘯 㘰 㘱 㘲 㘳 㘴 㘵 㘶 㘷 㘸 㘹 㘺 㘻 㘼 㘽 㘾 㘿 㙀 㙁 㙂 㙃 㙄 㙅 㙆 㙇 㙈 㙉 㙊 㙋 㙌 㙍 㙎 㙏 㙐 㙑 㙒 㙓 㙔 㙕 㙖 㙗 㙘 㙙 㙚 㙛 㙜 㙝 㙞 㙟 㙠 㙡 㙢 㙣 㙤 㙥 㙦 㙧 㙨 㙩 㙪 㙫 㙬 㙭 㙮 㙯 㙰 㙱 㙲 㙳 㙴 㙵 㙶 㙷 㙸 㙹 㙺 㙻 㙼 㙽 㙾 㙿 㚀 㚁 㚂 㚃 㚄 㚅 㚆 㚇 㚈 㚉 㚊 㚋 㚌 㚍 㚎 㚏 㚐 㚑 㚒 㚓 㚔 㚕 㚖 㚗 㚘 㚙 㚚 㚛 㚜 㚝 㚞 㚟 㚠 㚡 㚢 㚣 㚤 㚥 㚦 㚧 㚨 㚩 㚪 㚫 㚬 㚭 㚮 㚯 㚰 㚱 㚲 㚳 㚴 㚵 㚶 㚷 㚸 㚹 㚺 㚻 㚼 㚽 㚾 㚿 㛀 㛁 㛂 㛃 㛄 㛅 㛆 㛇 㛈 㛉 㛊 㛋 㛌 㛍 㛎 㛏 㛐 㛑 㛒 㛓 㛔 㛕 㛖 㛗 㛘 㛙 㛚 㛛 㛜 㛝 㛞 㛟 㛠 㛡 㛢 㛣 㛤 㛥 㛦 㛧 㛨 㛩 㛪 㛫 㛬 㛭 㛮 㛯 㛰 㛱 㛲 㛳 㛴 㛵 㛶 㛷 㛸 㛹</t>
        </is>
      </c>
      <c r="P125" s="37" t="inlineStr">
        <is>
          <t>㗼 㗽 㗾 㗿 㘀 㘁 㘂 㘃 㘄 㘅 㘆 㘇 㘈 㘉 㘊 㘋 㘌 㘍 㘎 㘏 㘐 㘑 㘒 㘓 㘔 㘕 㘖 㘗 㘘 㘙 㘚 㘛 㘜 㘝 㘞 㘟 㘠 㘡 㘢 㘣 㘤 㘥 㘦 㘧 㘨 㘩 㘪 㘫 㘬 㘭 㘮 㘯 㘰 㘱 㘲 㘳 㘴 㘵 㘶 㘷 㘸 㘹 㘺 㘻 㘼 㘽 㘾 㘿 㙀 㙁 㙂 㙃 㙄 㙅 㙆 㙇 㙈 㙉 㙊 㙋 㙌 㙍 㙎 㙏 㙐 㙑 㙒 㙓 㙔 㙕 㙖 㙗 㙘 㙙 㙚 㙛 㙜 㙝 㙞 㙟 㙠 㙡 㙢 㙣 㙤 㙥 㙦 㙧 㙨 㙩 㙪 㙫 㙬 㙭 㙮 㙯 㙰 㙱 㙲 㙳 㙴 㙵 㙶 㙷 㙸 㙹 㙺 㙻 㙼 㙽 㙾 㙿 㚀 㚁 㚂 㚃 㚄 㚅 㚆 㚇 㚈 㚉 㚊 㚋 㚌 㚍 㚎 㚏 㚐 㚑 㚒 㚓 㚔 㚕 㚖 㚗 㚘 㚙 㚚 㚛 㚜 㚝 㚞 㚟 㚠 㚡 㚢 㚣 㚤 㚥 㚦 㚧 㚨 㚩 㚪 㚫 㚬 㚭 㚮 㚯 㚰 㚱 㚲 㚳 㚴 㚵 㚶 㚷 㚸 㚹 㚺 㚻 㚼 㚽 㚾 㚿 㛀 㛁 㛂 㛃 㛄 㛅 㛆 㛇 㛈 㛉 㛊 㛋 㛌 㛍 㛎 㛏 㛐 㛑 㛒 㛓 㛔 㛕 㛖 㛗 㛘 㛙 㛚 㛛 㛜 㛝 㛞 㛟 㛠 㛡 㛢 㛣 㛤 㛥 㛦 㛧 㛨 㛩 㛪 㛫 㛬 㛭 㛮 㛯 㛰 㛱 㛲 㛳 㛴 㛵 㛶 㛷 㛸 㛹</t>
        </is>
      </c>
      <c r="Q125" s="38" t="inlineStr">
        <is>
          <t>㗼 㗽 㗾 㗿 㘀 㘁 㘂 㘃 㘄 㘅 㘆 㘇 㘈 㘉 㘊 㘋 㘌 㘍 㘎 㘏 㘐 㘑 㘒 㘓 㘔 㘕 㘖 㘗 㘘 㘙 㘚 㘛 㘜 㘝 㘞 㘟 㘠 㘡 㘢 㘣 㘤 㘥 㘦 㘧 㘨 㘩 㘪 㘫 㘬 㘭 㘮 㘯 㘰 㘱 㘲 㘳 㘴 㘵 㘶 㘷 㘸 㘹 㘺 㘻 㘼 㘽 㘾 㘿 㙀 㙁 㙂 㙃 㙄 㙅 㙆 㙇 㙈 㙉 㙊 㙋 㙌 㙍 㙎 㙏 㙐 㙑 㙒 㙓 㙔 㙕 㙖 㙗 㙘 㙙 㙚 㙛 㙜 㙝 㙞 㙟 㙠 㙡 㙢 㙣 㙤 㙥 㙦 㙧 㙨 㙩 㙪 㙫 㙬 㙭 㙮 㙯 㙰 㙱 㙲 㙳 㙴 㙵 㙶 㙷 㙸 㙹 㙺 㙻 㙼 㙽 㙾 㙿 㚀 㚁 㚂 㚃 㚄 㚅 㚆 㚇 㚈 㚉 㚊 㚋 㚌 㚍 㚎 㚏 㚐 㚑 㚒 㚓 㚔 㚕 㚖 㚗 㚘 㚙 㚚 㚛 㚜 㚝 㚞 㚟 㚠 㚡 㚢 㚣 㚤 㚥 㚦 㚧 㚨 㚩 㚪 㚫 㚬 㚭 㚮 㚯 㚰 㚱 㚲 㚳 㚴 㚵 㚶 㚷 㚸 㚹 㚺 㚻 㚼 㚽 㚾 㚿 㛀 㛁 㛂 㛃 㛄 㛅 㛆 㛇 㛈 㛉 㛊 㛋 㛌 㛍 㛎 㛏 㛐 㛑 㛒 㛓 㛔 㛕 㛖 㛗 㛘 㛙 㛚 㛛 㛜 㛝 㛞 㛟 㛠 㛡 㛢 㛣 㛤 㛥 㛦 㛧 㛨 㛩 㛪 㛫 㛬 㛭 㛮 㛯 㛰 㛱 㛲 㛳 㛴 㛵 㛶 㛷 㛸 㛹</t>
        </is>
      </c>
      <c r="R125" s="43" t="inlineStr">
        <is>
          <t>㗼 㗽 㘀 㘁 㘂 㘃 㘄 㘅 㘇 㘈 㘍 㘏 㘑 㘒 㘕 㘗 㘘 㘙 㘛 㘜 㘝 㘞 㘟 㘠 㘡 㘢 㘣 㘤 㘥 㘦 㘧 㘪 㘫 㘬 㘭 㘮 㘯 㘰 㘱 㘲 㘳 㘴 㘵 㘶 㘷 㘸 㘹 㘺 㘼 㘽 㘾 㘿 㙀 㙁 㙂 㙃 㙄 㙅 㙆 㙇 㙈 㙉 㙊 㙋 㙌 㙍 㙎 㙏 㙐 㙑 㙒 㙓 㙔 㙖 㙗 㙘 㙙 㙚 㙛 㙜 㙞 㙠 㙡 㙣 㙤 㙥 㙦 㙨 㙩 㙫 㙬 㙭 㙮 㙯 㙰 㙱 㙲 㙳 㙴 㙵 㙶 㙷 㙸 㙹 㙺 㙻 㙼 㙽 㙾 㙿 㚀 㚂 㚃 㚄 㚅 㚆 㚇 㚉 㚊 㚋 㚌 㚍 㚎 㚏 㚐 㚑 㚒 㚓 㚔 㚕 㚖 㚗 㚘 㚙 㚚 㚛 㚜 㚝 㚞 㚟 㚠 㚢 㚣 㚤 㚥 㚦 㚧 㚨 㚪 㚫 㚬 㚭 㚯 㚰 㚴 㚵 㚺 㚻 㚽 㚾 㚿 㛀 㛁 㛂 㛃 㛄 㛅 㛆 㛇 㛈 㛉 㛊 㛋 㛌 㛍 㛏 㛐 㛑 㛓 㛔 㛖 㛗 㛘 㛙 㛛 㛜 㛝 㛞 㛟 㛡 㛢 㛣 㛥 㛦 㛧 㛨 㛩 㛪 㛫 㛭 㛮 㛯 㛱 㛲 㛳 㛵 㛶 㛷 㛸 㛹</t>
        </is>
      </c>
      <c r="S125" s="40" t="n"/>
      <c r="V125" s="14">
        <f>(LEN(O125)+1)/2</f>
        <v/>
      </c>
      <c r="W125" s="14">
        <f>ROUNDDOWN((LEN(P125)+1)/2,0)</f>
        <v/>
      </c>
      <c r="X125" s="14">
        <f>ROUNDDOWN((LEN(Q125)+1)/2,0)</f>
        <v/>
      </c>
      <c r="Y125" s="14">
        <f>ROUNDDOWN((LEN(R125)+1)/2,0)</f>
        <v/>
      </c>
      <c r="Z125" s="14">
        <f>ROUNDDOWN((LEN(S125)+1)/2,0)</f>
        <v/>
      </c>
      <c r="AA125" s="56" t="n">
        <v>46150.55827667537</v>
      </c>
    </row>
    <row r="126" ht="102" customHeight="1">
      <c r="B126" s="46" t="inlineStr">
        <is>
          <t>U+36FA-U+37F7</t>
        </is>
      </c>
      <c r="C126" s="46" t="inlineStr">
        <is>
          <t>CJK Unified Ideographs Extension A</t>
        </is>
      </c>
      <c r="D126" s="54">
        <f>HEX2DEC(MID(B126,3,FIND("-",E126)-3))</f>
        <v/>
      </c>
      <c r="E126" s="46" t="inlineStr">
        <is>
          <t>U+3400-U+4DBF</t>
        </is>
      </c>
      <c r="F126" s="12" t="n">
        <v>3</v>
      </c>
      <c r="J126" s="19">
        <f>ROUNDDOWN(W126,0)/$V126</f>
        <v/>
      </c>
      <c r="K126" s="19">
        <f>ROUNDDOWN(X126,0)/$V126</f>
        <v/>
      </c>
      <c r="L126" s="19">
        <f>ROUNDDOWN(Y126,0)/$V126</f>
        <v/>
      </c>
      <c r="M126" s="19">
        <f>ROUNDDOWN(Z126,0)/$V126</f>
        <v/>
      </c>
      <c r="O126" s="36" t="inlineStr">
        <is>
          <t>㛺 㛻 㛼 㛽 㛾 㛿 㜀 㜁 㜂 㜃 㜄 㜅 㜆 㜇 㜈 㜉 㜊 㜋 㜌 㜍 㜎 㜏 㜐 㜑 㜒 㜓 㜔 㜕 㜖 㜗 㜘 㜙 㜚 㜛 㜜 㜝 㜞 㜟 㜠 㜡 㜢 㜣 㜤 㜥 㜦 㜧 㜨 㜩 㜪 㜫 㜬 㜭 㜮 㜯 㜰 㜱 㜲 㜳 㜴 㜵 㜶 㜷 㜸 㜹 㜺 㜻 㜼 㜽 㜾 㜿 㝀 㝁 㝂 㝃 㝄 㝅 㝆 㝇 㝈 㝉 㝊 㝋 㝌 㝍 㝎 㝏 㝐 㝑 㝒 㝓 㝔 㝕 㝖 㝗 㝘 㝙 㝚 㝛 㝜 㝝 㝞 㝟 㝠 㝡 㝢 㝣 㝤 㝥 㝦 㝧 㝨 㝩 㝪 㝫 㝬 㝭 㝮 㝯 㝰 㝱 㝲 㝳 㝴 㝵 㝶 㝷 㝸 㝹 㝺 㝻 㝼 㝽 㝾 㝿 㞀 㞁 㞂 㞃 㞄 㞅 㞆 㞇 㞈 㞉 㞊 㞋 㞌 㞍 㞎 㞏 㞐 㞑 㞒 㞓 㞔 㞕 㞖 㞗 㞘 㞙 㞚 㞛 㞜 㞝 㞞 㞟 㞠 㞡 㞢 㞣 㞤 㞥 㞦 㞧 㞨 㞩 㞪 㞫 㞬 㞭 㞮 㞯 㞰 㞱 㞲 㞳 㞴 㞵 㞶 㞷 㞸 㞹 㞺 㞻 㞼 㞽 㞾 㞿 㟀 㟁 㟂 㟃 㟄 㟅 㟆 㟇 㟈 㟉 㟊 㟋 㟌 㟍 㟎 㟏 㟐 㟑 㟒 㟓 㟔 㟕 㟖 㟗 㟘 㟙 㟚 㟛 㟜 㟝 㟞 㟟 㟠 㟡 㟢 㟣 㟤 㟥 㟦 㟧 㟨 㟩 㟪 㟫 㟬 㟭 㟮 㟯 㟰 㟱 㟲 㟳 㟴 㟵 㟶 㟷</t>
        </is>
      </c>
      <c r="P126" s="37" t="inlineStr">
        <is>
          <t>㛺 㛻 㛼 㛽 㛾 㛿 㜀 㜁 㜂 㜃 㜄 㜅 㜆 㜇 㜈 㜉 㜊 㜋 㜌 㜍 㜎 㜏 㜐 㜑 㜒 㜓 㜔 㜕 㜖 㜗 㜘 㜙 㜚 㜛 㜜 㜝 㜞 㜟 㜠 㜡 㜢 㜣 㜤 㜥 㜦 㜧 㜨 㜩 㜪 㜫 㜬 㜭 㜮 㜯 㜰 㜱 㜲 㜳 㜴 㜵 㜶 㜷 㜸 㜹 㜺 㜻 㜼 㜽 㜾 㜿 㝀 㝁 㝂 㝃 㝄 㝅 㝆 㝇 㝈 㝉 㝊 㝋 㝌 㝍 㝎 㝏 㝐 㝑 㝒 㝓 㝔 㝕 㝖 㝗 㝘 㝙 㝚 㝛 㝜 㝝 㝞 㝟 㝠 㝡 㝢 㝣 㝤 㝥 㝦 㝧 㝨 㝩 㝪 㝫 㝬 㝭 㝮 㝯 㝰 㝱 㝲 㝳 㝴 㝵 㝶 㝷 㝸 㝹 㝺 㝻 㝼 㝽 㝾 㝿 㞀 㞁 㞂 㞃 㞄 㞅 㞆 㞇 㞈 㞉 㞊 㞋 㞌 㞍 㞎 㞏 㞐 㞑 㞒 㞓 㞔 㞕 㞖 㞗 㞘 㞙 㞚 㞛 㞜 㞝 㞞 㞟 㞠 㞡 㞢 㞣 㞤 㞥 㞦 㞧 㞨 㞩 㞪 㞫 㞬 㞭 㞮 㞯 㞰 㞱 㞲 㞳 㞴 㞵 㞶 㞷 㞸 㞹 㞺 㞻 㞼 㞽 㞾 㞿 㟀 㟁 㟂 㟃 㟄 㟅 㟆 㟇 㟈 㟉 㟊 㟋 㟌 㟍 㟎 㟏 㟐 㟑 㟒 㟓 㟔 㟕 㟖 㟗 㟘 㟙 㟚 㟛 㟜 㟝 㟞 㟟 㟠 㟡 㟢 㟣 㟤 㟥 㟦 㟧 㟨 㟩 㟪 㟫 㟬 㟭 㟮 㟯 㟰 㟱 㟲 㟳 㟴 㟵 㟶 㟷</t>
        </is>
      </c>
      <c r="Q126" s="38" t="inlineStr">
        <is>
          <t>㛺 㛻 㛼 㛽 㛾 㛿 㜀 㜁 㜂 㜃 㜄 㜅 㜆 㜇 㜈 㜉 㜊 㜋 㜌 㜍 㜎 㜏 㜐 㜑 㜒 㜓 㜔 㜕 㜖 㜗 㜘 㜙 㜚 㜛 㜜 㜝 㜞 㜟 㜠 㜡 㜢 㜣 㜤 㜥 㜦 㜧 㜨 㜩 㜪 㜫 㜬 㜭 㜮 㜯 㜰 㜱 㜲 㜳 㜴 㜵 㜶 㜷 㜸 㜹 㜺 㜻 㜼 㜽 㜾 㜿 㝀 㝁 㝂 㝃 㝄 㝅 㝆 㝇 㝈 㝉 㝊 㝋 㝌 㝍 㝎 㝏 㝐 㝑 㝒 㝓 㝔 㝕 㝖 㝗 㝘 㝙 㝚 㝛 㝜 㝝 㝞 㝟 㝠 㝡 㝢 㝣 㝤 㝥 㝦 㝧 㝨 㝩 㝪 㝫 㝬 㝭 㝮 㝯 㝰 㝱 㝲 㝳 㝴 㝵 㝶 㝷 㝸 㝹 㝺 㝻 㝼 㝽 㝾 㝿 㞀 㞁 㞂 㞃 㞄 㞅 㞆 㞇 㞈 㞉 㞊 㞋 㞌 㞍 㞎 㞏 㞐 㞑 㞒 㞓 㞔 㞕 㞖 㞗 㞘 㞙 㞚 㞛 㞜 㞝 㞞 㞟 㞠 㞡 㞢 㞣 㞤 㞥 㞦 㞧 㞨 㞩 㞪 㞫 㞬 㞭 㞮 㞯 㞰 㞱 㞲 㞳 㞴 㞵 㞶 㞷 㞸 㞹 㞺 㞻 㞼 㞽 㞾 㞿 㟀 㟁 㟂 㟃 㟄 㟅 㟆 㟇 㟈 㟉 㟊 㟋 㟌 㟍 㟎 㟏 㟐 㟑 㟒 㟓 㟔 㟕 㟖 㟗 㟘 㟙 㟚 㟛 㟜 㟝 㟞 㟟 㟠 㟡 㟢 㟣 㟤 㟥 㟦 㟧 㟨 㟩 㟪 㟫 㟬 㟭 㟮 㟯 㟰 㟱 㟲 㟳 㟴 㟵 㟶 㟷</t>
        </is>
      </c>
      <c r="R126" s="43" t="inlineStr">
        <is>
          <t>㛺 㛼 㛾 㜀 㜁 㜂 㜃 㜄 㜅 㜆 㜇 㜈 㜊 㜋 㜌 㜍 㜎 㜐 㜑 㜒 㜓 㜔 㜕 㜖 㜗 㜘 㜙 㜚 㜜 㜞 㜠 㜡 㜢 㜣 㜦 㜧 㜨 㜪 㜫 㜬 㜭 㜮 㜯 㜱 㜲 㜳 㜴 㜵 㜶 㜷 㜸 㜹 㜺 㜻 㜽 㜾 㝀 㝁 㝂 㝃 㝄 㝅 㝆 㝈 㝊 㝋 㝌 㝍 㝎 㝏 㝐 㝑 㝒 㝓 㝔 㝕 㝖 㝗 㝘 㝙 㝚 㝛 㝜 㝝 㝞 㝟 㝠 㝡 㝢 㝣 㝤 㝥 㝦 㝧 㝨 㝩 㝪 㝫 㝬 㝭 㝮 㝯 㝰 㝱 㝲 㝳 㝴 㝵 㝶 㝷 㝸 㝹 㝺 㝻 㝼 㝽 㝾 㝿 㞀 㞁 㞂 㞃 㞄 㞅 㞆 㞇 㞈 㞉 㞊 㞋 㞌 㞍 㞎 㞏 㞐 㞑 㞒 㞓 㞔 㞕 㞖 㞗 㞘 㞙 㞚 㞛 㞜 㞝 㞞 㞟 㞠 㞡 㞢 㞣 㞤 㞥 㞦 㞨 㞪 㞫 㞭 㞮 㞯 㞰 㞵 㞶 㞷 㞹 㞺 㞻 㞼 㞾 㞿 㟀 㟁 㟂 㟅 㟆 㟇 㟈 㟉 㟊 㟋 㟌 㟎 㟏 㟑 㟒 㟓 㟔 㟕 㟖 㟗 㟘 㟙 㟚 㟛 㟜 㟝 㟟 㟡 㟢 㟣 㟤 㟥 㟦 㟧 㟨 㟩 㟪 㟫 㟬 㟮 㟯 㟱 㟲 㟳 㟴 㟵 㟶 㟷</t>
        </is>
      </c>
      <c r="S126" s="40" t="n"/>
      <c r="V126" s="14">
        <f>(LEN(O126)+1)/2</f>
        <v/>
      </c>
      <c r="W126" s="14">
        <f>ROUNDDOWN((LEN(P126)+1)/2,0)</f>
        <v/>
      </c>
      <c r="X126" s="14">
        <f>ROUNDDOWN((LEN(Q126)+1)/2,0)</f>
        <v/>
      </c>
      <c r="Y126" s="14">
        <f>ROUNDDOWN((LEN(R126)+1)/2,0)</f>
        <v/>
      </c>
      <c r="Z126" s="14">
        <f>ROUNDDOWN((LEN(S126)+1)/2,0)</f>
        <v/>
      </c>
      <c r="AA126" s="56" t="n">
        <v>46150.55827940425</v>
      </c>
    </row>
    <row r="127" ht="102" customHeight="1">
      <c r="B127" s="46" t="inlineStr">
        <is>
          <t>U+37F8-U+38F5</t>
        </is>
      </c>
      <c r="C127" s="46" t="inlineStr">
        <is>
          <t>CJK Unified Ideographs Extension A</t>
        </is>
      </c>
      <c r="D127" s="54">
        <f>HEX2DEC(MID(B127,3,FIND("-",E127)-3))</f>
        <v/>
      </c>
      <c r="E127" s="46" t="inlineStr">
        <is>
          <t>U+3400-U+4DBF</t>
        </is>
      </c>
      <c r="F127" s="12" t="n">
        <v>3</v>
      </c>
      <c r="J127" s="19">
        <f>ROUNDDOWN(W127,0)/$V127</f>
        <v/>
      </c>
      <c r="K127" s="19">
        <f>ROUNDDOWN(X127,0)/$V127</f>
        <v/>
      </c>
      <c r="L127" s="19">
        <f>ROUNDDOWN(Y127,0)/$V127</f>
        <v/>
      </c>
      <c r="M127" s="19">
        <f>ROUNDDOWN(Z127,0)/$V127</f>
        <v/>
      </c>
      <c r="O127" s="36" t="inlineStr">
        <is>
          <t>㟸 㟹 㟺 㟻 㟼 㟽 㟾 㟿 㠀 㠁 㠂 㠃 㠄 㠅 㠆 㠇 㠈 㠉 㠊 㠋 㠌 㠍 㠎 㠏 㠐 㠑 㠒 㠓 㠔 㠕 㠖 㠗 㠘 㠙 㠚 㠛 㠜 㠝 㠞 㠟 㠠 㠡 㠢 㠣 㠤 㠥 㠦 㠧 㠨 㠩 㠪 㠫 㠬 㠭 㠮 㠯 㠰 㠱 㠲 㠳 㠴 㠵 㠶 㠷 㠸 㠹 㠺 㠻 㠼 㠽 㠾 㠿 㡀 㡁 㡂 㡃 㡄 㡅 㡆 㡇 㡈 㡉 㡊 㡋 㡌 㡍 㡎 㡏 㡐 㡑 㡒 㡓 㡔 㡕 㡖 㡗 㡘 㡙 㡚 㡛 㡜 㡝 㡞 㡟 㡠 㡡 㡢 㡣 㡤 㡥 㡦 㡧 㡨 㡩 㡪 㡫 㡬 㡭 㡮 㡯 㡰 㡱 㡲 㡳 㡴 㡵 㡶 㡷 㡸 㡹 㡺 㡻 㡼 㡽 㡾 㡿 㢀 㢁 㢂 㢃 㢄 㢅 㢆 㢇 㢈 㢉 㢊 㢋 㢌 㢍 㢎 㢏 㢐 㢑 㢒 㢓 㢔 㢕 㢖 㢗 㢘 㢙 㢚 㢛 㢜 㢝 㢞 㢟 㢠 㢡 㢢 㢣 㢤 㢥 㢦 㢧 㢨 㢩 㢪 㢫 㢬 㢭 㢮 㢯 㢰 㢱 㢲 㢳 㢴 㢵 㢶 㢷 㢸 㢹 㢺 㢻 㢼 㢽 㢾 㢿 㣀 㣁 㣂 㣃 㣄 㣅 㣆 㣇 㣈 㣉 㣊 㣋 㣌 㣍 㣎 㣏 㣐 㣑 㣒 㣓 㣔 㣕 㣖 㣗 㣘 㣙 㣚 㣛 㣜 㣝 㣞 㣟 㣠 㣡 㣢 㣣 㣤 㣥 㣦 㣧 㣨 㣩 㣪 㣫 㣬 㣭 㣮 㣯 㣰 㣱 㣲 㣳 㣴 㣵</t>
        </is>
      </c>
      <c r="P127" s="37" t="inlineStr">
        <is>
          <t>㟸 㟹 㟺 㟻 㟼 㟽 㟾 㟿 㠀 㠁 㠂 㠃 㠄 㠅 㠆 㠇 㠈 㠉 㠊 㠋 㠌 㠍 㠎 㠏 㠐 㠑 㠒 㠓 㠔 㠕 㠖 㠗 㠘 㠙 㠚 㠛 㠜 㠝 㠞 㠟 㠠 㠡 㠢 㠣 㠤 㠥 㠦 㠧 㠨 㠩 㠪 㠫 㠬 㠭 㠮 㠯 㠰 㠱 㠲 㠳 㠴 㠵 㠶 㠷 㠸 㠹 㠺 㠻 㠼 㠽 㠾 㠿 㡀 㡁 㡂 㡃 㡄 㡅 㡆 㡇 㡈 㡉 㡊 㡋 㡌 㡍 㡎 㡏 㡐 㡑 㡒 㡓 㡔 㡕 㡖 㡗 㡘 㡙 㡚 㡛 㡜 㡝 㡞 㡟 㡠 㡡 㡢 㡣 㡤 㡥 㡦 㡧 㡨 㡩 㡪 㡫 㡬 㡭 㡮 㡯 㡰 㡱 㡲 㡳 㡴 㡵 㡶 㡷 㡸 㡹 㡺 㡻 㡼 㡽 㡾 㡿 㢀 㢁 㢂 㢃 㢄 㢅 㢆 㢇 㢈 㢉 㢊 㢋 㢌 㢍 㢎 㢏 㢐 㢑 㢒 㢓 㢔 㢕 㢖 㢗 㢘 㢙 㢚 㢛 㢜 㢝 㢞 㢟 㢠 㢡 㢢 㢣 㢤 㢥 㢦 㢧 㢨 㢩 㢪 㢫 㢬 㢭 㢮 㢯 㢰 㢱 㢲 㢳 㢴 㢵 㢶 㢷 㢸 㢹 㢺 㢻 㢼 㢽 㢾 㢿 㣀 㣁 㣂 㣃 㣄 㣅 㣆 㣇 㣈 㣉 㣊 㣋 㣌 㣍 㣎 㣏 㣐 㣑 㣒 㣓 㣔 㣕 㣖 㣗 㣘 㣙 㣚 㣛 㣜 㣝 㣞 㣟 㣠 㣡 㣢 㣣 㣤 㣥 㣦 㣧 㣨 㣩 㣪 㣫 㣬 㣭 㣮 㣯 㣰 㣱 㣲 㣳 㣴 㣵</t>
        </is>
      </c>
      <c r="Q127" s="38" t="inlineStr">
        <is>
          <t>㟸 㟹 㟺 㟻 㟼 㟽 㟾 㟿 㠀 㠁 㠂 㠃 㠄 㠅 㠆 㠇 㠈 㠉 㠊 㠋 㠌 㠍 㠎 㠏 㠐 㠑 㠒 㠓 㠔 㠕 㠖 㠗 㠘 㠙 㠚 㠛 㠜 㠝 㠞 㠟 㠠 㠡 㠢 㠣 㠤 㠥 㠦 㠧 㠨 㠩 㠪 㠫 㠬 㠭 㠮 㠯 㠰 㠱 㠲 㠳 㠴 㠵 㠶 㠷 㠸 㠹 㠺 㠻 㠼 㠽 㠾 㠿 㡀 㡁 㡂 㡃 㡄 㡅 㡆 㡇 㡈 㡉 㡊 㡋 㡌 㡍 㡎 㡏 㡐 㡑 㡒 㡓 㡔 㡕 㡖 㡗 㡘 㡙 㡚 㡛 㡜 㡝 㡞 㡟 㡠 㡡 㡢 㡣 㡤 㡥 㡦 㡧 㡨 㡩 㡪 㡫 㡬 㡭 㡮 㡯 㡰 㡱 㡲 㡳 㡴 㡵 㡶 㡷 㡸 㡹 㡺 㡻 㡼 㡽 㡾 㡿 㢀 㢁 㢂 㢃 㢄 㢅 㢆 㢇 㢈 㢉 㢊 㢋 㢌 㢍 㢎 㢏 㢐 㢑 㢒 㢓 㢔 㢕 㢖 㢗 㢘 㢙 㢚 㢛 㢜 㢝 㢞 㢟 㢠 㢡 㢢 㢣 㢤 㢥 㢦 㢧 㢨 㢩 㢪 㢫 㢬 㢭 㢮 㢯 㢰 㢱 㢲 㢳 㢴 㢵 㢶 㢷 㢸 㢹 㢺 㢻 㢼 㢽 㢾 㢿 㣀 㣁 㣂 㣃 㣄 㣅 㣆 㣇 㣈 㣉 㣊 㣋 㣌 㣍 㣎 㣏 㣐 㣑 㣒 㣓 㣔 㣕 㣖 㣗 㣘 㣙 㣚 㣛 㣜 㣝 㣞 㣟 㣠 㣡 㣢 㣣 㣤 㣥 㣦 㣧 㣨 㣩 㣪 㣫 㣬 㣭 㣮 㣯 㣰 㣱 㣲 㣳 㣴 㣵</t>
        </is>
      </c>
      <c r="R127" s="43" t="inlineStr">
        <is>
          <t>㟸 㟹 㟺 㟻 㟼 㟽 㟾 㠀 㠁 㠂 㠄 㠅 㠇 㠉 㠊 㠋 㠌 㠍 㠏 㠐 㠑 㠔 㠕 㠖 㠗 㠘 㠚 㠛 㠜 㠝 㠞 㠟 㠠 㠡 㠢 㠣 㠥 㠧 㠨 㠩 㠪 㠫 㠬 㠮 㠯 㠰 㠱 㠳 㠴 㠵 㠶 㠷 㠸 㠹 㠺 㠻 㠼 㠽 㠾 㠿 㡀 㡁 㡂 㡃 㡄 㡆 㡇 㡈 㡊 㡋 㡍 㡎 㡏 㡑 㡒 㡔 㡕 㡖 㡗 㡘 㡚 㡛 㡜 㡝 㡟 㡠 㡡 㡤 㡥 㡨 㡩 㡪 㡫 㡬 㡭 㡮 㡯 㡰 㡱 㡲 㡳 㡴 㡵 㡶 㡷 㡸 㡹 㡺 㡻 㡼 㡽 㡾 㡿 㢀 㢁 㢂 㢃 㢄 㢅 㢆 㢇 㢈 㢉 㢊 㢋 㢌 㢍 㢎 㢏 㢐 㢑 㢒 㢓 㢔 㢕 㢖 㢗 㢘 㢙 㢚 㢛 㢜 㢝 㢞 㢟 㢠 㢡 㢢 㢣 㢤 㢥 㢦 㢧 㢨 㢩 㢬 㢭 㢰 㢱 㢲 㢳 㢴 㢸 㢹 㢿 㣁 㣄 㣅 㣆 㣇 㣉 㣊 㣋 㣌 㣍 㣎 㣏 㣐 㣑 㣒 㣓 㣕 㣖 㣗 㣘 㣛 㣝 㣞 㣡 㣢 㣣 㣤 㣥 㣦 㣩 㣪 㣬 㣭 㣯 㣰 㣲 㣳 㣴 㣵</t>
        </is>
      </c>
      <c r="S127" s="40" t="n"/>
      <c r="V127" s="14">
        <f>(LEN(O127)+1)/2</f>
        <v/>
      </c>
      <c r="W127" s="14">
        <f>ROUNDDOWN((LEN(P127)+1)/2,0)</f>
        <v/>
      </c>
      <c r="X127" s="14">
        <f>ROUNDDOWN((LEN(Q127)+1)/2,0)</f>
        <v/>
      </c>
      <c r="Y127" s="14">
        <f>ROUNDDOWN((LEN(R127)+1)/2,0)</f>
        <v/>
      </c>
      <c r="Z127" s="14">
        <f>ROUNDDOWN((LEN(S127)+1)/2,0)</f>
        <v/>
      </c>
      <c r="AA127" s="56" t="n">
        <v>46150.55828216001</v>
      </c>
    </row>
    <row r="128" ht="102" customHeight="1">
      <c r="B128" s="46" t="inlineStr">
        <is>
          <t>U+38F6-U+39F3</t>
        </is>
      </c>
      <c r="C128" s="46" t="inlineStr">
        <is>
          <t>CJK Unified Ideographs Extension A</t>
        </is>
      </c>
      <c r="D128" s="54">
        <f>HEX2DEC(MID(B128,3,FIND("-",E128)-3))</f>
        <v/>
      </c>
      <c r="E128" s="46" t="inlineStr">
        <is>
          <t>U+3400-U+4DBF</t>
        </is>
      </c>
      <c r="F128" s="12" t="n">
        <v>3</v>
      </c>
      <c r="J128" s="19">
        <f>ROUNDDOWN(W128,0)/$V128</f>
        <v/>
      </c>
      <c r="K128" s="19">
        <f>ROUNDDOWN(X128,0)/$V128</f>
        <v/>
      </c>
      <c r="L128" s="19">
        <f>ROUNDDOWN(Y128,0)/$V128</f>
        <v/>
      </c>
      <c r="M128" s="19">
        <f>ROUNDDOWN(Z128,0)/$V128</f>
        <v/>
      </c>
      <c r="O128" s="36" t="inlineStr">
        <is>
          <t>㣶 㣷 㣸 㣹 㣺 㣻 㣼 㣽 㣾 㣿 㤀 㤁 㤂 㤃 㤄 㤅 㤆 㤇 㤈 㤉 㤊 㤋 㤌 㤍 㤎 㤏 㤐 㤑 㤒 㤓 㤔 㤕 㤖 㤗 㤘 㤙 㤚 㤛 㤜 㤝 㤞 㤟 㤠 㤡 㤢 㤣 㤤 㤥 㤦 㤧 㤨 㤩 㤪 㤫 㤬 㤭 㤮 㤯 㤰 㤱 㤲 㤳 㤴 㤵 㤶 㤷 㤸 㤹 㤺 㤻 㤼 㤽 㤾 㤿 㥀 㥁 㥂 㥃 㥄 㥅 㥆 㥇 㥈 㥉 㥊 㥋 㥌 㥍 㥎 㥏 㥐 㥑 㥒 㥓 㥔 㥕 㥖 㥗 㥘 㥙 㥚 㥛 㥜 㥝 㥞 㥟 㥠 㥡 㥢 㥣 㥤 㥥 㥦 㥧 㥨 㥩 㥪 㥫 㥬 㥭 㥮 㥯 㥰 㥱 㥲 㥳 㥴 㥵 㥶 㥷 㥸 㥹 㥺 㥻 㥼 㥽 㥾 㥿 㦀 㦁 㦂 㦃 㦄 㦅 㦆 㦇 㦈 㦉 㦊 㦋 㦌 㦍 㦎 㦏 㦐 㦑 㦒 㦓 㦔 㦕 㦖 㦗 㦘 㦙 㦚 㦛 㦜 㦝 㦞 㦟 㦠 㦡 㦢 㦣 㦤 㦥 㦦 㦧 㦨 㦩 㦪 㦫 㦬 㦭 㦮 㦯 㦰 㦱 㦲 㦳 㦴 㦵 㦶 㦷 㦸 㦹 㦺 㦻 㦼 㦽 㦾 㦿 㧀 㧁 㧂 㧃 㧄 㧅 㧆 㧇 㧈 㧉 㧊 㧋 㧌 㧍 㧎 㧏 㧐 㧑 㧒 㧓 㧔 㧕 㧖 㧗 㧘 㧙 㧚 㧛 㧜 㧝 㧞 㧟 㧠 㧡 㧢 㧣 㧤 㧥 㧦 㧧 㧨 㧩 㧪 㧫 㧬 㧭 㧮 㧯 㧰 㧱 㧲 㧳</t>
        </is>
      </c>
      <c r="P128" s="37" t="inlineStr">
        <is>
          <t>㣶 㣷 㣸 㣹 㣺 㣻 㣼 㣽 㣾 㣿 㤀 㤁 㤂 㤃 㤄 㤅 㤆 㤇 㤈 㤉 㤊 㤋 㤌 㤍 㤎 㤏 㤐 㤑 㤒 㤓 㤔 㤕 㤖 㤗 㤘 㤙 㤚 㤛 㤜 㤝 㤞 㤟 㤠 㤡 㤢 㤣 㤤 㤥 㤦 㤧 㤨 㤩 㤪 㤫 㤬 㤭 㤮 㤯 㤰 㤱 㤲 㤳 㤴 㤵 㤶 㤷 㤸 㤹 㤺 㤻 㤼 㤽 㤾 㤿 㥀 㥁 㥂 㥃 㥄 㥅 㥆 㥇 㥈 㥉 㥊 㥋 㥌 㥍 㥎 㥏 㥐 㥑 㥒 㥓 㥔 㥕 㥖 㥗 㥘 㥙 㥚 㥛 㥜 㥝 㥞 㥟 㥠 㥡 㥢 㥣 㥤 㥥 㥦 㥧 㥨 㥩 㥪 㥫 㥬 㥭 㥮 㥯 㥰 㥱 㥲 㥳 㥴 㥵 㥶 㥷 㥸 㥹 㥺 㥻 㥼 㥽 㥾 㥿 㦀 㦁 㦂 㦃 㦄 㦅 㦆 㦇 㦈 㦉 㦊 㦋 㦌 㦍 㦎 㦏 㦐 㦑 㦒 㦓 㦔 㦕 㦖 㦗 㦘 㦙 㦚 㦛 㦜 㦝 㦞 㦟 㦠 㦡 㦢 㦣 㦤 㦥 㦦 㦧 㦨 㦩 㦪 㦫 㦬 㦭 㦮 㦯 㦰 㦱 㦲 㦳 㦴 㦵 㦶 㦷 㦸 㦹 㦺 㦻 㦼 㦽 㦾 㦿 㧀 㧁 㧂 㧃 㧄 㧅 㧆 㧇 㧈 㧉 㧊 㧋 㧌 㧍 㧎 㧏 㧐 㧑 㧒 㧓 㧔 㧕 㧖 㧗 㧘 㧙 㧚 㧛 㧜 㧝 㧞 㧟 㧠 㧡 㧢 㧣 㧤 㧥 㧦 㧧 㧨 㧩 㧪 㧫 㧬 㧭 㧮 㧯 㧰 㧱 㧲 㧳</t>
        </is>
      </c>
      <c r="Q128" s="38" t="inlineStr">
        <is>
          <t>㣶 㣷 㣸 㣹 㣺 㣻 㣼 㣽 㣾 㣿 㤀 㤁 㤂 㤃 㤄 㤅 㤆 㤇 㤈 㤉 㤊 㤋 㤌 㤍 㤎 㤏 㤐 㤑 㤒 㤓 㤔 㤕 㤖 㤗 㤘 㤙 㤚 㤛 㤜 㤝 㤞 㤟 㤠 㤡 㤢 㤣 㤤 㤥 㤦 㤧 㤨 㤩 㤪 㤫 㤬 㤭 㤮 㤯 㤰 㤱 㤲 㤳 㤴 㤵 㤶 㤷 㤸 㤹 㤺 㤻 㤼 㤽 㤾 㤿 㥀 㥁 㥂 㥃 㥄 㥅 㥆 㥇 㥈 㥉 㥊 㥋 㥌 㥍 㥎 㥏 㥐 㥑 㥒 㥓 㥔 㥕 㥖 㥗 㥘 㥙 㥚 㥛 㥜 㥝 㥞 㥟 㥠 㥡 㥢 㥣 㥤 㥥 㥦 㥧 㥨 㥩 㥪 㥫 㥬 㥭 㥮 㥯 㥰 㥱 㥲 㥳 㥴 㥵 㥶 㥷 㥸 㥹 㥺 㥻 㥼 㥽 㥾 㥿 㦀 㦁 㦂 㦃 㦄 㦅 㦆 㦇 㦈 㦉 㦊 㦋 㦌 㦍 㦎 㦏 㦐 㦑 㦒 㦓 㦔 㦕 㦖 㦗 㦘 㦙 㦚 㦛 㦜 㦝 㦞 㦟 㦠 㦡 㦢 㦣 㦤 㦥 㦦 㦧 㦨 㦩 㦪 㦫 㦬 㦭 㦮 㦯 㦰 㦱 㦲 㦳 㦴 㦵 㦶 㦷 㦸 㦹 㦺 㦻 㦼 㦽 㦾 㦿 㧀 㧁 㧂 㧃 㧄 㧅 㧆 㧇 㧈 㧉 㧊 㧋 㧌 㧍 㧎 㧏 㧐 㧑 㧒 㧓 㧔 㧕 㧖 㧗 㧘 㧙 㧚 㧛 㧜 㧝 㧞 㧟 㧠 㧡 㧢 㧣 㧤 㧥 㧦 㧧 㧨 㧩 㧪 㧫 㧬 㧭 㧮 㧯 㧰 㧱 㧲 㧳</t>
        </is>
      </c>
      <c r="R128" s="43" t="inlineStr">
        <is>
          <t>㣶 㣷 㣸 㣹 㣻 㣽 㤀 㤁 㤂 㤅 㤍 㤎 㤐 㤗 㤙 㤟 㤠 㤣 㤩 㤪 㤫 㤮 㤰 㤲 㤵 㤻 㥁 㥈 㥋 㥎 㥐 㥑 㥕 㥖 㥣 㥤 㥦 㥨 㥯 㥲 㥶 㥷 㥸 㥹 㥻 㥿 㦁 㦂 㦄 㦌 㦔 㦘 㦛 㦝 㦞 㦟 㦣 㦤 㦮 㦯 㦰 㦱 㦲 㦳 㦴 㦵 㦶 㦸 㦹 㦺 㦻 㦼 㦽 㦾 㦿 㧀 㧁 㧂 㧅 㧉 㧊 㧋 㧌 㧍 㧎 㧐 㧑 㧒 㧓 㧔 㧖 㧘 㧙 㧚 㧛 㧜 㧝 㧞 㧠 㧡 㧢 㧣 㧤 㧥 㧦 㧧 㧨 㧩 㧪 㧫 㧬 㧭 㧯 㧰 㧱 㧲 㧳</t>
        </is>
      </c>
      <c r="S128" s="40" t="n"/>
      <c r="V128" s="14">
        <f>(LEN(O128)+1)/2</f>
        <v/>
      </c>
      <c r="W128" s="14">
        <f>ROUNDDOWN((LEN(P128)+1)/2,0)</f>
        <v/>
      </c>
      <c r="X128" s="14">
        <f>ROUNDDOWN((LEN(Q128)+1)/2,0)</f>
        <v/>
      </c>
      <c r="Y128" s="14">
        <f>ROUNDDOWN((LEN(R128)+1)/2,0)</f>
        <v/>
      </c>
      <c r="Z128" s="14">
        <f>ROUNDDOWN((LEN(S128)+1)/2,0)</f>
        <v/>
      </c>
      <c r="AA128" s="56" t="n">
        <v>46150.55828513605</v>
      </c>
    </row>
    <row r="129" ht="102" customHeight="1">
      <c r="B129" s="46" t="inlineStr">
        <is>
          <t>U+39F4-U+3AF1</t>
        </is>
      </c>
      <c r="C129" s="46" t="inlineStr">
        <is>
          <t>CJK Unified Ideographs Extension A</t>
        </is>
      </c>
      <c r="D129" s="54">
        <f>HEX2DEC(MID(B129,3,FIND("-",E129)-3))</f>
        <v/>
      </c>
      <c r="E129" s="46" t="inlineStr">
        <is>
          <t>U+3400-U+4DBF</t>
        </is>
      </c>
      <c r="F129" s="12" t="n">
        <v>3</v>
      </c>
      <c r="J129" s="19">
        <f>ROUNDDOWN(W129,0)/$V129</f>
        <v/>
      </c>
      <c r="K129" s="19">
        <f>ROUNDDOWN(X129,0)/$V129</f>
        <v/>
      </c>
      <c r="L129" s="19">
        <f>ROUNDDOWN(Y129,0)/$V129</f>
        <v/>
      </c>
      <c r="M129" s="19">
        <f>ROUNDDOWN(Z129,0)/$V129</f>
        <v/>
      </c>
      <c r="O129" s="36" t="inlineStr">
        <is>
          <t>㧴 㧵 㧶 㧷 㧸 㧹 㧺 㧻 㧼 㧽 㧾 㧿 㨀 㨁 㨂 㨃 㨄 㨅 㨆 㨇 㨈 㨉 㨊 㨋 㨌 㨍 㨎 㨏 㨐 㨑 㨒 㨓 㨔 㨕 㨖 㨗 㨘 㨙 㨚 㨛 㨜 㨝 㨞 㨟 㨠 㨡 㨢 㨣 㨤 㨥 㨦 㨧 㨨 㨩 㨪 㨫 㨬 㨭 㨮 㨯 㨰 㨱 㨲 㨳 㨴 㨵 㨶 㨷 㨸 㨹 㨺 㨻 㨼 㨽 㨾 㨿 㩀 㩁 㩂 㩃 㩄 㩅 㩆 㩇 㩈 㩉 㩊 㩋 㩌 㩍 㩎 㩏 㩐 㩑 㩒 㩓 㩔 㩕 㩖 㩗 㩘 㩙 㩚 㩛 㩜 㩝 㩞 㩟 㩠 㩡 㩢 㩣 㩤 㩥 㩦 㩧 㩨 㩩 㩪 㩫 㩬 㩭 㩮 㩯 㩰 㩱 㩲 㩳 㩴 㩵 㩶 㩷 㩸 㩹 㩺 㩻 㩼 㩽 㩾 㩿 㪀 㪁 㪂 㪃 㪄 㪅 㪆 㪇 㪈 㪉 㪊 㪋 㪌 㪍 㪎 㪏 㪐 㪑 㪒 㪓 㪔 㪕 㪖 㪗 㪘 㪙 㪚 㪛 㪜 㪝 㪞 㪟 㪠 㪡 㪢 㪣 㪤 㪥 㪦 㪧 㪨 㪩 㪪 㪫 㪬 㪭 㪮 㪯 㪰 㪱 㪲 㪳 㪴 㪵 㪶 㪷 㪸 㪹 㪺 㪻 㪼 㪽 㪾 㪿 㫀 㫁 㫂 㫃 㫄 㫅 㫆 㫇 㫈 㫉 㫊 㫋 㫌 㫍 㫎 㫏 㫐 㫑 㫒 㫓 㫔 㫕 㫖 㫗 㫘 㫙 㫚 㫛 㫜 㫝 㫞 㫟 㫠 㫡 㫢 㫣 㫤 㫥 㫦 㫧 㫨 㫩 㫪 㫫 㫬 㫭 㫮 㫯 㫰 㫱</t>
        </is>
      </c>
      <c r="P129" s="37" t="inlineStr">
        <is>
          <t>㧴 㧵 㧶 㧷 㧸 㧹 㧺 㧻 㧼 㧽 㧾 㧿 㨀 㨁 㨂 㨃 㨄 㨅 㨆 㨇 㨈 㨉 㨊 㨋 㨌 㨍 㨎 㨏 㨐 㨑 㨒 㨓 㨔 㨕 㨖 㨗 㨘 㨙 㨚 㨛 㨜 㨝 㨞 㨟 㨠 㨡 㨢 㨣 㨤 㨥 㨦 㨧 㨨 㨩 㨪 㨫 㨬 㨭 㨮 㨯 㨰 㨱 㨲 㨳 㨴 㨵 㨶 㨷 㨸 㨹 㨺 㨻 㨼 㨽 㨾 㨿 㩀 㩁 㩂 㩃 㩄 㩅 㩆 㩇 㩈 㩉 㩊 㩋 㩌 㩍 㩎 㩏 㩐 㩑 㩒 㩓 㩔 㩕 㩖 㩗 㩘 㩙 㩚 㩛 㩜 㩝 㩞 㩟 㩠 㩡 㩢 㩣 㩤 㩥 㩦 㩧 㩨 㩩 㩪 㩫 㩬 㩭 㩮 㩯 㩰 㩱 㩲 㩳 㩴 㩵 㩶 㩷 㩸 㩹 㩺 㩻 㩼 㩽 㩾 㩿 㪀 㪁 㪂 㪃 㪄 㪅 㪆 㪇 㪈 㪉 㪊 㪋 㪌 㪍 㪎 㪏 㪐 㪑 㪒 㪓 㪔 㪕 㪖 㪗 㪘 㪙 㪚 㪛 㪜 㪝 㪞 㪟 㪠 㪡 㪢 㪣 㪤 㪥 㪦 㪧 㪨 㪩 㪪 㪫 㪬 㪭 㪮 㪯 㪰 㪱 㪲 㪳 㪴 㪵 㪶 㪷 㪸 㪹 㪺 㪻 㪼 㪽 㪾 㪿 㫀 㫁 㫂 㫃 㫄 㫅 㫆 㫇 㫈 㫉 㫊 㫋 㫌 㫍 㫎 㫏 㫐 㫑 㫒 㫓 㫔 㫕 㫖 㫗 㫘 㫙 㫚 㫛 㫜 㫝 㫞 㫟 㫠 㫡 㫢 㫣 㫤 㫥 㫦 㫧 㫨 㫩 㫪 㫫 㫬 㫭 㫮 㫯 㫰 㫱</t>
        </is>
      </c>
      <c r="Q129" s="38" t="inlineStr">
        <is>
          <t>㧴 㧵 㧶 㧷 㧸 㧹 㧺 㧻 㧼 㧽 㧾 㧿 㨀 㨁 㨂 㨃 㨄 㨅 㨆 㨇 㨈 㨉 㨊 㨋 㨌 㨍 㨎 㨏 㨐 㨑 㨒 㨓 㨔 㨕 㨖 㨗 㨘 㨙 㨚 㨛 㨜 㨝 㨞 㨟 㨠 㨡 㨢 㨣 㨤 㨥 㨦 㨧 㨨 㨩 㨪 㨫 㨬 㨭 㨮 㨯 㨰 㨱 㨲 㨳 㨴 㨵 㨶 㨷 㨸 㨹 㨺 㨻 㨼 㨽 㨾 㨿 㩀 㩁 㩂 㩃 㩄 㩅 㩆 㩇 㩈 㩉 㩊 㩋 㩌 㩍 㩎 㩏 㩐 㩑 㩒 㩓 㩔 㩕 㩖 㩗 㩘 㩙 㩚 㩛 㩜 㩝 㩞 㩟 㩠 㩡 㩢 㩣 㩤 㩥 㩦 㩧 㩨 㩩 㩪 㩫 㩬 㩭 㩮 㩯 㩰 㩱 㩲 㩳 㩴 㩵 㩶 㩷 㩸 㩹 㩺 㩻 㩼 㩽 㩾 㩿 㪀 㪁 㪂 㪃 㪄 㪅 㪆 㪇 㪈 㪉 㪊 㪋 㪌 㪍 㪎 㪏 㪐 㪑 㪒 㪓 㪔 㪕 㪖 㪗 㪘 㪙 㪚 㪛 㪜 㪝 㪞 㪟 㪠 㪡 㪢 㪣 㪤 㪥 㪦 㪧 㪨 㪩 㪪 㪫 㪬 㪭 㪮 㪯 㪰 㪱 㪲 㪳 㪴 㪵 㪶 㪷 㪸 㪹 㪺 㪻 㪼 㪽 㪾 㪿 㫀 㫁 㫂 㫃 㫄 㫅 㫆 㫇 㫈 㫉 㫊 㫋 㫌 㫍 㫎 㫏 㫐 㫑 㫒 㫓 㫔 㫕 㫖 㫗 㫘 㫙 㫚 㫛 㫜 㫝 㫞 㫟 㫠 㫡 㫢 㫣 㫤 㫥 㫦 㫧 㫨 㫩 㫪 㫫 㫬 㫭 㫮 㫯 㫰 㫱</t>
        </is>
      </c>
      <c r="R129" s="43" t="inlineStr">
        <is>
          <t>㧴 㧵 㧶 㧷 㧸 㧹 㧺 㧻 㧼 㧾 㧿 㨀 㨁 㨂 㨃 㨄 㨅 㨆 㨇 㨈 㨉 㨊 㨋 㨌 㨍 㨎 㨏 㨐 㨑 㨒 㨓 㨔 㨕 㨖 㨗 㨘 㨙 㨚 㨜 㨝 㨞 㨟 㨠 㨡 㨣 㨤 㨦 㨧 㨨 㨩 㨪 㨫 㨬 㨭 㨰 㨱 㨲 㨳 㨴 㨵 㨶 㨷 㨸 㨹 㨺 㨻 㨼 㨾 㨿 㩀 㩁 㩂 㩃 㩄 㩅 㩆 㩇 㩈 㩉 㩊 㩋 㩌 㩍 㩏 㩐 㩑 㩒 㩓 㩔 㩕 㩖 㩗 㩘 㩙 㩜 㩝 㩞 㩟 㩠 㩡 㩢 㩣 㩤 㩥 㩦 㩧 㩨 㩩 㩫 㩬 㩭 㩮 㩯 㩰 㩱 㩲 㩳 㩴 㩵 㩶 㩷 㩸 㩹 㩻 㩼 㩽 㩾 㩿 㪀 㪂 㪃 㪄 㪅 㪆 㪇 㪈 㪉 㪊 㪋 㪍 㪎 㪏 㪐 㪑 㪒 㪓 㪔 㪕 㪖 㪗 㪘 㪙 㪚 㪛 㪝 㪞 㪟 㪠 㪡 㪢 㪣 㪤 㪥 㪦 㪧 㪨 㪩 㪪 㪫 㪬 㪭 㪮 㪯 㪰 㪱 㪲 㪳 㪴 㪵 㪶 㪷 㪸 㪹 㪺 㪻 㪼 㪽 㪾 㪿 㫀 㫁 㫂 㫃 㫄 㫅 㫆 㫇 㫈 㫉 㫊 㫋 㫌 㫍 㫎 㫏 㫐 㫑 㫒 㫓 㫔 㫕 㫗 㫘 㫙 㫚 㫛 㫜 㫞 㫟 㫠 㫡 㫣 㫤 㫥 㫦 㫧 㫨 㫩 㫪 㫫 㫬 㫭 㫮 㫯 㫱</t>
        </is>
      </c>
      <c r="S129" s="40" t="n"/>
      <c r="V129" s="14">
        <f>(LEN(O129)+1)/2</f>
        <v/>
      </c>
      <c r="W129" s="14">
        <f>ROUNDDOWN((LEN(P129)+1)/2,0)</f>
        <v/>
      </c>
      <c r="X129" s="14">
        <f>ROUNDDOWN((LEN(Q129)+1)/2,0)</f>
        <v/>
      </c>
      <c r="Y129" s="14">
        <f>ROUNDDOWN((LEN(R129)+1)/2,0)</f>
        <v/>
      </c>
      <c r="Z129" s="14">
        <f>ROUNDDOWN((LEN(S129)+1)/2,0)</f>
        <v/>
      </c>
      <c r="AA129" s="56" t="n">
        <v>46150.55828810566</v>
      </c>
    </row>
    <row r="130" ht="102" customHeight="1">
      <c r="B130" s="46" t="inlineStr">
        <is>
          <t>U+3AF2-U+3BEF</t>
        </is>
      </c>
      <c r="C130" s="46" t="inlineStr">
        <is>
          <t>CJK Unified Ideographs Extension A</t>
        </is>
      </c>
      <c r="D130" s="54">
        <f>HEX2DEC(MID(B130,3,FIND("-",E130)-3))</f>
        <v/>
      </c>
      <c r="E130" s="46" t="inlineStr">
        <is>
          <t>U+3400-U+4DBF</t>
        </is>
      </c>
      <c r="F130" s="12" t="n">
        <v>3</v>
      </c>
      <c r="J130" s="19">
        <f>ROUNDDOWN(W130,0)/$V130</f>
        <v/>
      </c>
      <c r="K130" s="19">
        <f>ROUNDDOWN(X130,0)/$V130</f>
        <v/>
      </c>
      <c r="L130" s="19">
        <f>ROUNDDOWN(Y130,0)/$V130</f>
        <v/>
      </c>
      <c r="M130" s="19">
        <f>ROUNDDOWN(Z130,0)/$V130</f>
        <v/>
      </c>
      <c r="O130" s="36" t="inlineStr">
        <is>
          <t>㫲 㫳 㫴 㫵 㫶 㫷 㫸 㫹 㫺 㫻 㫼 㫽 㫾 㫿 㬀 㬁 㬂 㬃 㬄 㬅 㬆 㬇 㬈 㬉 㬊 㬋 㬌 㬍 㬎 㬏 㬐 㬑 㬒 㬓 㬔 㬕 㬖 㬗 㬘 㬙 㬚 㬛 㬜 㬝 㬞 㬟 㬠 㬡 㬢 㬣 㬤 㬥 㬦 㬧 㬨 㬩 㬪 㬫 㬬 㬭 㬮 㬯 㬰 㬱 㬲 㬳 㬴 㬵 㬶 㬷 㬸 㬹 㬺 㬻 㬼 㬽 㬾 㬿 㭀 㭁 㭂 㭃 㭄 㭅 㭆 㭇 㭈 㭉 㭊 㭋 㭌 㭍 㭎 㭏 㭐 㭑 㭒 㭓 㭔 㭕 㭖 㭗 㭘 㭙 㭚 㭛 㭜 㭝 㭞 㭟 㭠 㭡 㭢 㭣 㭤 㭥 㭦 㭧 㭨 㭩 㭪 㭫 㭬 㭭 㭮 㭯 㭰 㭱 㭲 㭳 㭴 㭵 㭶 㭷 㭸 㭹 㭺 㭻 㭼 㭽 㭾 㭿 㮀 㮁 㮂 㮃 㮄 㮅 㮆 㮇 㮈 㮉 㮊 㮋 㮌 㮍 㮎 㮏 㮐 㮑 㮒 㮓 㮔 㮕 㮖 㮗 㮘 㮙 㮚 㮛 㮜 㮝 㮞 㮟 㮠 㮡 㮢 㮣 㮤 㮥 㮦 㮧 㮨 㮩 㮪 㮫 㮬 㮭 㮮 㮯 㮰 㮱 㮲 㮳 㮴 㮵 㮶 㮷 㮸 㮹 㮺 㮻 㮼 㮽 㮾 㮿 㯀 㯁 㯂 㯃 㯄 㯅 㯆 㯇 㯈 㯉 㯊 㯋 㯌 㯍 㯎 㯏 㯐 㯑 㯒 㯓 㯔 㯕 㯖 㯗 㯘 㯙 㯚 㯛 㯜 㯝 㯞 㯟 㯠 㯡 㯢 㯣 㯤 㯥 㯦 㯧 㯨 㯩 㯪 㯫 㯬 㯭 㯮 㯯</t>
        </is>
      </c>
      <c r="P130" s="37" t="inlineStr">
        <is>
          <t>㫲 㫳 㫴 㫵 㫶 㫷 㫸 㫹 㫺 㫻 㫼 㫽 㫾 㫿 㬀 㬁 㬂 㬃 㬄 㬅 㬆 㬇 㬈 㬉 㬊 㬋 㬌 㬍 㬎 㬏 㬐 㬑 㬒 㬓 㬔 㬕 㬖 㬗 㬘 㬙 㬚 㬛 㬜 㬝 㬞 㬟 㬠 㬡 㬢 㬣 㬤 㬥 㬦 㬧 㬨 㬩 㬪 㬫 㬬 㬭 㬮 㬯 㬰 㬱 㬲 㬳 㬴 㬵 㬶 㬷 㬸 㬹 㬺 㬻 㬼 㬽 㬾 㬿 㭀 㭁 㭂 㭃 㭄 㭅 㭆 㭇 㭈 㭉 㭊 㭋 㭌 㭍 㭎 㭏 㭐 㭑 㭒 㭓 㭔 㭕 㭖 㭗 㭘 㭙 㭚 㭛 㭜 㭝 㭞 㭟 㭠 㭡 㭢 㭣 㭤 㭥 㭦 㭧 㭨 㭩 㭪 㭫 㭬 㭭 㭮 㭯 㭰 㭱 㭲 㭳 㭴 㭵 㭶 㭷 㭸 㭹 㭺 㭻 㭼 㭽 㭾 㭿 㮀 㮁 㮂 㮃 㮄 㮅 㮆 㮇 㮈 㮉 㮊 㮋 㮌 㮍 㮎 㮏 㮐 㮑 㮒 㮓 㮔 㮕 㮖 㮗 㮘 㮙 㮚 㮛 㮜 㮝 㮞 㮟 㮠 㮡 㮢 㮣 㮤 㮥 㮦 㮧 㮨 㮩 㮪 㮫 㮬 㮭 㮮 㮯 㮰 㮱 㮲 㮳 㮴 㮵 㮶 㮷 㮸 㮹 㮺 㮻 㮼 㮽 㮾 㮿 㯀 㯁 㯂 㯃 㯄 㯅 㯆 㯇 㯈 㯉 㯊 㯋 㯌 㯍 㯎 㯏 㯐 㯑 㯒 㯓 㯔 㯕 㯖 㯗 㯘 㯙 㯚 㯛 㯜 㯝 㯞 㯟 㯠 㯡 㯢 㯣 㯤 㯥 㯦 㯧 㯨 㯩 㯪 㯫 㯬 㯭 㯮 㯯</t>
        </is>
      </c>
      <c r="Q130" s="38" t="inlineStr">
        <is>
          <t>㫲 㫳 㫴 㫵 㫶 㫷 㫸 㫹 㫺 㫻 㫼 㫽 㫾 㫿 㬀 㬁 㬂 㬃 㬄 㬅 㬆 㬇 㬈 㬉 㬊 㬋 㬌 㬍 㬎 㬏 㬐 㬑 㬒 㬓 㬔 㬕 㬖 㬗 㬘 㬙 㬚 㬛 㬜 㬝 㬞 㬟 㬠 㬡 㬢 㬣 㬤 㬥 㬦 㬧 㬨 㬩 㬪 㬫 㬬 㬭 㬮 㬯 㬰 㬱 㬲 㬳 㬴 㬵 㬶 㬷 㬸 㬹 㬺 㬻 㬼 㬽 㬾 㬿 㭀 㭁 㭂 㭃 㭄 㭅 㭆 㭇 㭈 㭉 㭊 㭋 㭌 㭍 㭎 㭏 㭐 㭑 㭒 㭓 㭔 㭕 㭖 㭗 㭘 㭙 㭚 㭛 㭜 㭝 㭞 㭟 㭠 㭡 㭢 㭣 㭤 㭥 㭦 㭧 㭨 㭩 㭪 㭫 㭬 㭭 㭮 㭯 㭰 㭱 㭲 㭳 㭴 㭵 㭶 㭷 㭸 㭹 㭺 㭻 㭼 㭽 㭾 㭿 㮀 㮁 㮂 㮃 㮄 㮅 㮆 㮇 㮈 㮉 㮊 㮋 㮌 㮍 㮎 㮏 㮐 㮑 㮒 㮓 㮔 㮕 㮖 㮗 㮘 㮙 㮚 㮛 㮜 㮝 㮞 㮟 㮠 㮡 㮢 㮣 㮤 㮥 㮦 㮧 㮨 㮩 㮪 㮫 㮬 㮭 㮮 㮯 㮰 㮱 㮲 㮳 㮴 㮵 㮶 㮷 㮸 㮹 㮺 㮻 㮼 㮽 㮾 㮿 㯀 㯁 㯂 㯃 㯄 㯅 㯆 㯇 㯈 㯉 㯊 㯋 㯌 㯍 㯎 㯏 㯐 㯑 㯒 㯓 㯔 㯕 㯖 㯗 㯘 㯙 㯚 㯛 㯜 㯝 㯞 㯟 㯠 㯡 㯢 㯣 㯤 㯥 㯦 㯧 㯨 㯩 㯪 㯫 㯬 㯭 㯮 㯯</t>
        </is>
      </c>
      <c r="R130" s="43" t="inlineStr">
        <is>
          <t>㫲 㫳 㫴 㫷 㫸 㫹 㫺 㫻 㫼 㫿 㬁 㬃 㬄 㬅 㬇 㬈 㬊 㬋 㬌 㬎 㬐 㬕 㬖 㬗 㬘 㬙 㬚 㬜 㬞 㬠 㬣 㬤 㬥 㬧 㬨 㬩 㬪 㬫 㬬 㬮 㬯 㬰 㬱 㬲 㬳 㬵 㬸 㬹 㬺 㬼 㬾 㭀 㭁 㭃 㭄 㭅 㭆 㭇 㭈 㭉 㭊 㭋 㭌 㭍 㭎 㭐 㭑 㭓 㭔 㭕 㭖 㭗 㭘 㭙 㭚 㭛 㭜 㭝 㭞 㭟 㭠 㭣 㭤 㭥 㭦 㭧 㭪 㭫 㭬 㭮 㭯 㭰 㭲 㭳 㭴 㭵 㭶 㭷 㭸 㭹 㭺 㭻 㭼 㭽 㭾 㭿 㮀 㮁 㮂 㮃 㮄 㮅 㮆 㮇 㮈 㮉 㮊 㮋 㮌 㮍 㮎 㮏 㮐 㮑 㮒 㮓 㮔 㮕 㮖 㮗 㮘 㮙 㮚 㮛 㮜 㮝 㮞 㮟 㮠 㮡 㮢 㮣 㮤 㮥 㮦 㮧 㮨 㮩 㮪 㮫 㮬 㮭 㮮 㮯 㮱 㮲 㮳 㮴 㮵 㮶 㮷 㮸 㮹 㮺 㮻 㮼 㮽 㮾 㮿 㯀 㯁 㯂 㯃 㯄 㯅 㯆 㯇 㯈 㯉 㯊 㯋 㯌 㯍 㯎 㯏 㯐 㯑 㯒 㯓 㯔 㯕 㯖 㯗 㯘 㯙 㯚 㯛 㯜 㯝 㯟 㯠 㯡 㯢 㯣 㯦 㯧 㯨 㯩 㯪 㯫 㯬 㯭 㯮 㯯</t>
        </is>
      </c>
      <c r="S130" s="40" t="n"/>
      <c r="V130" s="14">
        <f>(LEN(O130)+1)/2</f>
        <v/>
      </c>
      <c r="W130" s="14">
        <f>ROUNDDOWN((LEN(P130)+1)/2,0)</f>
        <v/>
      </c>
      <c r="X130" s="14">
        <f>ROUNDDOWN((LEN(Q130)+1)/2,0)</f>
        <v/>
      </c>
      <c r="Y130" s="14">
        <f>ROUNDDOWN((LEN(R130)+1)/2,0)</f>
        <v/>
      </c>
      <c r="Z130" s="14">
        <f>ROUNDDOWN((LEN(S130)+1)/2,0)</f>
        <v/>
      </c>
      <c r="AA130" s="56" t="n">
        <v>46150.55829112597</v>
      </c>
    </row>
    <row r="131" ht="102" customHeight="1">
      <c r="B131" s="46" t="inlineStr">
        <is>
          <t>U+3BF0-U+3CED</t>
        </is>
      </c>
      <c r="C131" s="46" t="inlineStr">
        <is>
          <t>CJK Unified Ideographs Extension A</t>
        </is>
      </c>
      <c r="D131" s="54">
        <f>HEX2DEC(MID(B131,3,FIND("-",E131)-3))</f>
        <v/>
      </c>
      <c r="E131" s="46" t="inlineStr">
        <is>
          <t>U+3400-U+4DBF</t>
        </is>
      </c>
      <c r="F131" s="12" t="n">
        <v>3</v>
      </c>
      <c r="J131" s="19">
        <f>ROUNDDOWN(W131,0)/$V131</f>
        <v/>
      </c>
      <c r="K131" s="19">
        <f>ROUNDDOWN(X131,0)/$V131</f>
        <v/>
      </c>
      <c r="L131" s="19">
        <f>ROUNDDOWN(Y131,0)/$V131</f>
        <v/>
      </c>
      <c r="M131" s="19">
        <f>ROUNDDOWN(Z131,0)/$V131</f>
        <v/>
      </c>
      <c r="O131" s="36" t="inlineStr">
        <is>
          <t>㯰 㯱 㯲 㯳 㯴 㯵 㯶 㯷 㯸 㯹 㯺 㯻 㯼 㯽 㯾 㯿 㰀 㰁 㰂 㰃 㰄 㰅 㰆 㰇 㰈 㰉 㰊 㰋 㰌 㰍 㰎 㰏 㰐 㰑 㰒 㰓 㰔 㰕 㰖 㰗 㰘 㰙 㰚 㰛 㰜 㰝 㰞 㰟 㰠 㰡 㰢 㰣 㰤 㰥 㰦 㰧 㰨 㰩 㰪 㰫 㰬 㰭 㰮 㰯 㰰 㰱 㰲 㰳 㰴 㰵 㰶 㰷 㰸 㰹 㰺 㰻 㰼 㰽 㰾 㰿 㱀 㱁 㱂 㱃 㱄 㱅 㱆 㱇 㱈 㱉 㱊 㱋 㱌 㱍 㱎 㱏 㱐 㱑 㱒 㱓 㱔 㱕 㱖 㱗 㱘 㱙 㱚 㱛 㱜 㱝 㱞 㱟 㱠 㱡 㱢 㱣 㱤 㱥 㱦 㱧 㱨 㱩 㱪 㱫 㱬 㱭 㱮 㱯 㱰 㱱 㱲 㱳 㱴 㱵 㱶 㱷 㱸 㱹 㱺 㱻 㱼 㱽 㱾 㱿 㲀 㲁 㲂 㲃 㲄 㲅 㲆 㲇 㲈 㲉 㲊 㲋 㲌 㲍 㲎 㲏 㲐 㲑 㲒 㲓 㲔 㲕 㲖 㲗 㲘 㲙 㲚 㲛 㲜 㲝 㲞 㲟 㲠 㲡 㲢 㲣 㲤 㲥 㲦 㲧 㲨 㲩 㲪 㲫 㲬 㲭 㲮 㲯 㲰 㲱 㲲 㲳 㲴 㲵 㲶 㲷 㲸 㲹 㲺 㲻 㲼 㲽 㲾 㲿 㳀 㳁 㳂 㳃 㳄 㳅 㳆 㳇 㳈 㳉 㳊 㳋 㳌 㳍 㳎 㳏 㳐 㳑 㳒 㳓 㳔 㳕 㳖 㳗 㳘 㳙 㳚 㳛 㳜 㳝 㳞 㳟 㳠 㳡 㳢 㳣 㳤 㳥 㳦 㳧 㳨 㳩 㳪 㳫 㳬 㳭</t>
        </is>
      </c>
      <c r="P131" s="37" t="inlineStr">
        <is>
          <t>㯰 㯱 㯲 㯳 㯴 㯵 㯶 㯷 㯸 㯹 㯺 㯻 㯼 㯽 㯾 㯿 㰀 㰁 㰂 㰃 㰄 㰅 㰆 㰇 㰈 㰉 㰊 㰋 㰌 㰍 㰎 㰏 㰐 㰑 㰒 㰓 㰔 㰕 㰖 㰗 㰘 㰙 㰚 㰛 㰜 㰝 㰞 㰟 㰠 㰡 㰢 㰣 㰤 㰥 㰦 㰧 㰨 㰩 㰪 㰫 㰬 㰭 㰮 㰯 㰰 㰱 㰲 㰳 㰴 㰵 㰶 㰷 㰸 㰹 㰺 㰻 㰼 㰽 㰾 㰿 㱀 㱁 㱂 㱃 㱄 㱅 㱆 㱇 㱈 㱉 㱊 㱋 㱌 㱍 㱎 㱏 㱐 㱑 㱒 㱓 㱔 㱕 㱖 㱗 㱘 㱙 㱚 㱛 㱜 㱝 㱞 㱟 㱠 㱡 㱢 㱣 㱤 㱥 㱦 㱧 㱨 㱩 㱪 㱫 㱬 㱭 㱮 㱯 㱰 㱱 㱲 㱳 㱴 㱵 㱶 㱷 㱸 㱹 㱺 㱻 㱼 㱽 㱾 㱿 㲀 㲁 㲂 㲃 㲄 㲅 㲆 㲇 㲈 㲉 㲊 㲋 㲌 㲍 㲎 㲏 㲐 㲑 㲒 㲓 㲔 㲕 㲖 㲗 㲘 㲙 㲚 㲛 㲜 㲝 㲞 㲟 㲠 㲡 㲢 㲣 㲤 㲥 㲦 㲧 㲨 㲩 㲪 㲫 㲬 㲭 㲮 㲯 㲰 㲱 㲲 㲳 㲴 㲵 㲶 㲷 㲸 㲹 㲺 㲻 㲼 㲽 㲾 㲿 㳀 㳁 㳂 㳃 㳄 㳅 㳆 㳇 㳈 㳉 㳊 㳋 㳌 㳍 㳎 㳏 㳐 㳑 㳒 㳓 㳔 㳕 㳖 㳗 㳘 㳙 㳚 㳛 㳜 㳝 㳞 㳟 㳠 㳡 㳢 㳣 㳤 㳥 㳦 㳧 㳨 㳩 㳪 㳫 㳬 㳭</t>
        </is>
      </c>
      <c r="Q131" s="38" t="inlineStr">
        <is>
          <t>㯰 㯱 㯲 㯳 㯴 㯵 㯶 㯷 㯸 㯹 㯺 㯻 㯼 㯽 㯾 㯿 㰀 㰁 㰂 㰃 㰄 㰅 㰆 㰇 㰈 㰉 㰊 㰋 㰌 㰍 㰎 㰏 㰐 㰑 㰒 㰓 㰔 㰕 㰖 㰗 㰘 㰙 㰚 㰛 㰜 㰝 㰞 㰟 㰠 㰡 㰢 㰣 㰤 㰥 㰦 㰧 㰨 㰩 㰪 㰫 㰬 㰭 㰮 㰯 㰰 㰱 㰲 㰳 㰴 㰵 㰶 㰷 㰸 㰹 㰺 㰻 㰼 㰽 㰾 㰿 㱀 㱁 㱂 㱃 㱄 㱅 㱆 㱇 㱈 㱉 㱊 㱋 㱌 㱍 㱎 㱏 㱐 㱑 㱒 㱓 㱔 㱕 㱖 㱗 㱘 㱙 㱚 㱛 㱜 㱝 㱞 㱟 㱠 㱡 㱢 㱣 㱤 㱥 㱦 㱧 㱨 㱩 㱪 㱫 㱬 㱭 㱮 㱯 㱰 㱱 㱲 㱳 㱴 㱵 㱶 㱷 㱸 㱹 㱺 㱻 㱼 㱽 㱾 㱿 㲀 㲁 㲂 㲃 㲄 㲅 㲆 㲇 㲈 㲉 㲊 㲋 㲌 㲍 㲎 㲏 㲐 㲑 㲒 㲓 㲔 㲕 㲖 㲗 㲘 㲙 㲚 㲛 㲜 㲝 㲞 㲟 㲠 㲡 㲢 㲣 㲤 㲥 㲦 㲧 㲨 㲩 㲪 㲫 㲬 㲭 㲮 㲯 㲰 㲱 㲲 㲳 㲴 㲵 㲶 㲷 㲸 㲹 㲺 㲻 㲼 㲽 㲾 㲿 㳀 㳁 㳂 㳃 㳄 㳅 㳆 㳇 㳈 㳉 㳊 㳋 㳌 㳍 㳎 㳏 㳐 㳑 㳒 㳓 㳔 㳕 㳖 㳗 㳘 㳙 㳚 㳛 㳜 㳝 㳞 㳟 㳠 㳡 㳢 㳣 㳤 㳥 㳦 㳧 㳨 㳩 㳪 㳫 㳬 㳭</t>
        </is>
      </c>
      <c r="R131" s="43" t="inlineStr">
        <is>
          <t>㯰 㯱 㯲 㯳 㯴 㯵 㯶 㯷 㯸 㯹 㯺 㯻 㯼 㯽 㯾 㯿 㰀 㰁 㰂 㰃 㰄 㰅 㰆 㰇 㰈 㰉 㰊 㰋 㰌 㰍 㰎 㰏 㰐 㰑 㰒 㰓 㰔 㰕 㰖 㰗 㰘 㰙 㰚 㰛 㰝 㰞 㰟 㰠 㰡 㰢 㰣 㰤 㰥 㰦 㰧 㰨 㰩 㰪 㰫 㰬 㰭 㰮 㰯 㰰 㰱 㰲 㰳 㰴 㰵 㰶 㰷 㰸 㰹 㰺 㰻 㰼 㰽 㰾 㰿 㱀 㱁 㱂 㱃 㱄 㱅 㱆 㱇 㱈 㱉 㱊 㱋 㱌 㱎 㱐 㱑 㱒 㱓 㱔 㱕 㱖 㱗 㱘 㱙 㱚 㱛 㱜 㱝 㱞 㱟 㱠 㱡 㱣 㱤 㱥 㱦 㱧 㱨 㱫 㱬 㱭 㱮 㱯 㱰 㱱 㱲 㱳 㱵 㱶 㱷 㱸 㱹 㱺 㱻 㱼 㱽 㱾 㱿 㲀 㲁 㲂 㲃 㲄 㲅 㲆 㲇 㲈 㲉 㲊 㲋 㲌 㲍 㲏 㲐 㲑 㲓 㲕 㲘 㲙 㲚 㲛 㲝 㲞 㲠 㲤 㲦 㲧 㲩 㲭 㲮 㲯 㲰 㲱 㲲 㲳 㲴 㲵 㲶 㲷 㲹 㲺 㲻 㲼 㲽 㲾 㲿 㳁 㳂 㳃 㳄 㳅 㳆 㳇 㳈 㳉 㳋 㳍 㳎 㳏 㳑 㳓 㳖 㳘 㳙 㳚 㳛 㳜 㳝 㳞 㳟 㳠 㳡 㳢 㳣 㳤 㳥 㳦 㳧 㳩 㳫 㳬 㳭</t>
        </is>
      </c>
      <c r="S131" s="40" t="n"/>
      <c r="V131" s="14">
        <f>(LEN(O131)+1)/2</f>
        <v/>
      </c>
      <c r="W131" s="14">
        <f>ROUNDDOWN((LEN(P131)+1)/2,0)</f>
        <v/>
      </c>
      <c r="X131" s="14">
        <f>ROUNDDOWN((LEN(Q131)+1)/2,0)</f>
        <v/>
      </c>
      <c r="Y131" s="14">
        <f>ROUNDDOWN((LEN(R131)+1)/2,0)</f>
        <v/>
      </c>
      <c r="Z131" s="14">
        <f>ROUNDDOWN((LEN(S131)+1)/2,0)</f>
        <v/>
      </c>
      <c r="AA131" s="56" t="n">
        <v>46150.55829410916</v>
      </c>
    </row>
    <row r="132" ht="102" customHeight="1">
      <c r="B132" s="46" t="inlineStr">
        <is>
          <t>U+3CEE-U+3DEB</t>
        </is>
      </c>
      <c r="C132" s="46" t="inlineStr">
        <is>
          <t>CJK Unified Ideographs Extension A</t>
        </is>
      </c>
      <c r="D132" s="54">
        <f>HEX2DEC(MID(B132,3,FIND("-",E132)-3))</f>
        <v/>
      </c>
      <c r="E132" s="46" t="inlineStr">
        <is>
          <t>U+3400-U+4DBF</t>
        </is>
      </c>
      <c r="F132" s="12" t="n">
        <v>3</v>
      </c>
      <c r="J132" s="19">
        <f>ROUNDDOWN(W132,0)/$V132</f>
        <v/>
      </c>
      <c r="K132" s="19">
        <f>ROUNDDOWN(X132,0)/$V132</f>
        <v/>
      </c>
      <c r="L132" s="19">
        <f>ROUNDDOWN(Y132,0)/$V132</f>
        <v/>
      </c>
      <c r="M132" s="19">
        <f>ROUNDDOWN(Z132,0)/$V132</f>
        <v/>
      </c>
      <c r="O132" s="36" t="inlineStr">
        <is>
          <t>㳮 㳯 㳰 㳱 㳲 㳳 㳴 㳵 㳶 㳷 㳸 㳹 㳺 㳻 㳼 㳽 㳾 㳿 㴀 㴁 㴂 㴃 㴄 㴅 㴆 㴇 㴈 㴉 㴊 㴋 㴌 㴍 㴎 㴏 㴐 㴑 㴒 㴓 㴔 㴕 㴖 㴗 㴘 㴙 㴚 㴛 㴜 㴝 㴞 㴟 㴠 㴡 㴢 㴣 㴤 㴥 㴦 㴧 㴨 㴩 㴪 㴫 㴬 㴭 㴮 㴯 㴰 㴱 㴲 㴳 㴴 㴵 㴶 㴷 㴸 㴹 㴺 㴻 㴼 㴽 㴾 㴿 㵀 㵁 㵂 㵃 㵄 㵅 㵆 㵇 㵈 㵉 㵊 㵋 㵌 㵍 㵎 㵏 㵐 㵑 㵒 㵓 㵔 㵕 㵖 㵗 㵘 㵙 㵚 㵛 㵜 㵝 㵞 㵟 㵠 㵡 㵢 㵣 㵤 㵥 㵦 㵧 㵨 㵩 㵪 㵫 㵬 㵭 㵮 㵯 㵰 㵱 㵲 㵳 㵴 㵵 㵶 㵷 㵸 㵹 㵺 㵻 㵼 㵽 㵾 㵿 㶀 㶁 㶂 㶃 㶄 㶅 㶆 㶇 㶈 㶉 㶊 㶋 㶌 㶍 㶎 㶏 㶐 㶑 㶒 㶓 㶔 㶕 㶖 㶗 㶘 㶙 㶚 㶛 㶜 㶝 㶞 㶟 㶠 㶡 㶢 㶣 㶤 㶥 㶦 㶧 㶨 㶩 㶪 㶫 㶬 㶭 㶮 㶯 㶰 㶱 㶲 㶳 㶴 㶵 㶶 㶷 㶸 㶹 㶺 㶻 㶼 㶽 㶾 㶿 㷀 㷁 㷂 㷃 㷄 㷅 㷆 㷇 㷈 㷉 㷊 㷋 㷌 㷍 㷎 㷏 㷐 㷑 㷒 㷓 㷔 㷕 㷖 㷗 㷘 㷙 㷚 㷛 㷜 㷝 㷞 㷟 㷠 㷡 㷢 㷣 㷤 㷥 㷦 㷧 㷨 㷩 㷪 㷫</t>
        </is>
      </c>
      <c r="P132" s="37" t="inlineStr">
        <is>
          <t>㳮 㳯 㳰 㳱 㳲 㳳 㳴 㳵 㳶 㳷 㳸 㳹 㳺 㳻 㳼 㳽 㳾 㳿 㴀 㴁 㴂 㴃 㴄 㴅 㴆 㴇 㴈 㴉 㴊 㴋 㴌 㴍 㴎 㴏 㴐 㴑 㴒 㴓 㴔 㴕 㴖 㴗 㴘 㴙 㴚 㴛 㴜 㴝 㴞 㴟 㴠 㴡 㴢 㴣 㴤 㴥 㴦 㴧 㴨 㴩 㴪 㴫 㴬 㴭 㴮 㴯 㴰 㴱 㴲 㴳 㴴 㴵 㴶 㴷 㴸 㴹 㴺 㴻 㴼 㴽 㴾 㴿 㵀 㵁 㵂 㵃 㵄 㵅 㵆 㵇 㵈 㵉 㵊 㵋 㵌 㵍 㵎 㵏 㵐 㵑 㵒 㵓 㵔 㵕 㵖 㵗 㵘 㵙 㵚 㵛 㵜 㵝 㵞 㵟 㵠 㵡 㵢 㵣 㵤 㵥 㵦 㵧 㵨 㵩 㵪 㵫 㵬 㵭 㵮 㵯 㵰 㵱 㵲 㵳 㵴 㵵 㵶 㵷 㵸 㵹 㵺 㵻 㵼 㵽 㵾 㵿 㶀 㶁 㶂 㶃 㶄 㶅 㶆 㶇 㶈 㶉 㶊 㶋 㶌 㶍 㶎 㶏 㶐 㶑 㶒 㶓 㶔 㶕 㶖 㶗 㶘 㶙 㶚 㶛 㶜 㶝 㶞 㶟 㶠 㶡 㶢 㶣 㶤 㶥 㶦 㶧 㶨 㶩 㶪 㶫 㶬 㶭 㶮 㶯 㶰 㶱 㶲 㶳 㶴 㶵 㶶 㶷 㶸 㶹 㶺 㶻 㶼 㶽 㶾 㶿 㷀 㷁 㷂 㷃 㷄 㷅 㷆 㷇 㷈 㷉 㷊 㷋 㷌 㷍 㷎 㷏 㷐 㷑 㷒 㷓 㷔 㷕 㷖 㷗 㷘 㷙 㷚 㷛 㷜 㷝 㷞 㷟 㷠 㷡 㷢 㷣 㷤 㷥 㷦 㷧 㷨 㷩 㷪 㷫</t>
        </is>
      </c>
      <c r="Q132" s="38" t="inlineStr">
        <is>
          <t>㳮 㳯 㳰 㳱 㳲 㳳 㳴 㳵 㳶 㳷 㳸 㳹 㳺 㳻 㳼 㳽 㳾 㳿 㴀 㴁 㴂 㴃 㴄 㴅 㴆 㴇 㴈 㴉 㴊 㴋 㴌 㴍 㴎 㴏 㴐 㴑 㴒 㴓 㴔 㴕 㴖 㴗 㴘 㴙 㴚 㴛 㴜 㴝 㴞 㴟 㴠 㴡 㴢 㴣 㴤 㴥 㴦 㴧 㴨 㴩 㴪 㴫 㴬 㴭 㴮 㴯 㴰 㴱 㴲 㴳 㴴 㴵 㴶 㴷 㴸 㴹 㴺 㴻 㴼 㴽 㴾 㴿 㵀 㵁 㵂 㵃 㵄 㵅 㵆 㵇 㵈 㵉 㵊 㵋 㵌 㵍 㵎 㵏 㵐 㵑 㵒 㵓 㵔 㵕 㵖 㵗 㵘 㵙 㵚 㵛 㵜 㵝 㵞 㵟 㵠 㵡 㵢 㵣 㵤 㵥 㵦 㵧 㵨 㵩 㵪 㵫 㵬 㵭 㵮 㵯 㵰 㵱 㵲 㵳 㵴 㵵 㵶 㵷 㵸 㵹 㵺 㵻 㵼 㵽 㵾 㵿 㶀 㶁 㶂 㶃 㶄 㶅 㶆 㶇 㶈 㶉 㶊 㶋 㶌 㶍 㶎 㶏 㶐 㶑 㶒 㶓 㶔 㶕 㶖 㶗 㶘 㶙 㶚 㶛 㶜 㶝 㶞 㶟 㶠 㶡 㶢 㶣 㶤 㶥 㶦 㶧 㶨 㶩 㶪 㶫 㶬 㶭 㶮 㶯 㶰 㶱 㶲 㶳 㶴 㶵 㶶 㶷 㶸 㶹 㶺 㶻 㶼 㶽 㶾 㶿 㷀 㷁 㷂 㷃 㷄 㷅 㷆 㷇 㷈 㷉 㷊 㷋 㷌 㷍 㷎 㷏 㷐 㷑 㷒 㷓 㷔 㷕 㷖 㷗 㷘 㷙 㷚 㷛 㷜 㷝 㷞 㷟 㷠 㷡 㷢 㷣 㷤 㷥 㷦 㷧 㷨 㷩 㷪 㷫</t>
        </is>
      </c>
      <c r="R132" s="43" t="inlineStr">
        <is>
          <t>㳮 㳯 㳰 㳲 㳳 㳴 㳵 㳷 㳸 㳹 㳺 㳻 㳼 㳾 㳿 㴀 㴁 㴂 㴃 㴅 㴆 㴇 㴈 㴋 㴍 㴐 㴑 㴒 㴓 㴔 㴕 㴖 㴗 㴙 㴚 㴛 㴜 㴝 㴟 㴠 㴢 㴣 㴤 㴦 㴧 㴨 㴪 㴫 㴬 㴭 㴮 㴱 㴲 㴳 㴵 㴶 㴷 㴹 㴺 㴻 㴼 㴽 㴾 㴿 㵀 㵁 㵂 㵃 㵄 㵅 㵇 㵉 㵊 㵋 㵌 㵏 㵐 㵑 㵒 㵓 㵔 㵕 㵖 㵗 㵘 㵙 㵚 㵛 㵜 㵝 㵞 㵟 㵠 㵡 㵢 㵣 㵤 㵥 㵦 㵧 㵨 㵩 㵪 㵬 㵭 㵮 㵯 㵰 㵱 㵲 㵳 㵴 㵶 㵸 㵹 㵺 㵼 㵽 㵾 㵿 㶀 㶁 㶂 㶃 㶆 㶇 㶈 㶉 㶋 㶍 㶎 㶏 㶐 㶑 㶒 㶓 㶔 㶕 㶖 㶗 㶘 㶙 㶚 㶛 㶜 㶝 㶞 㶠 㶡 㶢 㶣 㶤 㶥 㶦 㶨 㶩 㶪 㶫 㶬 㶭 㶮 㶰 㶱 㶲 㶳 㶵 㶶 㶷 㶸 㶹 㶺 㶻 㶼 㶽 㶾 㶿 㷀 㷂 㷃 㷄 㷅 㷆 㷇 㷈 㷉 㷊 㷋 㷌 㷍 㷎 㷏 㷐 㷑 㷒 㷓 㷔 㷕 㷗 㷘 㷙 㷚 㷛 㷜 㷝 㷞 㷟 㷠 㷡 㷢 㷣 㷤 㷥 㷦 㷧 㷨 㷩 㷪 㷫</t>
        </is>
      </c>
      <c r="S132" s="40" t="n"/>
      <c r="V132" s="14">
        <f>(LEN(O132)+1)/2</f>
        <v/>
      </c>
      <c r="W132" s="14">
        <f>ROUNDDOWN((LEN(P132)+1)/2,0)</f>
        <v/>
      </c>
      <c r="X132" s="14">
        <f>ROUNDDOWN((LEN(Q132)+1)/2,0)</f>
        <v/>
      </c>
      <c r="Y132" s="14">
        <f>ROUNDDOWN((LEN(R132)+1)/2,0)</f>
        <v/>
      </c>
      <c r="Z132" s="14">
        <f>ROUNDDOWN((LEN(S132)+1)/2,0)</f>
        <v/>
      </c>
      <c r="AA132" s="56" t="n">
        <v>46150.55829727324</v>
      </c>
    </row>
    <row r="133" ht="102" customHeight="1">
      <c r="B133" s="46" t="inlineStr">
        <is>
          <t>U+3DEC-U+3EE9</t>
        </is>
      </c>
      <c r="C133" s="46" t="inlineStr">
        <is>
          <t>CJK Unified Ideographs Extension A</t>
        </is>
      </c>
      <c r="D133" s="54">
        <f>HEX2DEC(MID(B133,3,FIND("-",E133)-3))</f>
        <v/>
      </c>
      <c r="E133" s="46" t="inlineStr">
        <is>
          <t>U+3400-U+4DBF</t>
        </is>
      </c>
      <c r="F133" s="12" t="n">
        <v>3</v>
      </c>
      <c r="J133" s="19">
        <f>ROUNDDOWN(W133,0)/$V133</f>
        <v/>
      </c>
      <c r="K133" s="19">
        <f>ROUNDDOWN(X133,0)/$V133</f>
        <v/>
      </c>
      <c r="L133" s="19">
        <f>ROUNDDOWN(Y133,0)/$V133</f>
        <v/>
      </c>
      <c r="M133" s="19">
        <f>ROUNDDOWN(Z133,0)/$V133</f>
        <v/>
      </c>
      <c r="O133" s="36" t="inlineStr">
        <is>
          <t>㷬 㷭 㷮 㷯 㷰 㷱 㷲 㷳 㷴 㷵 㷶 㷷 㷸 㷹 㷺 㷻 㷼 㷽 㷾 㷿 㸀 㸁 㸂 㸃 㸄 㸅 㸆 㸇 㸈 㸉 㸊 㸋 㸌 㸍 㸎 㸏 㸐 㸑 㸒 㸓 㸔 㸕 㸖 㸗 㸘 㸙 㸚 㸛 㸜 㸝 㸞 㸟 㸠 㸡 㸢 㸣 㸤 㸥 㸦 㸧 㸨 㸩 㸪 㸫 㸬 㸭 㸮 㸯 㸰 㸱 㸲 㸳 㸴 㸵 㸶 㸷 㸸 㸹 㸺 㸻 㸼 㸽 㸾 㸿 㹀 㹁 㹂 㹃 㹄 㹅 㹆 㹇 㹈 㹉 㹊 㹋 㹌 㹍 㹎 㹏 㹐 㹑 㹒 㹓 㹔 㹕 㹖 㹗 㹘 㹙 㹚 㹛 㹜 㹝 㹞 㹟 㹠 㹡 㹢 㹣 㹤 㹥 㹦 㹧 㹨 㹩 㹪 㹫 㹬 㹭 㹮 㹯 㹰 㹱 㹲 㹳 㹴 㹵 㹶 㹷 㹸 㹹 㹺 㹻 㹼 㹽 㹾 㹿 㺀 㺁 㺂 㺃 㺄 㺅 㺆 㺇 㺈 㺉 㺊 㺋 㺌 㺍 㺎 㺏 㺐 㺑 㺒 㺓 㺔 㺕 㺖 㺗 㺘 㺙 㺚 㺛 㺜 㺝 㺞 㺟 㺠 㺡 㺢 㺣 㺤 㺥 㺦 㺧 㺨 㺩 㺪 㺫 㺬 㺭 㺮 㺯 㺰 㺱 㺲 㺳 㺴 㺵 㺶 㺷 㺸 㺹 㺺 㺻 㺼 㺽 㺾 㺿 㻀 㻁 㻂 㻃 㻄 㻅 㻆 㻇 㻈 㻉 㻊 㻋 㻌 㻍 㻎 㻏 㻐 㻑 㻒 㻓 㻔 㻕 㻖 㻗 㻘 㻙 㻚 㻛 㻜 㻝 㻞 㻟 㻠 㻡 㻢 㻣 㻤 㻥 㻦 㻧 㻨 㻩</t>
        </is>
      </c>
      <c r="P133" s="37" t="inlineStr">
        <is>
          <t>㷬 㷭 㷮 㷯 㷰 㷱 㷲 㷳 㷴 㷵 㷶 㷷 㷸 㷹 㷺 㷻 㷼 㷽 㷾 㷿 㸀 㸁 㸂 㸃 㸄 㸅 㸆 㸇 㸈 㸉 㸊 㸋 㸌 㸍 㸎 㸏 㸐 㸑 㸒 㸓 㸔 㸕 㸖 㸗 㸘 㸙 㸚 㸛 㸜 㸝 㸞 㸟 㸠 㸡 㸢 㸣 㸤 㸥 㸦 㸧 㸨 㸩 㸪 㸫 㸬 㸭 㸮 㸯 㸰 㸱 㸲 㸳 㸴 㸵 㸶 㸷 㸸 㸹 㸺 㸻 㸼 㸽 㸾 㸿 㹀 㹁 㹂 㹃 㹄 㹅 㹆 㹇 㹈 㹉 㹊 㹋 㹌 㹍 㹎 㹏 㹐 㹑 㹒 㹓 㹔 㹕 㹖 㹗 㹘 㹙 㹚 㹛 㹜 㹝 㹞 㹟 㹠 㹡 㹢 㹣 㹤 㹥 㹦 㹧 㹨 㹩 㹪 㹫 㹬 㹭 㹮 㹯 㹰 㹱 㹲 㹳 㹴 㹵 㹶 㹷 㹸 㹹 㹺 㹻 㹼 㹽 㹾 㹿 㺀 㺁 㺂 㺃 㺄 㺅 㺆 㺇 㺈 㺉 㺊 㺋 㺌 㺍 㺎 㺏 㺐 㺑 㺒 㺓 㺔 㺕 㺖 㺗 㺘 㺙 㺚 㺛 㺜 㺝 㺞 㺟 㺠 㺡 㺢 㺣 㺤 㺥 㺦 㺧 㺨 㺩 㺪 㺫 㺬 㺭 㺮 㺯 㺰 㺱 㺲 㺳 㺴 㺵 㺶 㺷 㺸 㺹 㺺 㺻 㺼 㺽 㺾 㺿 㻀 㻁 㻂 㻃 㻄 㻅 㻆 㻇 㻈 㻉 㻊 㻋 㻌 㻍 㻎 㻏 㻐 㻑 㻒 㻓 㻔 㻕 㻖 㻗 㻘 㻙 㻚 㻛 㻜 㻝 㻞 㻟 㻠 㻡 㻢 㻣 㻤 㻥 㻦 㻧 㻨 㻩</t>
        </is>
      </c>
      <c r="Q133" s="38" t="inlineStr">
        <is>
          <t>㷬 㷭 㷮 㷯 㷰 㷱 㷲 㷳 㷴 㷵 㷶 㷷 㷸 㷹 㷺 㷻 㷼 㷽 㷾 㷿 㸀 㸁 㸂 㸃 㸄 㸅 㸆 㸇 㸈 㸉 㸊 㸋 㸌 㸍 㸎 㸏 㸐 㸑 㸒 㸓 㸔 㸕 㸖 㸗 㸘 㸙 㸚 㸛 㸜 㸝 㸞 㸟 㸠 㸡 㸢 㸣 㸤 㸥 㸦 㸧 㸨 㸩 㸪 㸫 㸬 㸭 㸮 㸯 㸰 㸱 㸲 㸳 㸴 㸵 㸶 㸷 㸸 㸹 㸺 㸻 㸼 㸽 㸾 㸿 㹀 㹁 㹂 㹃 㹄 㹅 㹆 㹇 㹈 㹉 㹊 㹋 㹌 㹍 㹎 㹏 㹐 㹑 㹒 㹓 㹔 㹕 㹖 㹗 㹘 㹙 㹚 㹛 㹜 㹝 㹞 㹟 㹠 㹡 㹢 㹣 㹤 㹥 㹦 㹧 㹨 㹩 㹪 㹫 㹬 㹭 㹮 㹯 㹰 㹱 㹲 㹳 㹴 㹵 㹶 㹷 㹸 㹹 㹺 㹻 㹼 㹽 㹾 㹿 㺀 㺁 㺂 㺃 㺄 㺅 㺆 㺇 㺈 㺉 㺊 㺋 㺌 㺍 㺎 㺏 㺐 㺑 㺒 㺓 㺔 㺕 㺖 㺗 㺘 㺙 㺚 㺛 㺜 㺝 㺞 㺟 㺠 㺡 㺢 㺣 㺤 㺥 㺦 㺧 㺨 㺩 㺪 㺫 㺬 㺭 㺮 㺯 㺰 㺱 㺲 㺳 㺴 㺵 㺶 㺷 㺸 㺹 㺺 㺻 㺼 㺽 㺾 㺿 㻀 㻁 㻂 㻃 㻄 㻅 㻆 㻇 㻈 㻉 㻊 㻋 㻌 㻍 㻎 㻏 㻐 㻑 㻒 㻓 㻔 㻕 㻖 㻗 㻘 㻙 㻚 㻛 㻜 㻝 㻞 㻟 㻠 㻡 㻢 㻣 㻤 㻥 㻦 㻧 㻨 㻩</t>
        </is>
      </c>
      <c r="R133" s="43" t="inlineStr">
        <is>
          <t>㷬 㷭 㷮 㷯 㷰 㷱 㷲 㷳 㷴 㷵 㷶 㷷 㷸 㷹 㷺 㷻 㷼 㷽 㷾 㷿 㸀 㸁 㸂 㸃 㸄 㸅 㸆 㸇 㸈 㸉 㸊 㸋 㸌 㸍 㸎 㸏 㸐 㸑 㸒 㸓 㸔 㸕 㸖 㸗 㸘 㸙 㸜 㸝 㸞 㸡 㸢 㸣 㸤 㸥 㸦 㸩 㸫 㸬 㸮 㸯 㸰 㸲 㸳 㸴 㸵 㸷 㸸 㸺 㸻 㸼 㸽 㸾 㸿 㹀 㹁 㹂 㹃 㹄 㹅 㹆 㹇 㹈 㹉 㹊 㹋 㹌 㹍 㹎 㹏 㹐 㹑 㹒 㹓 㹔 㹕 㹗 㹘 㹙 㹚 㹛 㹜 㹞 㹟 㹠 㹡 㹣 㹤 㹥 㹦 㹧 㹩 㹪 㹫 㹬 㹭 㹯 㹰 㹱 㹲 㹳 㹴 㹵 㹶 㹷 㹸 㹹 㹺 㹻 㹼 㹽 㹾 㹿 㺀 㺁 㺂 㺃 㺄 㺅 㺆 㺇 㺈 㺉 㺊 㺋 㺌 㺍 㺎 㺏 㺐 㺑 㺓 㺔 㺖 㺗 㺘 㺙 㺚 㺛 㺜 㺝 㺞 㺟 㺠 㺡 㺢 㺣 㺤 㺥 㺨 㺬 㺭 㺮 㺯 㺰 㺱 㺲 㺳 㺴 㺵 㺶 㺷 㺸 㺹 㺻 㺼 㺽 㻀 㻂 㻃 㻄 㻅 㻆 㻇 㻈 㻉 㻊 㻋 㻌 㻍 㻎 㻏 㻐 㻑 㻓 㻔 㻕 㻖 㻗 㻚 㻛 㻜 㻞 㻟 㻡 㻢 㻥 㻦 㻧 㻨 㻩</t>
        </is>
      </c>
      <c r="S133" s="40" t="n"/>
      <c r="V133" s="14">
        <f>(LEN(O133)+1)/2</f>
        <v/>
      </c>
      <c r="W133" s="14">
        <f>ROUNDDOWN((LEN(P133)+1)/2,0)</f>
        <v/>
      </c>
      <c r="X133" s="14">
        <f>ROUNDDOWN((LEN(Q133)+1)/2,0)</f>
        <v/>
      </c>
      <c r="Y133" s="14">
        <f>ROUNDDOWN((LEN(R133)+1)/2,0)</f>
        <v/>
      </c>
      <c r="Z133" s="14">
        <f>ROUNDDOWN((LEN(S133)+1)/2,0)</f>
        <v/>
      </c>
      <c r="AA133" s="56" t="n">
        <v>46150.55830027787</v>
      </c>
    </row>
    <row r="134" ht="102" customHeight="1">
      <c r="B134" s="46" t="inlineStr">
        <is>
          <t>U+3EEA-U+3FE7</t>
        </is>
      </c>
      <c r="C134" s="46" t="inlineStr">
        <is>
          <t>CJK Unified Ideographs Extension A</t>
        </is>
      </c>
      <c r="D134" s="54">
        <f>HEX2DEC(MID(B134,3,FIND("-",E134)-3))</f>
        <v/>
      </c>
      <c r="E134" s="46" t="inlineStr">
        <is>
          <t>U+3400-U+4DBF</t>
        </is>
      </c>
      <c r="F134" s="12" t="n">
        <v>3</v>
      </c>
      <c r="J134" s="19">
        <f>ROUNDDOWN(W134,0)/$V134</f>
        <v/>
      </c>
      <c r="K134" s="19">
        <f>ROUNDDOWN(X134,0)/$V134</f>
        <v/>
      </c>
      <c r="L134" s="19">
        <f>ROUNDDOWN(Y134,0)/$V134</f>
        <v/>
      </c>
      <c r="M134" s="19">
        <f>ROUNDDOWN(Z134,0)/$V134</f>
        <v/>
      </c>
      <c r="O134" s="36" t="inlineStr">
        <is>
          <t>㻪 㻫 㻬 㻭 㻮 㻯 㻰 㻱 㻲 㻳 㻴 㻵 㻶 㻷 㻸 㻹 㻺 㻻 㻼 㻽 㻾 㻿 㼀 㼁 㼂 㼃 㼄 㼅 㼆 㼇 㼈 㼉 㼊 㼋 㼌 㼍 㼎 㼏 㼐 㼑 㼒 㼓 㼔 㼕 㼖 㼗 㼘 㼙 㼚 㼛 㼜 㼝 㼞 㼟 㼠 㼡 㼢 㼣 㼤 㼥 㼦 㼧 㼨 㼩 㼪 㼫 㼬 㼭 㼮 㼯 㼰 㼱 㼲 㼳 㼴 㼵 㼶 㼷 㼸 㼹 㼺 㼻 㼼 㼽 㼾 㼿 㽀 㽁 㽂 㽃 㽄 㽅 㽆 㽇 㽈 㽉 㽊 㽋 㽌 㽍 㽎 㽏 㽐 㽑 㽒 㽓 㽔 㽕 㽖 㽗 㽘 㽙 㽚 㽛 㽜 㽝 㽞 㽟 㽠 㽡 㽢 㽣 㽤 㽥 㽦 㽧 㽨 㽩 㽪 㽫 㽬 㽭 㽮 㽯 㽰 㽱 㽲 㽳 㽴 㽵 㽶 㽷 㽸 㽹 㽺 㽻 㽼 㽽 㽾 㽿 㾀 㾁 㾂 㾃 㾄 㾅 㾆 㾇 㾈 㾉 㾊 㾋 㾌 㾍 㾎 㾏 㾐 㾑 㾒 㾓 㾔 㾕 㾖 㾗 㾘 㾙 㾚 㾛 㾜 㾝 㾞 㾟 㾠 㾡 㾢 㾣 㾤 㾥 㾦 㾧 㾨 㾩 㾪 㾫 㾬 㾭 㾮 㾯 㾰 㾱 㾲 㾳 㾴 㾵 㾶 㾷 㾸 㾹 㾺 㾻 㾼 㾽 㾾 㾿 㿀 㿁 㿂 㿃 㿄 㿅 㿆 㿇 㿈 㿉 㿊 㿋 㿌 㿍 㿎 㿏 㿐 㿑 㿒 㿓 㿔 㿕 㿖 㿗 㿘 㿙 㿚 㿛 㿜 㿝 㿞 㿟 㿠 㿡 㿢 㿣 㿤 㿥 㿦 㿧</t>
        </is>
      </c>
      <c r="P134" s="37" t="inlineStr">
        <is>
          <t>㻪 㻫 㻬 㻭 㻮 㻯 㻰 㻱 㻲 㻳 㻴 㻵 㻶 㻷 㻸 㻹 㻺 㻻 㻼 㻽 㻾 㻿 㼀 㼁 㼂 㼃 㼄 㼅 㼆 㼇 㼈 㼉 㼊 㼋 㼌 㼍 㼎 㼏 㼐 㼑 㼒 㼓 㼔 㼕 㼖 㼗 㼘 㼙 㼚 㼛 㼜 㼝 㼞 㼟 㼠 㼡 㼢 㼣 㼤 㼥 㼦 㼧 㼨 㼩 㼪 㼫 㼬 㼭 㼮 㼯 㼰 㼱 㼲 㼳 㼴 㼵 㼶 㼷 㼸 㼹 㼺 㼻 㼼 㼽 㼾 㼿 㽀 㽁 㽂 㽃 㽄 㽅 㽆 㽇 㽈 㽉 㽊 㽋 㽌 㽍 㽎 㽏 㽐 㽑 㽒 㽓 㽔 㽕 㽖 㽗 㽘 㽙 㽚 㽛 㽜 㽝 㽞 㽟 㽠 㽡 㽢 㽣 㽤 㽥 㽦 㽧 㽨 㽩 㽪 㽫 㽬 㽭 㽮 㽯 㽰 㽱 㽲 㽳 㽴 㽵 㽶 㽷 㽸 㽹 㽺 㽻 㽼 㽽 㽾 㽿 㾀 㾁 㾂 㾃 㾄 㾅 㾆 㾇 㾈 㾉 㾊 㾋 㾌 㾍 㾎 㾏 㾐 㾑 㾒 㾓 㾔 㾕 㾖 㾗 㾘 㾙 㾚 㾛 㾜 㾝 㾞 㾟 㾠 㾡 㾢 㾣 㾤 㾥 㾦 㾧 㾨 㾩 㾪 㾫 㾬 㾭 㾮 㾯 㾰 㾱 㾲 㾳 㾴 㾵 㾶 㾷 㾸 㾹 㾺 㾻 㾼 㾽 㾾 㾿 㿀 㿁 㿂 㿃 㿄 㿅 㿆 㿇 㿈 㿉 㿊 㿋 㿌 㿍 㿎 㿏 㿐 㿑 㿒 㿓 㿔 㿕 㿖 㿗 㿘 㿙 㿚 㿛 㿜 㿝 㿞 㿟 㿠 㿡 㿢 㿣 㿤 㿥 㿦 㿧</t>
        </is>
      </c>
      <c r="Q134" s="38" t="inlineStr">
        <is>
          <t>㻪 㻫 㻬 㻭 㻮 㻯 㻰 㻱 㻲 㻳 㻴 㻵 㻶 㻷 㻸 㻹 㻺 㻻 㻼 㻽 㻾 㻿 㼀 㼁 㼂 㼃 㼄 㼅 㼆 㼇 㼈 㼉 㼊 㼋 㼌 㼍 㼎 㼏 㼐 㼑 㼒 㼓 㼔 㼕 㼖 㼗 㼘 㼙 㼚 㼛 㼜 㼝 㼞 㼟 㼠 㼡 㼢 㼣 㼤 㼥 㼦 㼧 㼨 㼩 㼪 㼫 㼬 㼭 㼮 㼯 㼰 㼱 㼲 㼳 㼴 㼵 㼶 㼷 㼸 㼹 㼺 㼻 㼼 㼽 㼾 㼿 㽀 㽁 㽂 㽃 㽄 㽅 㽆 㽇 㽈 㽉 㽊 㽋 㽌 㽍 㽎 㽏 㽐 㽑 㽒 㽓 㽔 㽕 㽖 㽗 㽘 㽙 㽚 㽛 㽜 㽝 㽞 㽟 㽠 㽡 㽢 㽣 㽤 㽥 㽦 㽧 㽨 㽩 㽪 㽫 㽬 㽭 㽮 㽯 㽰 㽱 㽲 㽳 㽴 㽵 㽶 㽷 㽸 㽹 㽺 㽻 㽼 㽽 㽾 㽿 㾀 㾁 㾂 㾃 㾄 㾅 㾆 㾇 㾈 㾉 㾊 㾋 㾌 㾍 㾎 㾏 㾐 㾑 㾒 㾓 㾔 㾕 㾖 㾗 㾘 㾙 㾚 㾛 㾜 㾝 㾞 㾟 㾠 㾡 㾢 㾣 㾤 㾥 㾦 㾧 㾨 㾩 㾪 㾫 㾬 㾭 㾮 㾯 㾰 㾱 㾲 㾳 㾴 㾵 㾶 㾷 㾸 㾹 㾺 㾻 㾼 㾽 㾾 㾿 㿀 㿁 㿂 㿃 㿄 㿅 㿆 㿇 㿈 㿉 㿊 㿋 㿌 㿍 㿎 㿏 㿐 㿑 㿒 㿓 㿔 㿕 㿖 㿗 㿘 㿙 㿚 㿛 㿜 㿝 㿞 㿟 㿠 㿡 㿢 㿣 㿤 㿥 㿦 㿧</t>
        </is>
      </c>
      <c r="R134" s="43" t="inlineStr">
        <is>
          <t>㻪 㻫 㻮 㻯 㻰 㻱 㻲 㻳 㻴 㻵 㻷 㻸 㻹 㻺 㻼 㻽 㻾 㻿 㼀 㼂 㼄 㼅 㼆 㼇 㼈 㼉 㼊 㼋 㼌 㼍 㼎 㼏 㼐 㼑 㼒 㼓 㼔 㼕 㼖 㼗 㼚 㼛 㼜 㼝 㼞 㼠 㼡 㼤 㼥 㼦 㼨 㼩 㼪 㼫 㼭 㼯 㼱 㼳 㼵 㼸 㼹 㼺 㼻 㼾 㽁 㽂 㽄 㽅 㽇 㽈 㽉 㽊 㽋 㽌 㽍 㽎 㽏 㽐 㽑 㽒 㽓 㽔 㽕 㽖 㽗 㽘 㽙 㽚 㽛 㽜 㽝 㽠 㽢 㽣 㽤 㽥 㽦 㽨 㽩 㽫 㽮 㽯 㽰 㽱 㽲 㽳 㽴 㽵 㽶 㽷 㽸 㽹 㽺 㽻 㽼 㽽 㽾 㽿 㾀 㾁 㾂 㾃 㾄 㾅 㾆 㾇 㾈 㾉 㾊 㾋 㾌 㾍 㾎 㾏 㾐 㾑 㾒 㾓 㾔 㾕 㾖 㾗 㾘 㾙 㾚 㾛 㾜 㾝 㾞 㾟 㾠 㾡 㾢 㾣 㾤 㾥 㾦 㾧 㾨 㾩 㾪 㾫 㾬 㾭 㾮 㾯 㾰 㾱 㾲 㾳 㾴 㾵 㾶 㾷 㾸 㾹 㾺 㾻 㾼 㾽 㾾 㾿 㿀 㿁 㿂 㿃 㿄 㿅 㿆 㿇 㿈 㿉 㿊 㿋 㿌 㿍 㿎 㿏 㿐 㿑 㿒 㿓 㿔 㿕 㿖 㿗 㿘 㿙 㿚 㿛 㿜 㿝 㿞 㿠 㿡 㿢 㿣 㿤 㿥 㿦</t>
        </is>
      </c>
      <c r="S134" s="40" t="n"/>
      <c r="V134" s="14">
        <f>(LEN(O134)+1)/2</f>
        <v/>
      </c>
      <c r="W134" s="14">
        <f>ROUNDDOWN((LEN(P134)+1)/2,0)</f>
        <v/>
      </c>
      <c r="X134" s="14">
        <f>ROUNDDOWN((LEN(Q134)+1)/2,0)</f>
        <v/>
      </c>
      <c r="Y134" s="14">
        <f>ROUNDDOWN((LEN(R134)+1)/2,0)</f>
        <v/>
      </c>
      <c r="Z134" s="14">
        <f>ROUNDDOWN((LEN(S134)+1)/2,0)</f>
        <v/>
      </c>
      <c r="AA134" s="56" t="n">
        <v>46150.55830318045</v>
      </c>
    </row>
    <row r="135" ht="102" customHeight="1">
      <c r="B135" s="46" t="inlineStr">
        <is>
          <t>U+3FE8-U+40E5</t>
        </is>
      </c>
      <c r="C135" s="46" t="inlineStr">
        <is>
          <t>CJK Unified Ideographs Extension A</t>
        </is>
      </c>
      <c r="D135" s="54">
        <f>HEX2DEC(MID(B135,3,FIND("-",E135)-3))</f>
        <v/>
      </c>
      <c r="E135" s="46" t="inlineStr">
        <is>
          <t>U+3400-U+4DBF</t>
        </is>
      </c>
      <c r="F135" s="12" t="n">
        <v>3</v>
      </c>
      <c r="J135" s="19">
        <f>ROUNDDOWN(W135,0)/$V135</f>
        <v/>
      </c>
      <c r="K135" s="19">
        <f>ROUNDDOWN(X135,0)/$V135</f>
        <v/>
      </c>
      <c r="L135" s="19">
        <f>ROUNDDOWN(Y135,0)/$V135</f>
        <v/>
      </c>
      <c r="M135" s="19">
        <f>ROUNDDOWN(Z135,0)/$V135</f>
        <v/>
      </c>
      <c r="O135" s="36" t="inlineStr">
        <is>
          <t>㿨 㿩 㿪 㿫 㿬 㿭 㿮 㿯 㿰 㿱 㿲 㿳 㿴 㿵 㿶 㿷 㿸 㿹 㿺 㿻 㿼 㿽 㿾 㿿 䀀 䀁 䀂 䀃 䀄 䀅 䀆 䀇 䀈 䀉 䀊 䀋 䀌 䀍 䀎 䀏 䀐 䀑 䀒 䀓 䀔 䀕 䀖 䀗 䀘 䀙 䀚 䀛 䀜 䀝 䀞 䀟 䀠 䀡 䀢 䀣 䀤 䀥 䀦 䀧 䀨 䀩 䀪 䀫 䀬 䀭 䀮 䀯 䀰 䀱 䀲 䀳 䀴 䀵 䀶 䀷 䀸 䀹 䀺 䀻 䀼 䀽 䀾 䀿 䁀 䁁 䁂 䁃 䁄 䁅 䁆 䁇 䁈 䁉 䁊 䁋 䁌 䁍 䁎 䁏 䁐 䁑 䁒 䁓 䁔 䁕 䁖 䁗 䁘 䁙 䁚 䁛 䁜 䁝 䁞 䁟 䁠 䁡 䁢 䁣 䁤 䁥 䁦 䁧 䁨 䁩 䁪 䁫 䁬 䁭 䁮 䁯 䁰 䁱 䁲 䁳 䁴 䁵 䁶 䁷 䁸 䁹 䁺 䁻 䁼 䁽 䁾 䁿 䂀 䂁 䂂 䂃 䂄 䂅 䂆 䂇 䂈 䂉 䂊 䂋 䂌 䂍 䂎 䂏 䂐 䂑 䂒 䂓 䂔 䂕 䂖 䂗 䂘 䂙 䂚 䂛 䂜 䂝 䂞 䂟 䂠 䂡 䂢 䂣 䂤 䂥 䂦 䂧 䂨 䂩 䂪 䂫 䂬 䂭 䂮 䂯 䂰 䂱 䂲 䂳 䂴 䂵 䂶 䂷 䂸 䂹 䂺 䂻 䂼 䂽 䂾 䂿 䃀 䃁 䃂 䃃 䃄 䃅 䃆 䃇 䃈 䃉 䃊 䃋 䃌 䃍 䃎 䃏 䃐 䃑 䃒 䃓 䃔 䃕 䃖 䃗 䃘 䃙 䃚 䃛 䃜 䃝 䃞 䃟 䃠 䃡 䃢 䃣 䃤 䃥</t>
        </is>
      </c>
      <c r="P135" s="37" t="inlineStr">
        <is>
          <t>㿨 㿩 㿪 㿫 㿬 㿭 㿮 㿯 㿰 㿱 㿲 㿳 㿴 㿵 㿶 㿷 㿸 㿹 㿺 㿻 㿼 㿽 㿾 㿿 䀀 䀁 䀂 䀃 䀄 䀅 䀆 䀇 䀈 䀉 䀊 䀋 䀌 䀍 䀎 䀏 䀐 䀑 䀒 䀓 䀔 䀕 䀖 䀗 䀘 䀙 䀚 䀛 䀜 䀝 䀞 䀟 䀠 䀡 䀢 䀣 䀤 䀥 䀦 䀧 䀨 䀩 䀪 䀫 䀬 䀭 䀮 䀯 䀰 䀱 䀲 䀳 䀴 䀵 䀶 䀷 䀸 䀹 䀺 䀻 䀼 䀽 䀾 䀿 䁀 䁁 䁂 䁃 䁄 䁅 䁆 䁇 䁈 䁉 䁊 䁋 䁌 䁍 䁎 䁏 䁐 䁑 䁒 䁓 䁔 䁕 䁖 䁗 䁘 䁙 䁚 䁛 䁜 䁝 䁞 䁟 䁠 䁡 䁢 䁣 䁤 䁥 䁦 䁧 䁨 䁩 䁪 䁫 䁬 䁭 䁮 䁯 䁰 䁱 䁲 䁳 䁴 䁵 䁶 䁷 䁸 䁹 䁺 䁻 䁼 䁽 䁾 䁿 䂀 䂁 䂂 䂃 䂄 䂅 䂆 䂇 䂈 䂉 䂊 䂋 䂌 䂍 䂎 䂏 䂐 䂑 䂒 䂓 䂔 䂕 䂖 䂗 䂘 䂙 䂚 䂛 䂜 䂝 䂞 䂟 䂠 䂡 䂢 䂣 䂤 䂥 䂦 䂧 䂨 䂩 䂪 䂫 䂬 䂭 䂮 䂯 䂰 䂱 䂲 䂳 䂴 䂵 䂶 䂷 䂸 䂹 䂺 䂻 䂼 䂽 䂾 䂿 䃀 䃁 䃂 䃃 䃄 䃅 䃆 䃇 䃈 䃉 䃊 䃋 䃌 䃍 䃎 䃏 䃐 䃑 䃒 䃓 䃔 䃕 䃖 䃗 䃘 䃙 䃚 䃛 䃜 䃝 䃞 䃟 䃠 䃡 䃢 䃣 䃤 䃥</t>
        </is>
      </c>
      <c r="Q135" s="38" t="inlineStr">
        <is>
          <t>㿨 㿩 㿪 㿫 㿬 㿭 㿮 㿯 㿰 㿱 㿲 㿳 㿴 㿵 㿶 㿷 㿸 㿹 㿺 㿻 㿼 㿽 㿾 㿿 䀀 䀁 䀂 䀃 䀄 䀅 䀆 䀇 䀈 䀉 䀊 䀋 䀌 䀍 䀎 䀏 䀐 䀑 䀒 䀓 䀔 䀕 䀖 䀗 䀘 䀙 䀚 䀛 䀜 䀝 䀞 䀟 䀠 䀡 䀢 䀣 䀤 䀥 䀦 䀧 䀨 䀩 䀪 䀫 䀬 䀭 䀮 䀯 䀰 䀱 䀲 䀳 䀴 䀵 䀶 䀷 䀸 䀹 䀺 䀻 䀼 䀽 䀾 䀿 䁀 䁁 䁂 䁃 䁄 䁅 䁆 䁇 䁈 䁉 䁊 䁋 䁌 䁍 䁎 䁏 䁐 䁑 䁒 䁓 䁔 䁕 䁖 䁗 䁘 䁙 䁚 䁛 䁜 䁝 䁞 䁟 䁠 䁡 䁢 䁣 䁤 䁥 䁦 䁧 䁨 䁩 䁪 䁫 䁬 䁭 䁮 䁯 䁰 䁱 䁲 䁳 䁴 䁵 䁶 䁷 䁸 䁹 䁺 䁻 䁼 䁽 䁾 䁿 䂀 䂁 䂂 䂃 䂄 䂅 䂆 䂇 䂈 䂉 䂊 䂋 䂌 䂍 䂎 䂏 䂐 䂑 䂒 䂓 䂔 䂕 䂖 䂗 䂘 䂙 䂚 䂛 䂜 䂝 䂞 䂟 䂠 䂡 䂢 䂣 䂤 䂥 䂦 䂧 䂨 䂩 䂪 䂫 䂬 䂭 䂮 䂯 䂰 䂱 䂲 䂳 䂴 䂵 䂶 䂷 䂸 䂹 䂺 䂻 䂼 䂽 䂾 䂿 䃀 䃁 䃂 䃃 䃄 䃅 䃆 䃇 䃈 䃉 䃊 䃋 䃌 䃍 䃎 䃏 䃐 䃑 䃒 䃓 䃔 䃕 䃖 䃗 䃘 䃙 䃚 䃛 䃜 䃝 䃞 䃟 䃠 䃡 䃢 䃣 䃤 䃥</t>
        </is>
      </c>
      <c r="R135" s="43" t="inlineStr">
        <is>
          <t>㿨 㿩 㿪 㿫 㿭 㿮 㿯 㿰 㿱 㿲 㿳 㿴 㿵 㿶 㿷 㿸 㿹 㿺 㿻 㿼 㿽 㿾 㿿 䀀 䀁 䀂 䀃 䀄 䀅 䀆 䀇 䀈 䀉 䀊 䀋 䀌 䀍 䀎 䀏 䀑 䀒 䀓 䀔 䀖 䀗 䀘 䀙 䀚 䀛 䀜 䀞 䀟 䀣 䀤 䀥 䀧 䀩 䀪 䀫 䀬 䀮 䀱 䀲 䀴 䀵 䀸 䀺 䀼 䀽 䀾 䁀 䁂 䁃 䁅 䁆 䁇 䁈 䁉 䁊 䁋 䁍 䁏 䁑 䁒 䁓 䁖 䁛 䁜 䁝 䁞 䁟 䁠 䁢 䁦 䁫 䁭 䁮 䁰 䁱 䁴 䁶 䁷 䁸 䁹 䁾 䁿 䂂 䂄 䂆 䂇 䂈 䂉 䂊 䂋 䂌 䂍 䂎 䂏 䂒 䂓 䂔 䂕 䂖 䂗 䂘 䂚 䂜 䂝 䂞 䂟 䂠 䂢 䂤 䂦 䂧 䂨 䂫 䂬 䂭 䂮 䂯 䂱 䂲 䂳 䂵 䂷 䂸 䂹 䂺 䂻 䂼 䂽 䂾 䃊 䃋 䃌 䃍 䃎 䃏 䃑 䃕 䃖 䃗 䃙 䃚 䃛 䃜 䃝 䃞 䃟 䃠 䃡 䃢 䃣 䃤 䃥</t>
        </is>
      </c>
      <c r="S135" s="40" t="n"/>
      <c r="V135" s="14">
        <f>(LEN(O135)+1)/2</f>
        <v/>
      </c>
      <c r="W135" s="14">
        <f>ROUNDDOWN((LEN(P135)+1)/2,0)</f>
        <v/>
      </c>
      <c r="X135" s="14">
        <f>ROUNDDOWN((LEN(Q135)+1)/2,0)</f>
        <v/>
      </c>
      <c r="Y135" s="14">
        <f>ROUNDDOWN((LEN(R135)+1)/2,0)</f>
        <v/>
      </c>
      <c r="Z135" s="14">
        <f>ROUNDDOWN((LEN(S135)+1)/2,0)</f>
        <v/>
      </c>
      <c r="AA135" s="56" t="n">
        <v>46150.55830620633</v>
      </c>
    </row>
    <row r="136" ht="102" customHeight="1">
      <c r="B136" s="46" t="inlineStr">
        <is>
          <t>U+40E6-U+41E3</t>
        </is>
      </c>
      <c r="C136" s="46" t="inlineStr">
        <is>
          <t>CJK Unified Ideographs Extension A</t>
        </is>
      </c>
      <c r="D136" s="54">
        <f>HEX2DEC(MID(B136,3,FIND("-",E136)-3))</f>
        <v/>
      </c>
      <c r="E136" s="46" t="inlineStr">
        <is>
          <t>U+3400-U+4DBF</t>
        </is>
      </c>
      <c r="F136" s="12" t="n">
        <v>3</v>
      </c>
      <c r="J136" s="19">
        <f>ROUNDDOWN(W136,0)/$V136</f>
        <v/>
      </c>
      <c r="K136" s="19">
        <f>ROUNDDOWN(X136,0)/$V136</f>
        <v/>
      </c>
      <c r="L136" s="19">
        <f>ROUNDDOWN(Y136,0)/$V136</f>
        <v/>
      </c>
      <c r="M136" s="19">
        <f>ROUNDDOWN(Z136,0)/$V136</f>
        <v/>
      </c>
      <c r="O136" s="36" t="inlineStr">
        <is>
          <t>䃦 䃧 䃨 䃩 䃪 䃫 䃬 䃭 䃮 䃯 䃰 䃱 䃲 䃳 䃴 䃵 䃶 䃷 䃸 䃹 䃺 䃻 䃼 䃽 䃾 䃿 䄀 䄁 䄂 䄃 䄄 䄅 䄆 䄇 䄈 䄉 䄊 䄋 䄌 䄍 䄎 䄏 䄐 䄑 䄒 䄓 䄔 䄕 䄖 䄗 䄘 䄙 䄚 䄛 䄜 䄝 䄞 䄟 䄠 䄡 䄢 䄣 䄤 䄥 䄦 䄧 䄨 䄩 䄪 䄫 䄬 䄭 䄮 䄯 䄰 䄱 䄲 䄳 䄴 䄵 䄶 䄷 䄸 䄹 䄺 䄻 䄼 䄽 䄾 䄿 䅀 䅁 䅂 䅃 䅄 䅅 䅆 䅇 䅈 䅉 䅊 䅋 䅌 䅍 䅎 䅏 䅐 䅑 䅒 䅓 䅔 䅕 䅖 䅗 䅘 䅙 䅚 䅛 䅜 䅝 䅞 䅟 䅠 䅡 䅢 䅣 䅤 䅥 䅦 䅧 䅨 䅩 䅪 䅫 䅬 䅭 䅮 䅯 䅰 䅱 䅲 䅳 䅴 䅵 䅶 䅷 䅸 䅹 䅺 䅻 䅼 䅽 䅾 䅿 䆀 䆁 䆂 䆃 䆄 䆅 䆆 䆇 䆈 䆉 䆊 䆋 䆌 䆍 䆎 䆏 䆐 䆑 䆒 䆓 䆔 䆕 䆖 䆗 䆘 䆙 䆚 䆛 䆜 䆝 䆞 䆟 䆠 䆡 䆢 䆣 䆤 䆥 䆦 䆧 䆨 䆩 䆪 䆫 䆬 䆭 䆮 䆯 䆰 䆱 䆲 䆳 䆴 䆵 䆶 䆷 䆸 䆹 䆺 䆻 䆼 䆽 䆾 䆿 䇀 䇁 䇂 䇃 䇄 䇅 䇆 䇇 䇈 䇉 䇊 䇋 䇌 䇍 䇎 䇏 䇐 䇑 䇒 䇓 䇔 䇕 䇖 䇗 䇘 䇙 䇚 䇛 䇜 䇝 䇞 䇟 䇠 䇡 䇢 䇣</t>
        </is>
      </c>
      <c r="P136" s="37" t="inlineStr">
        <is>
          <t>䃦 䃧 䃨 䃩 䃪 䃫 䃬 䃭 䃮 䃯 䃰 䃱 䃲 䃳 䃴 䃵 䃶 䃷 䃸 䃹 䃺 䃻 䃼 䃽 䃾 䃿 䄀 䄁 䄂 䄃 䄄 䄅 䄆 䄇 䄈 䄉 䄊 䄋 䄌 䄍 䄎 䄏 䄐 䄑 䄒 䄓 䄔 䄕 䄖 䄗 䄘 䄙 䄚 䄛 䄜 䄝 䄞 䄟 䄠 䄡 䄢 䄣 䄤 䄥 䄦 䄧 䄨 䄩 䄪 䄫 䄬 䄭 䄮 䄯 䄰 䄱 䄲 䄳 䄴 䄵 䄶 䄷 䄸 䄹 䄺 䄻 䄼 䄽 䄾 䄿 䅀 䅁 䅂 䅃 䅄 䅅 䅆 䅇 䅈 䅉 䅊 䅋 䅌 䅍 䅎 䅏 䅐 䅑 䅒 䅓 䅔 䅕 䅖 䅗 䅘 䅙 䅚 䅛 䅜 䅝 䅞 䅟 䅠 䅡 䅢 䅣 䅤 䅥 䅦 䅧 䅨 䅩 䅪 䅫 䅬 䅭 䅮 䅯 䅰 䅱 䅲 䅳 䅴 䅵 䅶 䅷 䅸 䅹 䅺 䅻 䅼 䅽 䅾 䅿 䆀 䆁 䆂 䆃 䆄 䆅 䆆 䆇 䆈 䆉 䆊 䆋 䆌 䆍 䆎 䆏 䆐 䆑 䆒 䆓 䆔 䆕 䆖 䆗 䆘 䆙 䆚 䆛 䆜 䆝 䆞 䆟 䆠 䆡 䆢 䆣 䆤 䆥 䆦 䆧 䆨 䆩 䆪 䆫 䆬 䆭 䆮 䆯 䆰 䆱 䆲 䆳 䆴 䆵 䆶 䆷 䆸 䆹 䆺 䆻 䆼 䆽 䆾 䆿 䇀 䇁 䇂 䇃 䇄 䇅 䇆 䇇 䇈 䇉 䇊 䇋 䇌 䇍 䇎 䇏 䇐 䇑 䇒 䇓 䇔 䇕 䇖 䇗 䇘 䇙 䇚 䇛 䇜 䇝 䇞 䇟 䇠 䇡 䇢 䇣</t>
        </is>
      </c>
      <c r="Q136" s="38" t="inlineStr">
        <is>
          <t>䃦 䃧 䃨 䃩 䃪 䃫 䃬 䃭 䃮 䃯 䃰 䃱 䃲 䃳 䃴 䃵 䃶 䃷 䃸 䃹 䃺 䃻 䃼 䃽 䃾 䃿 䄀 䄁 䄂 䄃 䄄 䄅 䄆 䄇 䄈 䄉 䄊 䄋 䄌 䄍 䄎 䄏 䄐 䄑 䄒 䄓 䄔 䄕 䄖 䄗 䄘 䄙 䄚 䄛 䄜 䄝 䄞 䄟 䄠 䄡 䄢 䄣 䄤 䄥 䄦 䄧 䄨 䄩 䄪 䄫 䄬 䄭 䄮 䄯 䄰 䄱 䄲 䄳 䄴 䄵 䄶 䄷 䄸 䄹 䄺 䄻 䄼 䄽 䄾 䄿 䅀 䅁 䅂 䅃 䅄 䅅 䅆 䅇 䅈 䅉 䅊 䅋 䅌 䅍 䅎 䅏 䅐 䅑 䅒 䅓 䅔 䅕 䅖 䅗 䅘 䅙 䅚 䅛 䅜 䅝 䅞 䅟 䅠 䅡 䅢 䅣 䅤 䅥 䅦 䅧 䅨 䅩 䅪 䅫 䅬 䅭 䅮 䅯 䅰 䅱 䅲 䅳 䅴 䅵 䅶 䅷 䅸 䅹 䅺 䅻 䅼 䅽 䅾 䅿 䆀 䆁 䆂 䆃 䆄 䆅 䆆 䆇 䆈 䆉 䆊 䆋 䆌 䆍 䆎 䆏 䆐 䆑 䆒 䆓 䆔 䆕 䆖 䆗 䆘 䆙 䆚 䆛 䆜 䆝 䆞 䆟 䆠 䆡 䆢 䆣 䆤 䆥 䆦 䆧 䆨 䆩 䆪 䆫 䆬 䆭 䆮 䆯 䆰 䆱 䆲 䆳 䆴 䆵 䆶 䆷 䆸 䆹 䆺 䆻 䆼 䆽 䆾 䆿 䇀 䇁 䇂 䇃 䇄 䇅 䇆 䇇 䇈 䇉 䇊 䇋 䇌 䇍 䇎 䇏 䇐 䇑 䇒 䇓 䇔 䇕 䇖 䇗 䇘 䇙 䇚 䇛 䇜 䇝 䇞 䇟 䇠 䇡 䇢 䇣</t>
        </is>
      </c>
      <c r="R136" s="43" t="inlineStr">
        <is>
          <t>䃦 䃧 䃨 䃩 䃫 䃬 䃭 䃮 䃯 䃰 䃱 䃲 䃵 䃶 䃷 䃸 䃺 䃻 䃽 䃿 䄀 䄁 䄃 䄅 䄆 䄇 䄈 䄉 䄊 䄋 䄌 䄍 䄎 䄏 䄑 䄒 䄓 䄔 䄕 䄖 䄗 䄘 䄙 䄚 䄛 䄜 䄝 䄞 䄟 䄠 䄡 䄢 䄣 䄤 䄥 䄦 䄧 䄨 䄩 䄪 䄫 䄬 䄭 䄮 䄯 䄰 䄱 䄳 䄴 䄵 䄶 䄷 䄹 䄺 䄾 䄿 䅁 䅂 䅃 䅄 䅅 䅆 䅇 䅈 䅉 䅊 䅋 䅍 䅎 䅏 䅐 䅑 䅒 䅓 䅔 䅕 䅖 䅗 䅘 䅚 䅜 䅝 䅞 䅟 䅠 䅢 䅣 䅥 䅦 䅧 䅨 䅩 䅪 䅫 䅬 䅭 䅮 䅯 䅰 䅱 䅲 䅳 䅴 䅵 䅶 䅷 䅸 䅹 䅺 䅻 䅼 䅽 䅾 䅿 䆀 䆁 䆂 䆃 䆅 䆆 䆇 䆈 䆊 䆋 䆌 䆎 䆏 䆐 䆑 䆒 䆓 䆔 䆕 䆖 䆗 䆘 䆙 䆚 䆛 䆜 䆝 䆞 䆟 䆠 䆡 䆢 䆣 䆤 䆥 䆦 䆧 䆨 䆩 䆪 䆫 䆬 䆭 䆮 䆯 䆰 䆱 䆲 䆳 䆴 䆵 䆶 䆷 䆸 䆹 䆺 䆻 䆼 䆽 䆾 䆿 䇀 䇁 䇂 䇄 䇅 䇆 䇈 䇉 䇊 䇋 䇍 䇏 䇐 䇑 䇒 䇓 䇔 䇕 䇖 䇗 䇘 䇙 䇚 䇛 䇜 䇝 䇞 䇟 䇠 䇡 䇢 䇣</t>
        </is>
      </c>
      <c r="S136" s="40" t="n"/>
      <c r="V136" s="14">
        <f>(LEN(O136)+1)/2</f>
        <v/>
      </c>
      <c r="W136" s="14">
        <f>ROUNDDOWN((LEN(P136)+1)/2,0)</f>
        <v/>
      </c>
      <c r="X136" s="14">
        <f>ROUNDDOWN((LEN(Q136)+1)/2,0)</f>
        <v/>
      </c>
      <c r="Y136" s="14">
        <f>ROUNDDOWN((LEN(R136)+1)/2,0)</f>
        <v/>
      </c>
      <c r="Z136" s="14">
        <f>ROUNDDOWN((LEN(S136)+1)/2,0)</f>
        <v/>
      </c>
      <c r="AA136" s="56" t="n">
        <v>46150.55830918625</v>
      </c>
    </row>
    <row r="137" ht="102" customHeight="1">
      <c r="B137" s="46" t="inlineStr">
        <is>
          <t>U+41E4-U+42E0</t>
        </is>
      </c>
      <c r="C137" s="46" t="inlineStr">
        <is>
          <t>CJK Unified Ideographs Extension A</t>
        </is>
      </c>
      <c r="D137" s="54">
        <f>HEX2DEC(MID(B137,3,FIND("-",E137)-3))</f>
        <v/>
      </c>
      <c r="E137" s="46" t="inlineStr">
        <is>
          <t>U+3400-U+4DBF</t>
        </is>
      </c>
      <c r="F137" s="12" t="n">
        <v>3</v>
      </c>
      <c r="J137" s="19">
        <f>ROUNDDOWN(W137,0)/$V137</f>
        <v/>
      </c>
      <c r="K137" s="19">
        <f>ROUNDDOWN(X137,0)/$V137</f>
        <v/>
      </c>
      <c r="L137" s="19">
        <f>ROUNDDOWN(Y137,0)/$V137</f>
        <v/>
      </c>
      <c r="M137" s="19">
        <f>ROUNDDOWN(Z137,0)/$V137</f>
        <v/>
      </c>
      <c r="O137" s="36" t="inlineStr">
        <is>
          <t>䇤 䇥 䇦 䇧 䇨 䇩 䇪 䇫 䇬 䇭 䇮 䇯 䇰 䇱 䇲 䇳 䇴 䇵 䇶 䇷 䇸 䇹 䇺 䇻 䇼 䇽 䇾 䇿 䈀 䈁 䈂 䈃 䈄 䈅 䈆 䈇 䈈 䈉 䈊 䈋 䈌 䈍 䈎 䈏 䈐 䈑 䈒 䈓 䈔 䈕 䈖 䈗 䈘 䈙 䈚 䈛 䈜 䈝 䈞 䈟 䈠 䈡 䈢 䈣 䈤 䈥 䈦 䈧 䈨 䈩 䈪 䈫 䈬 䈭 䈮 䈯 䈰 䈱 䈲 䈳 䈴 䈵 䈶 䈷 䈸 䈹 䈺 䈻 䈼 䈽 䈾 䈿 䉀 䉁 䉂 䉃 䉄 䉅 䉆 䉇 䉈 䉉 䉊 䉋 䉌 䉍 䉎 䉏 䉐 䉑 䉒 䉓 䉔 䉕 䉖 䉗 䉘 䉙 䉚 䉛 䉜 䉝 䉞 䉟 䉠 䉡 䉢 䉣 䉤 䉥 䉦 䉧 䉨 䉩 䉪 䉫 䉬 䉭 䉮 䉯 䉰 䉱 䉲 䉳 䉴 䉵 䉶 䉷 䉸 䉹 䉺 䉻 䉼 䉽 䉾 䉿 䊀 䊁 䊂 䊃 䊄 䊅 䊆 䊇 䊈 䊉 䊊 䊋 䊌 䊍 䊎 䊏 䊐 䊑 䊒 䊓 䊔 䊕 䊖 䊗 䊘 䊙 䊚 䊛 䊜 䊝 䊞 䊟 䊠 䊡 䊢 䊣 䊤 䊥 䊦 䊧 䊨 䊩 䊪 䊫 䊬 䊭 䊮 䊯 䊰 䊱 䊲 䊳 䊴 䊵 䊶 䊷 䊸 䊹 䊺 䊻 䊼 䊽 䊾 䊿 䋀 䋁 䋂 䋃 䋄 䋅 䋆 䋇 䋈 䋉 䋊 䋋 䋌 䋍 䋎 䋏 䋐 䋑 䋒 䋓 䋔 䋕 䋖 䋗 䋘 䋙 䋚 䋛 䋜 䋝 䋞 䋟 䋠</t>
        </is>
      </c>
      <c r="P137" s="37" t="inlineStr">
        <is>
          <t>䇤 䇥 䇦 䇧 䇨 䇩 䇪 䇫 䇬 䇭 䇮 䇯 䇰 䇱 䇲 䇳 䇴 䇵 䇶 䇷 䇸 䇹 䇺 䇻 䇼 䇽 䇾 䇿 䈀 䈁 䈂 䈃 䈄 䈅 䈆 䈇 䈈 䈉 䈊 䈋 䈌 䈍 䈎 䈏 䈐 䈑 䈒 䈓 䈔 䈕 䈖 䈗 䈘 䈙 䈚 䈛 䈜 䈝 䈞 䈟 䈠 䈡 䈢 䈣 䈤 䈥 䈦 䈧 䈨 䈩 䈪 䈫 䈬 䈭 䈮 䈯 䈰 䈱 䈲 䈳 䈴 䈵 䈶 䈷 䈸 䈹 䈺 䈻 䈼 䈽 䈾 䈿 䉀 䉁 䉂 䉃 䉄 䉅 䉆 䉇 䉈 䉉 䉊 䉋 䉌 䉍 䉎 䉏 䉐 䉑 䉒 䉓 䉔 䉕 䉖 䉗 䉘 䉙 䉚 䉛 䉜 䉝 䉞 䉟 䉠 䉡 䉢 䉣 䉤 䉥 䉦 䉧 䉨 䉩 䉪 䉫 䉬 䉭 䉮 䉯 䉰 䉱 䉲 䉳 䉴 䉵 䉶 䉷 䉸 䉹 䉺 䉻 䉼 䉽 䉾 䉿 䊀 䊁 䊂 䊃 䊄 䊅 䊆 䊇 䊈 䊉 䊊 䊋 䊌 䊍 䊎 䊏 䊐 䊑 䊒 䊓 䊔 䊕 䊖 䊗 䊘 䊙 䊚 䊛 䊜 䊝 䊞 䊟 䊠 䊡 䊢 䊣 䊤 䊥 䊦 䊧 䊨 䊩 䊪 䊫 䊬 䊭 䊮 䊯 䊰 䊱 䊲 䊳 䊴 䊵 䊶 䊷 䊸 䊹 䊺 䊻 䊼 䊽 䊾 䊿 䋀 䋁 䋂 䋃 䋄 䋅 䋆 䋇 䋈 䋉 䋊 䋋 䋌 䋍 䋎 䋏 䋐 䋑 䋒 䋓 䋔 䋕 䋖 䋗 䋘 䋙 䋚 䋛 䋜 䋝 䋞 䋟 䋠</t>
        </is>
      </c>
      <c r="Q137" s="38" t="inlineStr">
        <is>
          <t>䇤 䇥 䇦 䇧 䇨 䇩 䇪 䇫 䇬 䇭 䇮 䇯 䇰 䇱 䇲 䇳 䇴 䇵 䇶 䇷 䇸 䇹 䇺 䇻 䇼 䇽 䇾 䇿 䈀 䈁 䈂 䈃 䈄 䈅 䈆 䈇 䈈 䈉 䈊 䈋 䈌 䈍 䈎 䈏 䈐 䈑 䈒 䈓 䈔 䈕 䈖 䈗 䈘 䈙 䈚 䈛 䈜 䈝 䈞 䈟 䈠 䈡 䈢 䈣 䈤 䈥 䈦 䈧 䈨 䈩 䈪 䈫 䈬 䈭 䈮 䈯 䈰 䈱 䈲 䈳 䈴 䈵 䈶 䈷 䈸 䈹 䈺 䈻 䈼 䈽 䈾 䈿 䉀 䉁 䉂 䉃 䉄 䉅 䉆 䉇 䉈 䉉 䉊 䉋 䉌 䉍 䉎 䉏 䉐 䉑 䉒 䉓 䉔 䉕 䉖 䉗 䉘 䉙 䉚 䉛 䉜 䉝 䉞 䉟 䉠 䉡 䉢 䉣 䉤 䉥 䉦 䉧 䉨 䉩 䉪 䉫 䉬 䉭 䉮 䉯 䉰 䉱 䉲 䉳 䉴 䉵 䉶 䉷 䉸 䉹 䉺 䉻 䉼 䉽 䉾 䉿 䊀 䊁 䊂 䊃 䊄 䊅 䊆 䊇 䊈 䊉 䊊 䊋 䊌 䊍 䊎 䊏 䊐 䊑 䊒 䊓 䊔 䊕 䊖 䊗 䊘 䊙 䊚 䊛 䊜 䊝 䊞 䊟 䊠 䊡 䊢 䊣 䊤 䊥 䊦 䊧 䊨 䊩 䊪 䊫 䊬 䊭 䊮 䊯 䊰 䊱 䊲 䊳 䊴 䊵 䊶 䊷 䊸 䊹 䊺 䊻 䊼 䊽 䊾 䊿 䋀 䋁 䋂 䋃 䋄 䋅 䋆 䋇 䋈 䋉 䋊 䋋 䋌 䋍 䋎 䋏 䋐 䋑 䋒 䋓 䋔 䋕 䋖 䋗 䋘 䋙 䋚 䋛 䋜 䋝 䋞 䋟 䋠</t>
        </is>
      </c>
      <c r="R137" s="43" t="inlineStr">
        <is>
          <t>䇤 䇥 䇦 䇧 䇨 䇩 䇪 䇫 䇬 䇭 䇮 䇯 䇰 䇱 䇲 䇳 䇴 䇵 䇶 䇷 䇸 䇹 䇺 䇻 䇼 䇽 䇾 䇿 䈀 䈁 䈂 䈃 䈄 䈅 䈆 䈇 䈈 䈉 䈊 䈋 䈌 䈍 䈎 䈏 䈐 䈑 䈒 䈓 䈔 䈕 䈖 䈗 䈘 䈙 䈚 䈛 䈜 䈝 䈞 䈟 䈠 䈡 䈢 䈣 䈤 䈥 䈦 䈧 䈨 䈩 䈪 䈫 䈬 䈭 䈮 䈯 䈰 䈱 䈲 䈳 䈴 䈵 䈶 䈷 䈸 䈹 䈺 䈻 䈼 䈽 䈾 䈿 䉀 䉁 䉂 䉃 䉄 䉅 䉆 䉇 䉈 䉉 䉊 䉋 䉌 䉍 䉎 䉏 䉐 䉑 䉒 䉓 䉔 䉕 䉖 䉗 䉘 䉙 䉚 䉛 䉜 䉝 䉞 䉟 䉠 䉡 䉢 䉣 䉤 䉥 䉦 䉧 䉨 䉩 䉪 䉫 䉬 䉭 䉮 䉯 䉰 䉱 䉲 䉳 䉴 䉵 䉶 䉷 䉸 䉹 䉺 䉼 䉽 䉾 䊀 䊁 䊂 䊃 䊄 䊅 䊆 䊈 䊉 䊊 䊋 䊌 䊍 䊎 䊏 䊒 䊓 䊕 䊗 䊙 䊚 䊛 䊜 䊝 䊠 䊡 䊢 䊣 䊤 䊥 䊦 䊧 䊨 䊩 䊪 䊫 䊬 䊭 䊮 䊯 䊱 䊲 䊳 䊴 䊵 䊶 䊷 䊸 䊹 䊻 䊼 䊽 䊾 䊿 䋀 䋁 䋂 䋃 䋆 䋇 䋈 䋉 䋊 䋎 䋏 䋒 䋓 䋔 䋕 䋘 䋙 䋛 䋜 䋝 䋟</t>
        </is>
      </c>
      <c r="S137" s="40" t="n"/>
      <c r="V137" s="14">
        <f>(LEN(O137)+1)/2</f>
        <v/>
      </c>
      <c r="W137" s="14">
        <f>ROUNDDOWN((LEN(P137)+1)/2,0)</f>
        <v/>
      </c>
      <c r="X137" s="14">
        <f>ROUNDDOWN((LEN(Q137)+1)/2,0)</f>
        <v/>
      </c>
      <c r="Y137" s="14">
        <f>ROUNDDOWN((LEN(R137)+1)/2,0)</f>
        <v/>
      </c>
      <c r="Z137" s="14">
        <f>ROUNDDOWN((LEN(S137)+1)/2,0)</f>
        <v/>
      </c>
      <c r="AA137" s="56" t="n">
        <v>46150.55831216403</v>
      </c>
    </row>
    <row r="138" ht="102" customHeight="1">
      <c r="B138" s="46" t="inlineStr">
        <is>
          <t>U+42E1-U+43DD</t>
        </is>
      </c>
      <c r="C138" s="46" t="inlineStr">
        <is>
          <t>CJK Unified Ideographs Extension A</t>
        </is>
      </c>
      <c r="D138" s="54">
        <f>HEX2DEC(MID(B138,3,FIND("-",E138)-3))</f>
        <v/>
      </c>
      <c r="E138" s="46" t="inlineStr">
        <is>
          <t>U+3400-U+4DBF</t>
        </is>
      </c>
      <c r="F138" s="12" t="n">
        <v>3</v>
      </c>
      <c r="J138" s="19">
        <f>ROUNDDOWN(W138,0)/$V138</f>
        <v/>
      </c>
      <c r="K138" s="19">
        <f>ROUNDDOWN(X138,0)/$V138</f>
        <v/>
      </c>
      <c r="L138" s="19">
        <f>ROUNDDOWN(Y138,0)/$V138</f>
        <v/>
      </c>
      <c r="M138" s="19">
        <f>ROUNDDOWN(Z138,0)/$V138</f>
        <v/>
      </c>
      <c r="O138" s="36" t="inlineStr">
        <is>
          <t>䋡 䋢 䋣 䋤 䋥 䋦 䋧 䋨 䋩 䋪 䋫 䋬 䋭 䋮 䋯 䋰 䋱 䋲 䋳 䋴 䋵 䋶 䋷 䋸 䋹 䋺 䋻 䋼 䋽 䋾 䋿 䌀 䌁 䌂 䌃 䌄 䌅 䌆 䌇 䌈 䌉 䌊 䌋 䌌 䌍 䌎 䌏 䌐 䌑 䌒 䌓 䌔 䌕 䌖 䌗 䌘 䌙 䌚 䌛 䌜 䌝 䌞 䌟 䌠 䌡 䌢 䌣 䌤 䌥 䌦 䌧 䌨 䌩 䌪 䌫 䌬 䌭 䌮 䌯 䌰 䌱 䌲 䌳 䌴 䌵 䌶 䌷 䌸 䌹 䌺 䌻 䌼 䌽 䌾 䌿 䍀 䍁 䍂 䍃 䍄 䍅 䍆 䍇 䍈 䍉 䍊 䍋 䍌 䍍 䍎 䍏 䍐 䍑 䍒 䍓 䍔 䍕 䍖 䍗 䍘 䍙 䍚 䍛 䍜 䍝 䍞 䍟 䍠 䍡 䍢 䍣 䍤 䍥 䍦 䍧 䍨 䍩 䍪 䍫 䍬 䍭 䍮 䍯 䍰 䍱 䍲 䍳 䍴 䍵 䍶 䍷 䍸 䍹 䍺 䍻 䍼 䍽 䍾 䍿 䎀 䎁 䎂 䎃 䎄 䎅 䎆 䎇 䎈 䎉 䎊 䎋 䎌 䎍 䎎 䎏 䎐 䎑 䎒 䎓 䎔 䎕 䎖 䎗 䎘 䎙 䎚 䎛 䎜 䎝 䎞 䎟 䎠 䎡 䎢 䎣 䎤 䎥 䎦 䎧 䎨 䎩 䎪 䎫 䎬 䎭 䎮 䎯 䎰 䎱 䎲 䎳 䎴 䎵 䎶 䎷 䎸 䎹 䎺 䎻 䎼 䎽 䎾 䎿 䏀 䏁 䏂 䏃 䏄 䏅 䏆 䏇 䏈 䏉 䏊 䏋 䏌 䏍 䏎 䏏 䏐 䏑 䏒 䏓 䏔 䏕 䏖 䏗 䏘 䏙 䏚 䏛 䏜 䏝</t>
        </is>
      </c>
      <c r="P138" s="37" t="inlineStr">
        <is>
          <t>䋡 䋢 䋣 䋤 䋥 䋦 䋧 䋨 䋩 䋪 䋫 䋬 䋭 䋮 䋯 䋰 䋱 䋲 䋳 䋴 䋵 䋶 䋷 䋸 䋹 䋺 䋻 䋼 䋽 䋾 䋿 䌀 䌁 䌂 䌃 䌄 䌅 䌆 䌇 䌈 䌉 䌊 䌋 䌌 䌍 䌎 䌏 䌐 䌑 䌒 䌓 䌔 䌕 䌖 䌗 䌘 䌙 䌚 䌛 䌜 䌝 䌞 䌟 䌠 䌡 䌢 䌣 䌤 䌥 䌦 䌧 䌨 䌩 䌪 䌫 䌬 䌭 䌮 䌯 䌰 䌱 䌲 䌳 䌴 䌵 䌶 䌷 䌸 䌹 䌺 䌻 䌼 䌽 䌾 䌿 䍀 䍁 䍂 䍃 䍄 䍅 䍆 䍇 䍈 䍉 䍊 䍋 䍌 䍍 䍎 䍏 䍐 䍑 䍒 䍓 䍔 䍕 䍖 䍗 䍘 䍙 䍚 䍛 䍜 䍝 䍞 䍟 䍠 䍡 䍢 䍣 䍤 䍥 䍦 䍧 䍨 䍩 䍪 䍫 䍬 䍭 䍮 䍯 䍰 䍱 䍲 䍳 䍴 䍵 䍶 䍷 䍸 䍹 䍺 䍻 䍼 䍽 䍾 䍿 䎀 䎁 䎂 䎃 䎄 䎅 䎆 䎇 䎈 䎉 䎊 䎋 䎌 䎍 䎎 䎏 䎐 䎑 䎒 䎓 䎔 䎕 䎖 䎗 䎘 䎙 䎚 䎛 䎜 䎝 䎞 䎟 䎠 䎡 䎢 䎣 䎤 䎥 䎦 䎧 䎨 䎩 䎪 䎫 䎬 䎭 䎮 䎯 䎰 䎱 䎲 䎳 䎴 䎵 䎶 䎷 䎸 䎹 䎺 䎻 䎼 䎽 䎾 䎿 䏀 䏁 䏂 䏃 䏄 䏅 䏆 䏇 䏈 䏉 䏊 䏋 䏌 䏍 䏎 䏏 䏐 䏑 䏒 䏓 䏔 䏕 䏖 䏗 䏘 䏙 䏚 䏛 䏜 䏝</t>
        </is>
      </c>
      <c r="Q138" s="38" t="inlineStr">
        <is>
          <t>䋡 䋢 䋣 䋤 䋥 䋦 䋧 䋨 䋩 䋪 䋫 䋬 䋭 䋮 䋯 䋰 䋱 䋲 䋳 䋴 䋵 䋶 䋷 䋸 䋹 䋺 䋻 䋼 䋽 䋾 䋿 䌀 䌁 䌂 䌃 䌄 䌅 䌆 䌇 䌈 䌉 䌊 䌋 䌌 䌍 䌎 䌏 䌐 䌑 䌒 䌓 䌔 䌕 䌖 䌗 䌘 䌙 䌚 䌛 䌜 䌝 䌞 䌟 䌠 䌡 䌢 䌣 䌤 䌥 䌦 䌧 䌨 䌩 䌪 䌫 䌬 䌭 䌮 䌯 䌰 䌱 䌲 䌳 䌴 䌵 䌶 䌷 䌸 䌹 䌺 䌻 䌼 䌽 䌾 䌿 䍀 䍁 䍂 䍃 䍄 䍅 䍆 䍇 䍈 䍉 䍊 䍋 䍌 䍍 䍎 䍏 䍐 䍑 䍒 䍓 䍔 䍕 䍖 䍗 䍘 䍙 䍚 䍛 䍜 䍝 䍞 䍟 䍠 䍡 䍢 䍣 䍤 䍥 䍦 䍧 䍨 䍩 䍪 䍫 䍬 䍭 䍮 䍯 䍰 䍱 䍲 䍳 䍴 䍵 䍶 䍷 䍸 䍹 䍺 䍻 䍼 䍽 䍾 䍿 䎀 䎁 䎂 䎃 䎄 䎅 䎆 䎇 䎈 䎉 䎊 䎋 䎌 䎍 䎎 䎏 䎐 䎑 䎒 䎓 䎔 䎕 䎖 䎗 䎘 䎙 䎚 䎛 䎜 䎝 䎞 䎟 䎠 䎡 䎢 䎣 䎤 䎥 䎦 䎧 䎨 䎩 䎪 䎫 䎬 䎭 䎮 䎯 䎰 䎱 䎲 䎳 䎴 䎵 䎶 䎷 䎸 䎹 䎺 䎻 䎼 䎽 䎾 䎿 䏀 䏁 䏂 䏃 䏄 䏅 䏆 䏇 䏈 䏉 䏊 䏋 䏌 䏍 䏎 䏏 䏐 䏑 䏒 䏓 䏔 䏕 䏖 䏗 䏘 䏙 䏚 䏛 䏜 䏝</t>
        </is>
      </c>
      <c r="R138" s="43" t="inlineStr">
        <is>
          <t>䋡 䋢 䋣 䋤 䋥 䋦 䋧 䋨 䋩 䋫 䋬 䋭 䋮 䋯 䋰 䋱 䋳 䋴 䋵 䋶 䋷 䋸 䋺 䋼 䋽 䋾 䌀 䌁 䌂 䌄 䌅 䌆 䌇 䌉 䌋 䌌 䌍 䌎 䌏 䌐 䌒 䌓 䌕 䌖 䌗 䌘 䌙 䌚 䌛 䌜 䌝 䌞 䌟 䌠 䌡 䌣 䌤 䌥 䌦 䌨 䌩 䌫 䌭 䌮 䌯 䌰 䌱 䌲 䌳 䌴 䌵 䌸 䌺 䌼 䌽 䍀 䍁 䍂 䍃 䍄 䍅 䍆 䍇 䍈 䍉 䍊 䍋 䍌 䍍 䍎 䍏 䍐 䍑 䍒 䍓 䍔 䍕 䍖 䍗 䍘 䍙 䍚 䍛 䍜 䍝 䍞 䍟 䍠 䍡 䍢 䍣 䍤 䍥 䍦 䍩 䍪 䍫 䍬 䍭 䍯 䍱 䍲 䍳 䍵 䍶 䍷 䍸 䍹 䍺 䍼 䍽 䍾 䍿 䎁 䎂 䎃 䎆 䎈 䎉 䎊 䎋 䎌 䎏 䎐 䎒 䎓 䎔 䎕 䎗 䎘 䎙 䎚 䎛 䎜 䎝 䎞 䎟 䎠 䎡 䎢 䎤 䎥 䎦 䎨 䎩 䎪 䎬 䎭 䎯 䎰 䎲 䎳 䎴 䎵 䎷 䎹 䎺 䎻 䎼 䎾 䎿 䏁 䏂 䏄 䏅 䏆 䏇 䏈 䏉 䏋 䏌 䏍 䏎 䏏 䏐 䏑 䏒 䏔 䏕 䏗 䏙 䏚 䏛 䏜 䏝</t>
        </is>
      </c>
      <c r="S138" s="40" t="n"/>
      <c r="V138" s="14">
        <f>(LEN(O138)+1)/2</f>
        <v/>
      </c>
      <c r="W138" s="14">
        <f>ROUNDDOWN((LEN(P138)+1)/2,0)</f>
        <v/>
      </c>
      <c r="X138" s="14">
        <f>ROUNDDOWN((LEN(Q138)+1)/2,0)</f>
        <v/>
      </c>
      <c r="Y138" s="14">
        <f>ROUNDDOWN((LEN(R138)+1)/2,0)</f>
        <v/>
      </c>
      <c r="Z138" s="14">
        <f>ROUNDDOWN((LEN(S138)+1)/2,0)</f>
        <v/>
      </c>
      <c r="AA138" s="56" t="n">
        <v>46150.55831514999</v>
      </c>
    </row>
    <row r="139" ht="102" customHeight="1">
      <c r="B139" s="46" t="inlineStr">
        <is>
          <t>U+43DE-U+44DA</t>
        </is>
      </c>
      <c r="C139" s="46" t="inlineStr">
        <is>
          <t>CJK Unified Ideographs Extension A</t>
        </is>
      </c>
      <c r="D139" s="54">
        <f>HEX2DEC(MID(B139,3,FIND("-",E139)-3))</f>
        <v/>
      </c>
      <c r="E139" s="46" t="inlineStr">
        <is>
          <t>U+3400-U+4DBF</t>
        </is>
      </c>
      <c r="F139" s="12" t="n">
        <v>3</v>
      </c>
      <c r="J139" s="19">
        <f>ROUNDDOWN(W139,0)/$V139</f>
        <v/>
      </c>
      <c r="K139" s="19">
        <f>ROUNDDOWN(X139,0)/$V139</f>
        <v/>
      </c>
      <c r="L139" s="19">
        <f>ROUNDDOWN(Y139,0)/$V139</f>
        <v/>
      </c>
      <c r="M139" s="19">
        <f>ROUNDDOWN(Z139,0)/$V139</f>
        <v/>
      </c>
      <c r="O139" s="36" t="inlineStr">
        <is>
          <t>䏞 䏟 䏠 䏡 䏢 䏣 䏤 䏥 䏦 䏧 䏨 䏩 䏪 䏫 䏬 䏭 䏮 䏯 䏰 䏱 䏲 䏳 䏴 䏵 䏶 䏷 䏸 䏹 䏺 䏻 䏼 䏽 䏾 䏿 䐀 䐁 䐂 䐃 䐄 䐅 䐆 䐇 䐈 䐉 䐊 䐋 䐌 䐍 䐎 䐏 䐐 䐑 䐒 䐓 䐔 䐕 䐖 䐗 䐘 䐙 䐚 䐛 䐜 䐝 䐞 䐟 䐠 䐡 䐢 䐣 䐤 䐥 䐦 䐧 䐨 䐩 䐪 䐫 䐬 䐭 䐮 䐯 䐰 䐱 䐲 䐳 䐴 䐵 䐶 䐷 䐸 䐹 䐺 䐻 䐼 䐽 䐾 䐿 䑀 䑁 䑂 䑃 䑄 䑅 䑆 䑇 䑈 䑉 䑊 䑋 䑌 䑍 䑎 䑏 䑐 䑑 䑒 䑓 䑔 䑕 䑖 䑗 䑘 䑙 䑚 䑛 䑜 䑝 䑞 䑟 䑠 䑡 䑢 䑣 䑤 䑥 䑦 䑧 䑨 䑩 䑪 䑫 䑬 䑭 䑮 䑯 䑰 䑱 䑲 䑳 䑴 䑵 䑶 䑷 䑸 䑹 䑺 䑻 䑼 䑽 䑾 䑿 䒀 䒁 䒂 䒃 䒄 䒅 䒆 䒇 䒈 䒉 䒊 䒋 䒌 䒍 䒎 䒏 䒐 䒑 䒒 䒓 䒔 䒕 䒖 䒗 䒘 䒙 䒚 䒛 䒜 䒝 䒞 䒟 䒠 䒡 䒢 䒣 䒤 䒥 䒦 䒧 䒨 䒩 䒪 䒫 䒬 䒭 䒮 䒯 䒰 䒱 䒲 䒳 䒴 䒵 䒶 䒷 䒸 䒹 䒺 䒻 䒼 䒽 䒾 䒿 䓀 䓁 䓂 䓃 䓄 䓅 䓆 䓇 䓈 䓉 䓊 䓋 䓌 䓍 䓎 䓏 䓐 䓑 䓒 䓓 䓔 䓕 䓖 䓗 䓘 䓙 䓚</t>
        </is>
      </c>
      <c r="P139" s="37" t="inlineStr">
        <is>
          <t>䏞 䏟 䏠 䏡 䏢 䏣 䏤 䏥 䏦 䏧 䏨 䏩 䏪 䏫 䏬 䏭 䏮 䏯 䏰 䏱 䏲 䏳 䏴 䏵 䏶 䏷 䏸 䏹 䏺 䏻 䏼 䏽 䏾 䏿 䐀 䐁 䐂 䐃 䐄 䐅 䐆 䐇 䐈 䐉 䐊 䐋 䐌 䐍 䐎 䐏 䐐 䐑 䐒 䐓 䐔 䐕 䐖 䐗 䐘 䐙 䐚 䐛 䐜 䐝 䐞 䐟 䐠 䐡 䐢 䐣 䐤 䐥 䐦 䐧 䐨 䐩 䐪 䐫 䐬 䐭 䐮 䐯 䐰 䐱 䐲 䐳 䐴 䐵 䐶 䐷 䐸 䐹 䐺 䐻 䐼 䐽 䐾 䐿 䑀 䑁 䑂 䑃 䑄 䑅 䑆 䑇 䑈 䑉 䑊 䑋 䑌 䑍 䑎 䑏 䑐 䑑 䑒 䑓 䑔 䑕 䑖 䑗 䑘 䑙 䑚 䑛 䑜 䑝 䑞 䑟 䑠 䑡 䑢 䑣 䑤 䑥 䑦 䑧 䑨 䑩 䑪 䑫 䑬 䑭 䑮 䑯 䑰 䑱 䑲 䑳 䑴 䑵 䑶 䑷 䑸 䑹 䑺 䑻 䑼 䑽 䑾 䑿 䒀 䒁 䒂 䒃 䒄 䒅 䒆 䒇 䒈 䒉 䒊 䒋 䒌 䒍 䒎 䒏 䒐 䒑 䒒 䒓 䒔 䒕 䒖 䒗 䒘 䒙 䒚 䒛 䒜 䒝 䒞 䒟 䒠 䒡 䒢 䒣 䒤 䒥 䒦 䒧 䒨 䒩 䒪 䒫 䒬 䒭 䒮 䒯 䒰 䒱 䒲 䒳 䒴 䒵 䒶 䒷 䒸 䒹 䒺 䒻 䒼 䒽 䒾 䒿 䓀 䓁 䓂 䓃 䓄 䓅 䓆 䓇 䓈 䓉 䓊 䓋 䓌 䓍 䓎 䓏 䓐 䓑 䓒 䓓 䓔 䓕 䓖 䓗 䓘 䓙 䓚</t>
        </is>
      </c>
      <c r="Q139" s="38" t="inlineStr">
        <is>
          <t>䏞 䏟 䏠 䏡 䏢 䏣 䏤 䏥 䏦 䏧 䏨 䏩 䏪 䏫 䏬 䏭 䏮 䏯 䏰 䏱 䏲 䏳 䏴 䏵 䏶 䏷 䏸 䏹 䏺 䏻 䏼 䏽 䏾 䏿 䐀 䐁 䐂 䐃 䐄 䐅 䐆 䐇 䐈 䐉 䐊 䐋 䐌 䐍 䐎 䐏 䐐 䐑 䐒 䐓 䐔 䐕 䐖 䐗 䐘 䐙 䐚 䐛 䐜 䐝 䐞 䐟 䐠 䐡 䐢 䐣 䐤 䐥 䐦 䐧 䐨 䐩 䐪 䐫 䐬 䐭 䐮 䐯 䐰 䐱 䐲 䐳 䐴 䐵 䐶 䐷 䐸 䐹 䐺 䐻 䐼 䐽 䐾 䐿 䑀 䑁 䑂 䑃 䑄 䑅 䑆 䑇 䑈 䑉 䑊 䑋 䑌 䑍 䑎 䑏 䑐 䑑 䑒 䑓 䑔 䑕 䑖 䑗 䑘 䑙 䑚 䑛 䑜 䑝 䑞 䑟 䑠 䑡 䑢 䑣 䑤 䑥 䑦 䑧 䑨 䑩 䑪 䑫 䑬 䑭 䑮 䑯 䑰 䑱 䑲 䑳 䑴 䑵 䑶 䑷 䑸 䑹 䑺 䑻 䑼 䑽 䑾 䑿 䒀 䒁 䒂 䒃 䒄 䒅 䒆 䒇 䒈 䒉 䒊 䒋 䒌 䒍 䒎 䒏 䒐 䒑 䒒 䒓 䒔 䒕 䒖 䒗 䒘 䒙 䒚 䒛 䒜 䒝 䒞 䒟 䒠 䒡 䒢 䒣 䒤 䒥 䒦 䒧 䒨 䒩 䒪 䒫 䒬 䒭 䒮 䒯 䒰 䒱 䒲 䒳 䒴 䒵 䒶 䒷 䒸 䒹 䒺 䒻 䒼 䒽 䒾 䒿 䓀 䓁 䓂 䓃 䓄 䓅 䓆 䓇 䓈 䓉 䓊 䓋 䓌 䓍 䓎 䓏 䓐 䓑 䓒 䓓 䓔 䓕 䓖 䓗 䓘 䓙 䓚</t>
        </is>
      </c>
      <c r="R139" s="43" t="inlineStr">
        <is>
          <t>䏞 䏟 䏡 䏢 䏣 䏥 䏦 䏩 䏪 䏫 䏯 䏰 䏱 䏲 䏳 䏵 䏶 䏷 䏹 䏺 䏻 䏽 䏾 䏿 䐀 䐄 䐅 䐆 䐇 䐈 䐉 䐋 䐌 䐍 䐎 䐏 䐐 䐑 䐒 䐔 䐕 䐖 䐗 䐛 䐠 䐡 䐢 䐤 䐥 䐦 䐨 䐩 䐪 䐫 䐬 䐭 䐮 䐯 䐰 䐳 䐴 䐵 䐶 䐸 䐹 䐾 䑀 䑁 䑂 䑄 䑆 䑇 䑉 䑊 䑍 䑎 䑏 䑐 䑒 䑓 䑕 䑖 䑗 䑘 䑚 䑜 䑝 䑞 䑟 䑠 䑡 䑢 䑣 䑤 䑥 䑦 䑧 䑨 䑪 䑫 䑭 䑮 䑯 䑰 䑱 䑲 䑳 䑷 䑺 䑻 䑼 䑾 䑿 䒀 䒂 䒃 䒅 䒆 䒈 䒉 䒊 䒋 䒌 䒍 䒎 䒏 䒐 䒑 䒒 䒓 䒔 䒕 䒖 䒗 䒘 䒙 䒚 䒛 䒜 䒝 䒞 䒟 䒠 䒡 䒢 䒣 䒤 䒥 䒦 䒧 䒨 䒩 䒪 䒫 䒭 䒮 䒯 䒰 䒱 䒲 䒳 䒴 䒵 䒶 䒷 䒸 䒹 䒺 䒻 䒼 䒽 䒾 䒿 䓀 䓁 䓂 䓃 䓄 䓅 䓆 䓇 䓈 䓉 䓊 䓋 䓌 䓍 䓎 䓏 䓐 䓑 䓒 䓓 䓔 䓕 䓖 䓗 䓘 䓙 䓚</t>
        </is>
      </c>
      <c r="S139" s="40" t="n"/>
      <c r="V139" s="14">
        <f>(LEN(O139)+1)/2</f>
        <v/>
      </c>
      <c r="W139" s="14">
        <f>ROUNDDOWN((LEN(P139)+1)/2,0)</f>
        <v/>
      </c>
      <c r="X139" s="14">
        <f>ROUNDDOWN((LEN(Q139)+1)/2,0)</f>
        <v/>
      </c>
      <c r="Y139" s="14">
        <f>ROUNDDOWN((LEN(R139)+1)/2,0)</f>
        <v/>
      </c>
      <c r="Z139" s="14">
        <f>ROUNDDOWN((LEN(S139)+1)/2,0)</f>
        <v/>
      </c>
      <c r="AA139" s="56" t="n">
        <v>46150.55831813428</v>
      </c>
    </row>
    <row r="140" ht="102" customHeight="1">
      <c r="B140" s="46" t="inlineStr">
        <is>
          <t>U+44DB-U+45D7</t>
        </is>
      </c>
      <c r="C140" s="46" t="inlineStr">
        <is>
          <t>CJK Unified Ideographs Extension A</t>
        </is>
      </c>
      <c r="D140" s="54">
        <f>HEX2DEC(MID(B140,3,FIND("-",E140)-3))</f>
        <v/>
      </c>
      <c r="E140" s="46" t="inlineStr">
        <is>
          <t>U+3400-U+4DBF</t>
        </is>
      </c>
      <c r="F140" s="12" t="n">
        <v>3</v>
      </c>
      <c r="J140" s="19">
        <f>ROUNDDOWN(W140,0)/$V140</f>
        <v/>
      </c>
      <c r="K140" s="19">
        <f>ROUNDDOWN(X140,0)/$V140</f>
        <v/>
      </c>
      <c r="L140" s="19">
        <f>ROUNDDOWN(Y140,0)/$V140</f>
        <v/>
      </c>
      <c r="M140" s="19">
        <f>ROUNDDOWN(Z140,0)/$V140</f>
        <v/>
      </c>
      <c r="O140" s="36" t="inlineStr">
        <is>
          <t>䓛 䓜 䓝 䓞 䓟 䓠 䓡 䓢 䓣 䓤 䓥 䓦 䓧 䓨 䓩 䓪 䓫 䓬 䓭 䓮 䓯 䓰 䓱 䓲 䓳 䓴 䓵 䓶 䓷 䓸 䓹 䓺 䓻 䓼 䓽 䓾 䓿 䔀 䔁 䔂 䔃 䔄 䔅 䔆 䔇 䔈 䔉 䔊 䔋 䔌 䔍 䔎 䔏 䔐 䔑 䔒 䔓 䔔 䔕 䔖 䔗 䔘 䔙 䔚 䔛 䔜 䔝 䔞 䔟 䔠 䔡 䔢 䔣 䔤 䔥 䔦 䔧 䔨 䔩 䔪 䔫 䔬 䔭 䔮 䔯 䔰 䔱 䔲 䔳 䔴 䔵 䔶 䔷 䔸 䔹 䔺 䔻 䔼 䔽 䔾 䔿 䕀 䕁 䕂 䕃 䕄 䕅 䕆 䕇 䕈 䕉 䕊 䕋 䕌 䕍 䕎 䕏 䕐 䕑 䕒 䕓 䕔 䕕 䕖 䕗 䕘 䕙 䕚 䕛 䕜 䕝 䕞 䕟 䕠 䕡 䕢 䕣 䕤 䕥 䕦 䕧 䕨 䕩 䕪 䕫 䕬 䕭 䕮 䕯 䕰 䕱 䕲 䕳 䕴 䕵 䕶 䕷 䕸 䕹 䕺 䕻 䕼 䕽 䕾 䕿 䖀 䖁 䖂 䖃 䖄 䖅 䖆 䖇 䖈 䖉 䖊 䖋 䖌 䖍 䖎 䖏 䖐 䖑 䖒 䖓 䖔 䖕 䖖 䖗 䖘 䖙 䖚 䖛 䖜 䖝 䖞 䖟 䖠 䖡 䖢 䖣 䖤 䖥 䖦 䖧 䖨 䖩 䖪 䖫 䖬 䖭 䖮 䖯 䖰 䖱 䖲 䖳 䖴 䖵 䖶 䖷 䖸 䖹 䖺 䖻 䖼 䖽 䖾 䖿 䗀 䗁 䗂 䗃 䗄 䗅 䗆 䗇 䗈 䗉 䗊 䗋 䗌 䗍 䗎 䗏 䗐 䗑 䗒 䗓 䗔 䗕 䗖 䗗</t>
        </is>
      </c>
      <c r="P140" s="37" t="inlineStr">
        <is>
          <t>䓛 䓜 䓝 䓞 䓟 䓠 䓡 䓢 䓣 䓤 䓥 䓦 䓧 䓨 䓩 䓪 䓫 䓬 䓭 䓮 䓯 䓰 䓱 䓲 䓳 䓴 䓵 䓶 䓷 䓸 䓹 䓺 䓻 䓼 䓽 䓾 䓿 䔀 䔁 䔂 䔃 䔄 䔅 䔆 䔇 䔈 䔉 䔊 䔋 䔌 䔍 䔎 䔏 䔐 䔑 䔒 䔓 䔔 䔕 䔖 䔗 䔘 䔙 䔚 䔛 䔜 䔝 䔞 䔟 䔠 䔡 䔢 䔣 䔤 䔥 䔦 䔧 䔨 䔩 䔪 䔫 䔬 䔭 䔮 䔯 䔰 䔱 䔲 䔳 䔴 䔵 䔶 䔷 䔸 䔹 䔺 䔻 䔼 䔽 䔾 䔿 䕀 䕁 䕂 䕃 䕄 䕅 䕆 䕇 䕈 䕉 䕊 䕋 䕌 䕍 䕎 䕏 䕐 䕑 䕒 䕓 䕔 䕕 䕖 䕗 䕘 䕙 䕚 䕛 䕜 䕝 䕞 䕟 䕠 䕡 䕢 䕣 䕤 䕥 䕦 䕧 䕨 䕩 䕪 䕫 䕬 䕭 䕮 䕯 䕰 䕱 䕲 䕳 䕴 䕵 䕶 䕷 䕸 䕹 䕺 䕻 䕼 䕽 䕾 䕿 䖀 䖁 䖂 䖃 䖄 䖅 䖆 䖇 䖈 䖉 䖊 䖋 䖌 䖍 䖎 䖏 䖐 䖑 䖒 䖓 䖔 䖕 䖖 䖗 䖘 䖙 䖚 䖛 䖜 䖝 䖞 䖟 䖠 䖡 䖢 䖣 䖤 䖥 䖦 䖧 䖨 䖩 䖪 䖫 䖬 䖭 䖮 䖯 䖰 䖱 䖲 䖳 䖴 䖵 䖶 䖷 䖸 䖹 䖺 䖻 䖼 䖽 䖾 䖿 䗀 䗁 䗂 䗃 䗄 䗅 䗆 䗇 䗈 䗉 䗊 䗋 䗌 䗍 䗎 䗏 䗐 䗑 䗒 䗓 䗔 䗕 䗖 䗗</t>
        </is>
      </c>
      <c r="Q140" s="38" t="inlineStr">
        <is>
          <t>䓛 䓜 䓝 䓞 䓟 䓠 䓡 䓢 䓣 䓤 䓥 䓦 䓧 䓨 䓩 䓪 䓫 䓬 䓭 䓮 䓯 䓰 䓱 䓲 䓳 䓴 䓵 䓶 䓷 䓸 䓹 䓺 䓻 䓼 䓽 䓾 䓿 䔀 䔁 䔂 䔃 䔄 䔅 䔆 䔇 䔈 䔉 䔊 䔋 䔌 䔍 䔎 䔏 䔐 䔑 䔒 䔓 䔔 䔕 䔖 䔗 䔘 䔙 䔚 䔛 䔜 䔝 䔞 䔟 䔠 䔡 䔢 䔣 䔤 䔥 䔦 䔧 䔨 䔩 䔪 䔫 䔬 䔭 䔮 䔯 䔰 䔱 䔲 䔳 䔴 䔵 䔶 䔷 䔸 䔹 䔺 䔻 䔼 䔽 䔾 䔿 䕀 䕁 䕂 䕃 䕄 䕅 䕆 䕇 䕈 䕉 䕊 䕋 䕌 䕍 䕎 䕏 䕐 䕑 䕒 䕓 䕔 䕕 䕖 䕗 䕘 䕙 䕚 䕛 䕜 䕝 䕞 䕟 䕠 䕡 䕢 䕣 䕤 䕥 䕦 䕧 䕨 䕩 䕪 䕫 䕬 䕭 䕮 䕯 䕰 䕱 䕲 䕳 䕴 䕵 䕶 䕷 䕸 䕹 䕺 䕻 䕼 䕽 䕾 䕿 䖀 䖁 䖂 䖃 䖄 䖅 䖆 䖇 䖈 䖉 䖊 䖋 䖌 䖍 䖎 䖏 䖐 䖑 䖒 䖓 䖔 䖕 䖖 䖗 䖘 䖙 䖚 䖛 䖜 䖝 䖞 䖟 䖠 䖡 䖢 䖣 䖤 䖥 䖦 䖧 䖨 䖩 䖪 䖫 䖬 䖭 䖮 䖯 䖰 䖱 䖲 䖳 䖴 䖵 䖶 䖷 䖸 䖹 䖺 䖻 䖼 䖽 䖾 䖿 䗀 䗁 䗂 䗃 䗄 䗅 䗆 䗇 䗈 䗉 䗊 䗋 䗌 䗍 䗎 䗏 䗐 䗑 䗒 䗓 䗔 䗕 䗖 䗗</t>
        </is>
      </c>
      <c r="R140" s="43" t="inlineStr">
        <is>
          <t>䓛 䓜 䓝 䓞 䓟 䓠 䓡 䓢 䓣 䓤 䓥 䓦 䓧 䓨 䓩 䓪 䓫 䓬 䓭 䓮 䓯 䓰 䓱 䓲 䓳 䓴 䓵 䓶 䓷 䓸 䓹 䓺 䓻 䓼 䓽 䓾 䓿 䔀 䔁 䔂 䔃 䔄 䔅 䔆 䔇 䔈 䔉 䔊 䔋 䔌 䔍 䔎 䔏 䔐 䔑 䔒 䔓 䔔 䔕 䔖 䔗 䔘 䔙 䔚 䔛 䔜 䔝 䔞 䔟 䔠 䔡 䔢 䔣 䔤 䔥 䔦 䔧 䔨 䔩 䔪 䔫 䔬 䔭 䔮 䔯 䔰 䔱 䔲 䔳 䔴 䔵 䔶 䔷 䔸 䔹 䔺 䔻 䔼 䔽 䔾 䔿 䕀 䕁 䕂 䕃 䕄 䕅 䕆 䕇 䕈 䕉 䕊 䕋 䕌 䕍 䕎 䕏 䕐 䕑 䕒 䕓 䕔 䕕 䕖 䕗 䕘 䕙 䕚 䕛 䕜 䕝 䕞 䕟 䕠 䕡 䕢 䕣 䕤 䕥 䕦 䕧 䕨 䕩 䕪 䕫 䕬 䕭 䕮 䕯 䕰 䕱 䕲 䕳 䕴 䕵 䕶 䕷 䕸 䕹 䕺 䕻 䕼 䕽 䕾 䕿 䖀 䖁 䖂 䖃 䖄 䖅 䖆 䖇 䖈 䖉 䖊 䖋 䖍 䖎 䖏 䖐 䖑 䖒 䖓 䖔 䖕 䖖 䖗 䖘 䖙 䖛 䖜 䖝 䖞 䖟 䖠 䖡 䖢 䖣 䖤 䖥 䖧 䖨 䖩 䖪 䖫 䖭 䖯 䖰 䖲 䖳 䖶 䖷 䖸 䖺 䖻 䖽 䖾 䖿 䗀 䗁 䗂 䗃 䗄 䗅 䗆 䗇 䗈 䗊 䗋 䗌 䗍 䗎 䗏 䗐 䗑 䗒 䗓 䗔 䗕 䗗</t>
        </is>
      </c>
      <c r="S140" s="40" t="n"/>
      <c r="V140" s="14">
        <f>(LEN(O140)+1)/2</f>
        <v/>
      </c>
      <c r="W140" s="14">
        <f>ROUNDDOWN((LEN(P140)+1)/2,0)</f>
        <v/>
      </c>
      <c r="X140" s="14">
        <f>ROUNDDOWN((LEN(Q140)+1)/2,0)</f>
        <v/>
      </c>
      <c r="Y140" s="14">
        <f>ROUNDDOWN((LEN(R140)+1)/2,0)</f>
        <v/>
      </c>
      <c r="Z140" s="14">
        <f>ROUNDDOWN((LEN(S140)+1)/2,0)</f>
        <v/>
      </c>
      <c r="AA140" s="56" t="n">
        <v>46150.55832111467</v>
      </c>
    </row>
    <row r="141" ht="102" customHeight="1">
      <c r="B141" s="46" t="inlineStr">
        <is>
          <t>U+45D8-U+46D4</t>
        </is>
      </c>
      <c r="C141" s="46" t="inlineStr">
        <is>
          <t>CJK Unified Ideographs Extension A</t>
        </is>
      </c>
      <c r="D141" s="54">
        <f>HEX2DEC(MID(B141,3,FIND("-",E141)-3))</f>
        <v/>
      </c>
      <c r="E141" s="46" t="inlineStr">
        <is>
          <t>U+3400-U+4DBF</t>
        </is>
      </c>
      <c r="F141" s="12" t="n">
        <v>3</v>
      </c>
      <c r="J141" s="19">
        <f>ROUNDDOWN(W141,0)/$V141</f>
        <v/>
      </c>
      <c r="K141" s="19">
        <f>ROUNDDOWN(X141,0)/$V141</f>
        <v/>
      </c>
      <c r="L141" s="19">
        <f>ROUNDDOWN(Y141,0)/$V141</f>
        <v/>
      </c>
      <c r="M141" s="19">
        <f>ROUNDDOWN(Z141,0)/$V141</f>
        <v/>
      </c>
      <c r="O141" s="36" t="inlineStr">
        <is>
          <t>䗘 䗙 䗚 䗛 䗜 䗝 䗞 䗟 䗠 䗡 䗢 䗣 䗤 䗥 䗦 䗧 䗨 䗩 䗪 䗫 䗬 䗭 䗮 䗯 䗰 䗱 䗲 䗳 䗴 䗵 䗶 䗷 䗸 䗹 䗺 䗻 䗼 䗽 䗾 䗿 䘀 䘁 䘂 䘃 䘄 䘅 䘆 䘇 䘈 䘉 䘊 䘋 䘌 䘍 䘎 䘏 䘐 䘑 䘒 䘓 䘔 䘕 䘖 䘗 䘘 䘙 䘚 䘛 䘜 䘝 䘞 䘟 䘠 䘡 䘢 䘣 䘤 䘥 䘦 䘧 䘨 䘩 䘪 䘫 䘬 䘭 䘮 䘯 䘰 䘱 䘲 䘳 䘴 䘵 䘶 䘷 䘸 䘹 䘺 䘻 䘼 䘽 䘾 䘿 䙀 䙁 䙂 䙃 䙄 䙅 䙆 䙇 䙈 䙉 䙊 䙋 䙌 䙍 䙎 䙏 䙐 䙑 䙒 䙓 䙔 䙕 䙖 䙗 䙘 䙙 䙚 䙛 䙜 䙝 䙞 䙟 䙠 䙡 䙢 䙣 䙤 䙥 䙦 䙧 䙨 䙩 䙪 䙫 䙬 䙭 䙮 䙯 䙰 䙱 䙲 䙳 䙴 䙵 䙶 䙷 䙸 䙹 䙺 䙻 䙼 䙽 䙾 䙿 䚀 䚁 䚂 䚃 䚄 䚅 䚆 䚇 䚈 䚉 䚊 䚋 䚌 䚍 䚎 䚏 䚐 䚑 䚒 䚓 䚔 䚕 䚖 䚗 䚘 䚙 䚚 䚛 䚜 䚝 䚞 䚟 䚠 䚡 䚢 䚣 䚤 䚥 䚦 䚧 䚨 䚩 䚪 䚫 䚬 䚭 䚮 䚯 䚰 䚱 䚲 䚳 䚴 䚵 䚶 䚷 䚸 䚹 䚺 䚻 䚼 䚽 䚾 䚿 䛀 䛁 䛂 䛃 䛄 䛅 䛆 䛇 䛈 䛉 䛊 䛋 䛌 䛍 䛎 䛏 䛐 䛑 䛒 䛓 䛔</t>
        </is>
      </c>
      <c r="P141" s="37" t="inlineStr">
        <is>
          <t>䗘 䗙 䗚 䗛 䗜 䗝 䗞 䗟 䗠 䗡 䗢 䗣 䗤 䗥 䗦 䗧 䗨 䗩 䗪 䗫 䗬 䗭 䗮 䗯 䗰 䗱 䗲 䗳 䗴 䗵 䗶 䗷 䗸 䗹 䗺 䗻 䗼 䗽 䗾 䗿 䘀 䘁 䘂 䘃 䘄 䘅 䘆 䘇 䘈 䘉 䘊 䘋 䘌 䘍 䘎 䘏 䘐 䘑 䘒 䘓 䘔 䘕 䘖 䘗 䘘 䘙 䘚 䘛 䘜 䘝 䘞 䘟 䘠 䘡 䘢 䘣 䘤 䘥 䘦 䘧 䘨 䘩 䘪 䘫 䘬 䘭 䘮 䘯 䘰 䘱 䘲 䘳 䘴 䘵 䘶 䘷 䘸 䘹 䘺 䘻 䘼 䘽 䘾 䘿 䙀 䙁 䙂 䙃 䙄 䙅 䙆 䙇 䙈 䙉 䙊 䙋 䙌 䙍 䙎 䙏 䙐 䙑 䙒 䙓 䙔 䙕 䙖 䙗 䙘 䙙 䙚 䙛 䙜 䙝 䙞 䙟 䙠 䙡 䙢 䙣 䙤 䙥 䙦 䙧 䙨 䙩 䙪 䙫 䙬 䙭 䙮 䙯 䙰 䙱 䙲 䙳 䙴 䙵 䙶 䙷 䙸 䙹 䙺 䙻 䙼 䙽 䙾 䙿 䚀 䚁 䚂 䚃 䚄 䚅 䚆 䚇 䚈 䚉 䚊 䚋 䚌 䚍 䚎 䚏 䚐 䚑 䚒 䚓 䚔 䚕 䚖 䚗 䚘 䚙 䚚 䚛 䚜 䚝 䚞 䚟 䚠 䚡 䚢 䚣 䚤 䚥 䚦 䚧 䚨 䚩 䚪 䚫 䚬 䚭 䚮 䚯 䚰 䚱 䚲 䚳 䚴 䚵 䚶 䚷 䚸 䚹 䚺 䚻 䚼 䚽 䚾 䚿 䛀 䛁 䛂 䛃 䛄 䛅 䛆 䛇 䛈 䛉 䛊 䛋 䛌 䛍 䛎 䛏 䛐 䛑 䛒 䛓 䛔</t>
        </is>
      </c>
      <c r="Q141" s="38" t="inlineStr">
        <is>
          <t>䗘 䗙 䗚 䗛 䗜 䗝 䗞 䗟 䗠 䗡 䗢 䗣 䗤 䗥 䗦 䗧 䗨 䗩 䗪 䗫 䗬 䗭 䗮 䗯 䗰 䗱 䗲 䗳 䗴 䗵 䗶 䗷 䗸 䗹 䗺 䗻 䗼 䗽 䗾 䗿 䘀 䘁 䘂 䘃 䘄 䘅 䘆 䘇 䘈 䘉 䘊 䘋 䘌 䘍 䘎 䘏 䘐 䘑 䘒 䘓 䘔 䘕 䘖 䘗 䘘 䘙 䘚 䘛 䘜 䘝 䘞 䘟 䘠 䘡 䘢 䘣 䘤 䘥 䘦 䘧 䘨 䘩 䘪 䘫 䘬 䘭 䘮 䘯 䘰 䘱 䘲 䘳 䘴 䘵 䘶 䘷 䘸 䘹 䘺 䘻 䘼 䘽 䘾 䘿 䙀 䙁 䙂 䙃 䙄 䙅 䙆 䙇 䙈 䙉 䙊 䙋 䙌 䙍 䙎 䙏 䙐 䙑 䙒 䙓 䙔 䙕 䙖 䙗 䙘 䙙 䙚 䙛 䙜 䙝 䙞 䙟 䙠 䙡 䙢 䙣 䙤 䙥 䙦 䙧 䙨 䙩 䙪 䙫 䙬 䙭 䙮 䙯 䙰 䙱 䙲 䙳 䙴 䙵 䙶 䙷 䙸 䙹 䙺 䙻 䙼 䙽 䙾 䙿 䚀 䚁 䚂 䚃 䚄 䚅 䚆 䚇 䚈 䚉 䚊 䚋 䚌 䚍 䚎 䚏 䚐 䚑 䚒 䚓 䚔 䚕 䚖 䚗 䚘 䚙 䚚 䚛 䚜 䚝 䚞 䚟 䚠 䚡 䚢 䚣 䚤 䚥 䚦 䚧 䚨 䚩 䚪 䚫 䚬 䚭 䚮 䚯 䚰 䚱 䚲 䚳 䚴 䚵 䚶 䚷 䚸 䚹 䚺 䚻 䚼 䚽 䚾 䚿 䛀 䛁 䛂 䛃 䛄 䛅 䛆 䛇 䛈 䛉 䛊 䛋 䛌 䛍 䛎 䛏 䛐 䛑 䛒 䛓 䛔</t>
        </is>
      </c>
      <c r="R141" s="43" t="inlineStr">
        <is>
          <t>䗘 䗙 䗚 䗛 䗝 䗞 䗟 䗠 䗡 䗢 䗣 䗤 䗥 䗦 䗧 䗨 䗩 䗪 䗫 䗬 䗭 䗮 䗯 䗱 䗲 䗳 䗴 䗵 䗶 䗷 䗸 䗹 䗺 䗽 䗾 䘀 䘁 䘂 䘄 䘅 䘆 䘇 䘈 䘉 䘊 䘌 䘍 䘎 䘐 䘑 䘒 䘓 䘔 䘕 䘖 䘗 䘘 䘙 䘚 䘛 䘝 䘞 䘠 䘡 䘢 䘤 䘦 䘧 䘨 䘩 䘪 䘫 䘬 䘭 䘮 䘰 䘱 䘲 䘳 䘴 䘵 䘸 䘹 䘺 䘻 䘼 䘽 䘾 䘿 䙀 䙂 䙃 䙄 䙅 䙆 䙇 䙈 䙉 䙊 䙋 䙌 䙍 䙎 䙏 䙐 䙑 䙒 䙓 䙔 䙕 䙖 䙗 䙘 䙙 䙚 䙛 䙜 䙝 䙞 䙟 䙠 䙡 䙢 䙣 䙤 䙥 䙦 䙧 䙨 䙩 䙪 䙫 䙬 䙭 䙮 䙯 䙰 䙱 䙲 䙳 䙴 䙵 䙶 䙷 䙸 䙹 䙺 䙻 䙼 䙽 䙾 䙿 䚁 䚂 䚃 䚄 䚅 䚆 䚇 䚈 䚉 䚊 䚋 䚌 䚍 䚎 䚏 䚐 䚑 䚒 䚓 䚔 䚕 䚖 䚘 䚚 䚜 䚝 䚞 䚟 䚡 䚢 䚣 䚦 䚨 䚩 䚪 䚫 䚬 䚭 䚮 䚲 䚳 䚴 䚵 䚶 䚷 䚸 䚺 䚻 䚼 䚽 䚾 䚿 䛀 䛁 䛂 䛃 䛆 䛇 䛈 䛉 䛊 䛋 䛌 䛍 䛎 䛏 䛐 䛑 䛒 䛓 䛔</t>
        </is>
      </c>
      <c r="S141" s="40" t="n"/>
      <c r="V141" s="14">
        <f>(LEN(O141)+1)/2</f>
        <v/>
      </c>
      <c r="W141" s="14">
        <f>ROUNDDOWN((LEN(P141)+1)/2,0)</f>
        <v/>
      </c>
      <c r="X141" s="14">
        <f>ROUNDDOWN((LEN(Q141)+1)/2,0)</f>
        <v/>
      </c>
      <c r="Y141" s="14">
        <f>ROUNDDOWN((LEN(R141)+1)/2,0)</f>
        <v/>
      </c>
      <c r="Z141" s="14">
        <f>ROUNDDOWN((LEN(S141)+1)/2,0)</f>
        <v/>
      </c>
      <c r="AA141" s="56" t="n">
        <v>46150.55832408059</v>
      </c>
    </row>
    <row r="142" ht="102" customHeight="1">
      <c r="B142" s="46" t="inlineStr">
        <is>
          <t>U+46D5-U+47D1</t>
        </is>
      </c>
      <c r="C142" s="46" t="inlineStr">
        <is>
          <t>CJK Unified Ideographs Extension A</t>
        </is>
      </c>
      <c r="D142" s="54">
        <f>HEX2DEC(MID(B142,3,FIND("-",E142)-3))</f>
        <v/>
      </c>
      <c r="E142" s="46" t="inlineStr">
        <is>
          <t>U+3400-U+4DBF</t>
        </is>
      </c>
      <c r="F142" s="12" t="n">
        <v>3</v>
      </c>
      <c r="J142" s="19">
        <f>ROUNDDOWN(W142,0)/$V142</f>
        <v/>
      </c>
      <c r="K142" s="19">
        <f>ROUNDDOWN(X142,0)/$V142</f>
        <v/>
      </c>
      <c r="L142" s="19">
        <f>ROUNDDOWN(Y142,0)/$V142</f>
        <v/>
      </c>
      <c r="M142" s="19">
        <f>ROUNDDOWN(Z142,0)/$V142</f>
        <v/>
      </c>
      <c r="O142" s="36" t="inlineStr">
        <is>
          <t>䛕 䛖 䛗 䛘 䛙 䛚 䛛 䛜 䛝 䛞 䛟 䛠 䛡 䛢 䛣 䛤 䛥 䛦 䛧 䛨 䛩 䛪 䛫 䛬 䛭 䛮 䛯 䛰 䛱 䛲 䛳 䛴 䛵 䛶 䛷 䛸 䛹 䛺 䛻 䛼 䛽 䛾 䛿 䜀 䜁 䜂 䜃 䜄 䜅 䜆 䜇 䜈 䜉 䜊 䜋 䜌 䜍 䜎 䜏 䜐 䜑 䜒 䜓 䜔 䜕 䜖 䜗 䜘 䜙 䜚 䜛 䜜 䜝 䜞 䜟 䜠 䜡 䜢 䜣 䜤 䜥 䜦 䜧 䜨 䜩 䜪 䜫 䜬 䜭 䜮 䜯 䜰 䜱 䜲 䜳 䜴 䜵 䜶 䜷 䜸 䜹 䜺 䜻 䜼 䜽 䜾 䜿 䝀 䝁 䝂 䝃 䝄 䝅 䝆 䝇 䝈 䝉 䝊 䝋 䝌 䝍 䝎 䝏 䝐 䝑 䝒 䝓 䝔 䝕 䝖 䝗 䝘 䝙 䝚 䝛 䝜 䝝 䝞 䝟 䝠 䝡 䝢 䝣 䝤 䝥 䝦 䝧 䝨 䝩 䝪 䝫 䝬 䝭 䝮 䝯 䝰 䝱 䝲 䝳 䝴 䝵 䝶 䝷 䝸 䝹 䝺 䝻 䝼 䝽 䝾 䝿 䞀 䞁 䞂 䞃 䞄 䞅 䞆 䞇 䞈 䞉 䞊 䞋 䞌 䞍 䞎 䞏 䞐 䞑 䞒 䞓 䞔 䞕 䞖 䞗 䞘 䞙 䞚 䞛 䞜 䞝 䞞 䞟 䞠 䞡 䞢 䞣 䞤 䞥 䞦 䞧 䞨 䞩 䞪 䞫 䞬 䞭 䞮 䞯 䞰 䞱 䞲 䞳 䞴 䞵 䞶 䞷 䞸 䞹 䞺 䞻 䞼 䞽 䞾 䞿 䟀 䟁 䟂 䟃 䟄 䟅 䟆 䟇 䟈 䟉 䟊 䟋 䟌 䟍 䟎 䟏 䟐 䟑</t>
        </is>
      </c>
      <c r="P142" s="37" t="inlineStr">
        <is>
          <t>䛕 䛖 䛗 䛘 䛙 䛚 䛛 䛜 䛝 䛞 䛟 䛠 䛡 䛢 䛣 䛤 䛥 䛦 䛧 䛨 䛩 䛪 䛫 䛬 䛭 䛮 䛯 䛰 䛱 䛲 䛳 䛴 䛵 䛶 䛷 䛸 䛹 䛺 䛻 䛼 䛽 䛾 䛿 䜀 䜁 䜂 䜃 䜄 䜅 䜆 䜇 䜈 䜉 䜊 䜋 䜌 䜍 䜎 䜏 䜐 䜑 䜒 䜓 䜔 䜕 䜖 䜗 䜘 䜙 䜚 䜛 䜜 䜝 䜞 䜟 䜠 䜡 䜢 䜣 䜤 䜥 䜦 䜧 䜨 䜩 䜪 䜫 䜬 䜭 䜮 䜯 䜰 䜱 䜲 䜳 䜴 䜵 䜶 䜷 䜸 䜹 䜺 䜻 䜼 䜽 䜾 䜿 䝀 䝁 䝂 䝃 䝄 䝅 䝆 䝇 䝈 䝉 䝊 䝋 䝌 䝍 䝎 䝏 䝐 䝑 䝒 䝓 䝔 䝕 䝖 䝗 䝘 䝙 䝚 䝛 䝜 䝝 䝞 䝟 䝠 䝡 䝢 䝣 䝤 䝥 䝦 䝧 䝨 䝩 䝪 䝫 䝬 䝭 䝮 䝯 䝰 䝱 䝲 䝳 䝴 䝵 䝶 䝷 䝸 䝹 䝺 䝻 䝼 䝽 䝾 䝿 䞀 䞁 䞂 䞃 䞄 䞅 䞆 䞇 䞈 䞉 䞊 䞋 䞌 䞍 䞎 䞏 䞐 䞑 䞒 䞓 䞔 䞕 䞖 䞗 䞘 䞙 䞚 䞛 䞜 䞝 䞞 䞟 䞠 䞡 䞢 䞣 䞤 䞥 䞦 䞧 䞨 䞩 䞪 䞫 䞬 䞭 䞮 䞯 䞰 䞱 䞲 䞳 䞴 䞵 䞶 䞷 䞸 䞹 䞺 䞻 䞼 䞽 䞾 䞿 䟀 䟁 䟂 䟃 䟄 䟅 䟆 䟇 䟈 䟉 䟊 䟋 䟌 䟍 䟎 䟏 䟐 䟑</t>
        </is>
      </c>
      <c r="Q142" s="38" t="inlineStr">
        <is>
          <t>䛕 䛖 䛗 䛘 䛙 䛚 䛛 䛜 䛝 䛞 䛟 䛠 䛡 䛢 䛣 䛤 䛥 䛦 䛧 䛨 䛩 䛪 䛫 䛬 䛭 䛮 䛯 䛰 䛱 䛲 䛳 䛴 䛵 䛶 䛷 䛸 䛹 䛺 䛻 䛼 䛽 䛾 䛿 䜀 䜁 䜂 䜃 䜄 䜅 䜆 䜇 䜈 䜉 䜊 䜋 䜌 䜍 䜎 䜏 䜐 䜑 䜒 䜓 䜔 䜕 䜖 䜗 䜘 䜙 䜚 䜛 䜜 䜝 䜞 䜟 䜠 䜡 䜢 䜣 䜤 䜥 䜦 䜧 䜨 䜩 䜪 䜫 䜬 䜭 䜮 䜯 䜰 䜱 䜲 䜳 䜴 䜵 䜶 䜷 䜸 䜹 䜺 䜻 䜼 䜽 䜾 䜿 䝀 䝁 䝂 䝃 䝄 䝅 䝆 䝇 䝈 䝉 䝊 䝋 䝌 䝍 䝎 䝏 䝐 䝑 䝒 䝓 䝔 䝕 䝖 䝗 䝘 䝙 䝚 䝛 䝜 䝝 䝞 䝟 䝠 䝡 䝢 䝣 䝤 䝥 䝦 䝧 䝨 䝩 䝪 䝫 䝬 䝭 䝮 䝯 䝰 䝱 䝲 䝳 䝴 䝵 䝶 䝷 䝸 䝹 䝺 䝻 䝼 䝽 䝾 䝿 䞀 䞁 䞂 䞃 䞄 䞅 䞆 䞇 䞈 䞉 䞊 䞋 䞌 䞍 䞎 䞏 䞐 䞑 䞒 䞓 䞔 䞕 䞖 䞗 䞘 䞙 䞚 䞛 䞜 䞝 䞞 䞟 䞠 䞡 䞢 䞣 䞤 䞥 䞦 䞧 䞨 䞩 䞪 䞫 䞬 䞭 䞮 䞯 䞰 䞱 䞲 䞳 䞴 䞵 䞶 䞷 䞸 䞹 䞺 䞻 䞼 䞽 䞾 䞿 䟀 䟁 䟂 䟃 䟄 䟅 䟆 䟇 䟈 䟉 䟊 䟋 䟌 䟍 䟎 䟏 䟐 䟑</t>
        </is>
      </c>
      <c r="R142" s="43" t="inlineStr">
        <is>
          <t>䛕 䛖 䛗 䛘 䛙 䛚 䛛 䛝 䛞 䛠 䛡 䛢 䛣 䛤 䛥 䛦 䛨 䛩 䛫 䛬 䛭 䛮 䛯 䛰 䛱 䛲 䛳 䛴 䛶 䛷 䛸 䛹 䛺 䛻 䛼 䛽 䛾 䛿 䜀 䜂 䜃 䜄 䜅 䜆 䜇 䜈 䜉 䜊 䜋 䜍 䜎 䜏 䜐 䜑 䜒 䜓 䜔 䜕 䜗 䜘 䜙 䜚 䜛 䜝 䜞 䜠 䜡 䜢 䜣 䜤 䜥 䜦 䜧 䜨 䜩 䜪 䜫 䜬 䜭 䜮 䜯 䜰 䜱 䜲 䜴 䜵 䜷 䜸 䜹 䜺 䜻 䜼 䜽 䜾 䜿 䝁 䝂 䝃 䝄 䝅 䝆 䝈 䝉 䝊 䝋 䝌 䝍 䝎 䝏 䝐 䝑 䝒 䝓 䝔 䝕 䝖 䝗 䝘 䝙 䝚 䝛 䝜 䝝 䝞 䝟 䝠 䝡 䝢 䝣 䝤 䝥 䝦 䝧 䝨 䝩 䝪 䝫 䝬 䝭 䝯 䝰 䝱 䝲 䝳 䝴 䝶 䝷 䝸 䝹 䝺 䝻 䝼 䝽 䝾 䝿 䞀 䞂 䞃 䞄 䞅 䞇 䞈 䞉 䞊 䞋 䞌 䞍 䞏 䞐 䞑 䞒 䞓 䞔 䞕 䞖 䞗 䞘 䞙 䞚 䞛 䞜 䞝 䞞 䞟 䞠 䞡 䞢 䞣 䞤 䞥 䞦 䞧 䞨 䞩 䞪 䞫 䞬 䞭 䞮 䞯 䞰 䞱 䞲 䞳 䞴 䞵 䞶 䞷 䞸 䞹 䞺 䞻 䞼 䞽 䞾 䞿 䟀 䟁 䟂 䟃 䟄 䟅 䟆 䟇 䟈 䟉 䟊 䟋 䟌 䟍 䟎 䟏 䟐 䟑</t>
        </is>
      </c>
      <c r="S142" s="40" t="n"/>
      <c r="V142" s="14">
        <f>(LEN(O142)+1)/2</f>
        <v/>
      </c>
      <c r="W142" s="14">
        <f>ROUNDDOWN((LEN(P142)+1)/2,0)</f>
        <v/>
      </c>
      <c r="X142" s="14">
        <f>ROUNDDOWN((LEN(Q142)+1)/2,0)</f>
        <v/>
      </c>
      <c r="Y142" s="14">
        <f>ROUNDDOWN((LEN(R142)+1)/2,0)</f>
        <v/>
      </c>
      <c r="Z142" s="14">
        <f>ROUNDDOWN((LEN(S142)+1)/2,0)</f>
        <v/>
      </c>
      <c r="AA142" s="56" t="n">
        <v>46150.55832684992</v>
      </c>
    </row>
    <row r="143" ht="102" customHeight="1">
      <c r="B143" s="46" t="inlineStr">
        <is>
          <t>U+47D2-U+48CE</t>
        </is>
      </c>
      <c r="C143" s="46" t="inlineStr">
        <is>
          <t>CJK Unified Ideographs Extension A</t>
        </is>
      </c>
      <c r="D143" s="54">
        <f>HEX2DEC(MID(B143,3,FIND("-",E143)-3))</f>
        <v/>
      </c>
      <c r="E143" s="46" t="inlineStr">
        <is>
          <t>U+3400-U+4DBF</t>
        </is>
      </c>
      <c r="F143" s="12" t="n">
        <v>3</v>
      </c>
      <c r="J143" s="19">
        <f>ROUNDDOWN(W143,0)/$V143</f>
        <v/>
      </c>
      <c r="K143" s="19">
        <f>ROUNDDOWN(X143,0)/$V143</f>
        <v/>
      </c>
      <c r="L143" s="19">
        <f>ROUNDDOWN(Y143,0)/$V143</f>
        <v/>
      </c>
      <c r="M143" s="19">
        <f>ROUNDDOWN(Z143,0)/$V143</f>
        <v/>
      </c>
      <c r="O143" s="36" t="inlineStr">
        <is>
          <t>䟒 䟓 䟔 䟕 䟖 䟗 䟘 䟙 䟚 䟛 䟜 䟝 䟞 䟟 䟠 䟡 䟢 䟣 䟤 䟥 䟦 䟧 䟨 䟩 䟪 䟫 䟬 䟭 䟮 䟯 䟰 䟱 䟲 䟳 䟴 䟵 䟶 䟷 䟸 䟹 䟺 䟻 䟼 䟽 䟾 䟿 䠀 䠁 䠂 䠃 䠄 䠅 䠆 䠇 䠈 䠉 䠊 䠋 䠌 䠍 䠎 䠏 䠐 䠑 䠒 䠓 䠔 䠕 䠖 䠗 䠘 䠙 䠚 䠛 䠜 䠝 䠞 䠟 䠠 䠡 䠢 䠣 䠤 䠥 䠦 䠧 䠨 䠩 䠪 䠫 䠬 䠭 䠮 䠯 䠰 䠱 䠲 䠳 䠴 䠵 䠶 䠷 䠸 䠹 䠺 䠻 䠼 䠽 䠾 䠿 䡀 䡁 䡂 䡃 䡄 䡅 䡆 䡇 䡈 䡉 䡊 䡋 䡌 䡍 䡎 䡏 䡐 䡑 䡒 䡓 䡔 䡕 䡖 䡗 䡘 䡙 䡚 䡛 䡜 䡝 䡞 䡟 䡠 䡡 䡢 䡣 䡤 䡥 䡦 䡧 䡨 䡩 䡪 䡫 䡬 䡭 䡮 䡯 䡰 䡱 䡲 䡳 䡴 䡵 䡶 䡷 䡸 䡹 䡺 䡻 䡼 䡽 䡾 䡿 䢀 䢁 䢂 䢃 䢄 䢅 䢆 䢇 䢈 䢉 䢊 䢋 䢌 䢍 䢎 䢏 䢐 䢑 䢒 䢓 䢔 䢕 䢖 䢗 䢘 䢙 䢚 䢛 䢜 䢝 䢞 䢟 䢠 䢡 䢢 䢣 䢤 䢥 䢦 䢧 䢨 䢩 䢪 䢫 䢬 䢭 䢮 䢯 䢰 䢱 䢲 䢳 䢴 䢵 䢶 䢷 䢸 䢹 䢺 䢻 䢼 䢽 䢾 䢿 䣀 䣁 䣂 䣃 䣄 䣅 䣆 䣇 䣈 䣉 䣊 䣋 䣌 䣍 䣎</t>
        </is>
      </c>
      <c r="P143" s="37" t="inlineStr">
        <is>
          <t>䟒 䟓 䟔 䟕 䟖 䟗 䟘 䟙 䟚 䟛 䟜 䟝 䟞 䟟 䟠 䟡 䟢 䟣 䟤 䟥 䟦 䟧 䟨 䟩 䟪 䟫 䟬 䟭 䟮 䟯 䟰 䟱 䟲 䟳 䟴 䟵 䟶 䟷 䟸 䟹 䟺 䟻 䟼 䟽 䟾 䟿 䠀 䠁 䠂 䠃 䠄 䠅 䠆 䠇 䠈 䠉 䠊 䠋 䠌 䠍 䠎 䠏 䠐 䠑 䠒 䠓 䠔 䠕 䠖 䠗 䠘 䠙 䠚 䠛 䠜 䠝 䠞 䠟 䠠 䠡 䠢 䠣 䠤 䠥 䠦 䠧 䠨 䠩 䠪 䠫 䠬 䠭 䠮 䠯 䠰 䠱 䠲 䠳 䠴 䠵 䠶 䠷 䠸 䠹 䠺 䠻 䠼 䠽 䠾 䠿 䡀 䡁 䡂 䡃 䡄 䡅 䡆 䡇 䡈 䡉 䡊 䡋 䡌 䡍 䡎 䡏 䡐 䡑 䡒 䡓 䡔 䡕 䡖 䡗 䡘 䡙 䡚 䡛 䡜 䡝 䡞 䡟 䡠 䡡 䡢 䡣 䡤 䡥 䡦 䡧 䡨 䡩 䡪 䡫 䡬 䡭 䡮 䡯 䡰 䡱 䡲 䡳 䡴 䡵 䡶 䡷 䡸 䡹 䡺 䡻 䡼 䡽 䡾 䡿 䢀 䢁 䢂 䢃 䢄 䢅 䢆 䢇 䢈 䢉 䢊 䢋 䢌 䢍 䢎 䢏 䢐 䢑 䢒 䢓 䢔 䢕 䢖 䢗 䢘 䢙 䢚 䢛 䢜 䢝 䢞 䢟 䢠 䢡 䢢 䢣 䢤 䢥 䢦 䢧 䢨 䢩 䢪 䢫 䢬 䢭 䢮 䢯 䢰 䢱 䢲 䢳 䢴 䢵 䢶 䢷 䢸 䢹 䢺 䢻 䢼 䢽 䢾 䢿 䣀 䣁 䣂 䣃 䣄 䣅 䣆 䣇 䣈 䣉 䣊 䣋 䣌 䣍 䣎</t>
        </is>
      </c>
      <c r="Q143" s="38" t="inlineStr">
        <is>
          <t>䟒 䟓 䟔 䟕 䟖 䟗 䟘 䟙 䟚 䟛 䟜 䟝 䟞 䟟 䟠 䟡 䟢 䟣 䟤 䟥 䟦 䟧 䟨 䟩 䟪 䟫 䟬 䟭 䟮 䟯 䟰 䟱 䟲 䟳 䟴 䟵 䟶 䟷 䟸 䟹 䟺 䟻 䟼 䟽 䟾 䟿 䠀 䠁 䠂 䠃 䠄 䠅 䠆 䠇 䠈 䠉 䠊 䠋 䠌 䠍 䠎 䠏 䠐 䠑 䠒 䠓 䠔 䠕 䠖 䠗 䠘 䠙 䠚 䠛 䠜 䠝 䠞 䠟 䠠 䠡 䠢 䠣 䠤 䠥 䠦 䠧 䠨 䠩 䠪 䠫 䠬 䠭 䠮 䠯 䠰 䠱 䠲 䠳 䠴 䠵 䠶 䠷 䠸 䠹 䠺 䠻 䠼 䠽 䠾 䠿 䡀 䡁 䡂 䡃 䡄 䡅 䡆 䡇 䡈 䡉 䡊 䡋 䡌 䡍 䡎 䡏 䡐 䡑 䡒 䡓 䡔 䡕 䡖 䡗 䡘 䡙 䡚 䡛 䡜 䡝 䡞 䡟 䡠 䡡 䡢 䡣 䡤 䡥 䡦 䡧 䡨 䡩 䡪 䡫 䡬 䡭 䡮 䡯 䡰 䡱 䡲 䡳 䡴 䡵 䡶 䡷 䡸 䡹 䡺 䡻 䡼 䡽 䡾 䡿 䢀 䢁 䢂 䢃 䢄 䢅 䢆 䢇 䢈 䢉 䢊 䢋 䢌 䢍 䢎 䢏 䢐 䢑 䢒 䢓 䢔 䢕 䢖 䢗 䢘 䢙 䢚 䢛 䢜 䢝 䢞 䢟 䢠 䢡 䢢 䢣 䢤 䢥 䢦 䢧 䢨 䢩 䢪 䢫 䢬 䢭 䢮 䢯 䢰 䢱 䢲 䢳 䢴 䢵 䢶 䢷 䢸 䢹 䢺 䢻 䢼 䢽 䢾 䢿 䣀 䣁 䣂 䣃 䣄 䣅 䣆 䣇 䣈 䣉 䣊 䣋 䣌 䣍 䣎</t>
        </is>
      </c>
      <c r="R143" s="43" t="inlineStr">
        <is>
          <t>䟒 䟕 䟘 䟙 䟚 䟛 䟝 䟞 䟟 䟢 䟣 䟤 䟥 䟦 䟩 䟪 䟫 䟬 䟭 䟮 䟰 䟱 䟲 䟳 䟴 䟵 䟶 䟷 䟺 䟻 䟼 䟽 䟾 䟿 䠁 䠂 䠃 䠄 䠆 䠇 䠈 䠉 䠋 䠌 䠍 䠎 䠏 䠐 䠑 䠓 䠕 䠖 䠗 䠙 䠚 䠛 䠞 䠟 䠠 䠡 䠢 䠣 䠤 䠥 䠧 䠨 䠩 䠪 䠫 䠬 䠭 䠮 䠯 䠰 䠱 䠲 䠵 䠶 䠸 䠼 䠿 䡃 䡄 䡆 䡇 䡈 䡉 䡊 䡋 䡌 䡍 䡎 䡐 䡓 䡕 䡖 䡗 䡘 䡚 䡜 䡝 䡞 䡠 䡢 䡣 䡤 䡥 䡦 䡧 䡨 䡩 䡪 䡫 䡬 䡭 䡮 䡯 䡰 䡲 䡳 䡴 䡵 䡶 䡷 䡸 䡹 䡺 䡽 䡾 䡿 䢀 䢁 䢂 䢃 䢄 䢅 䢆 䢇 䢈 䢉 䢊 䢋 䢌 䢍 䢎 䢏 䢐 䢑 䢒 䢓 䢔 䢕 䢖 䢗 䢘 䢙 䢚 䢛 䢜 䢝 䢞 䢟 䢠 䢡 䢢 䢣 䢤 䢥 䢦 䢧 䢨 䢩 䢪 䢫 䢬 䢭 䢮 䢯 䢰 䢱 䢲 䢴 䢷 䢽 䣀 䣉</t>
        </is>
      </c>
      <c r="S143" s="40" t="n"/>
      <c r="V143" s="14">
        <f>(LEN(O143)+1)/2</f>
        <v/>
      </c>
      <c r="W143" s="14">
        <f>ROUNDDOWN((LEN(P143)+1)/2,0)</f>
        <v/>
      </c>
      <c r="X143" s="14">
        <f>ROUNDDOWN((LEN(Q143)+1)/2,0)</f>
        <v/>
      </c>
      <c r="Y143" s="14">
        <f>ROUNDDOWN((LEN(R143)+1)/2,0)</f>
        <v/>
      </c>
      <c r="Z143" s="14">
        <f>ROUNDDOWN((LEN(S143)+1)/2,0)</f>
        <v/>
      </c>
      <c r="AA143" s="56" t="n">
        <v>46150.55832959754</v>
      </c>
    </row>
    <row r="144" ht="102" customHeight="1">
      <c r="B144" s="46" t="inlineStr">
        <is>
          <t>U+48CF-U+49CB</t>
        </is>
      </c>
      <c r="C144" s="46" t="inlineStr">
        <is>
          <t>CJK Unified Ideographs Extension A</t>
        </is>
      </c>
      <c r="D144" s="54">
        <f>HEX2DEC(MID(B144,3,FIND("-",E144)-3))</f>
        <v/>
      </c>
      <c r="E144" s="46" t="inlineStr">
        <is>
          <t>U+3400-U+4DBF</t>
        </is>
      </c>
      <c r="F144" s="12" t="n">
        <v>3</v>
      </c>
      <c r="J144" s="19">
        <f>ROUNDDOWN(W144,0)/$V144</f>
        <v/>
      </c>
      <c r="K144" s="19">
        <f>ROUNDDOWN(X144,0)/$V144</f>
        <v/>
      </c>
      <c r="L144" s="19">
        <f>ROUNDDOWN(Y144,0)/$V144</f>
        <v/>
      </c>
      <c r="M144" s="19">
        <f>ROUNDDOWN(Z144,0)/$V144</f>
        <v/>
      </c>
      <c r="O144" s="36" t="inlineStr">
        <is>
          <t>䣏 䣐 䣑 䣒 䣓 䣔 䣕 䣖 䣗 䣘 䣙 䣚 䣛 䣜 䣝 䣞 䣟 䣠 䣡 䣢 䣣 䣤 䣥 䣦 䣧 䣨 䣩 䣪 䣫 䣬 䣭 䣮 䣯 䣰 䣱 䣲 䣳 䣴 䣵 䣶 䣷 䣸 䣹 䣺 䣻 䣼 䣽 䣾 䣿 䤀 䤁 䤂 䤃 䤄 䤅 䤆 䤇 䤈 䤉 䤊 䤋 䤌 䤍 䤎 䤏 䤐 䤑 䤒 䤓 䤔 䤕 䤖 䤗 䤘 䤙 䤚 䤛 䤜 䤝 䤞 䤟 䤠 䤡 䤢 䤣 䤤 䤥 䤦 䤧 䤨 䤩 䤪 䤫 䤬 䤭 䤮 䤯 䤰 䤱 䤲 䤳 䤴 䤵 䤶 䤷 䤸 䤹 䤺 䤻 䤼 䤽 䤾 䤿 䥀 䥁 䥂 䥃 䥄 䥅 䥆 䥇 䥈 䥉 䥊 䥋 䥌 䥍 䥎 䥏 䥐 䥑 䥒 䥓 䥔 䥕 䥖 䥗 䥘 䥙 䥚 䥛 䥜 䥝 䥞 䥟 䥠 䥡 䥢 䥣 䥤 䥥 䥦 䥧 䥨 䥩 䥪 䥫 䥬 䥭 䥮 䥯 䥰 䥱 䥲 䥳 䥴 䥵 䥶 䥷 䥸 䥹 䥺 䥻 䥼 䥽 䥾 䥿 䦀 䦁 䦂 䦃 䦄 䦅 䦆 䦇 䦈 䦉 䦊 䦋 䦌 䦍 䦎 䦏 䦐 䦑 䦒 䦓 䦔 䦕 䦖 䦗 䦘 䦙 䦚 䦛 䦜 䦝 䦞 䦟 䦠 䦡 䦢 䦣 䦤 䦥 䦦 䦧 䦨 䦩 䦪 䦫 䦬 䦭 䦮 䦯 䦰 䦱 䦲 䦳 䦴 䦵 䦶 䦷 䦸 䦹 䦺 䦻 䦼 䦽 䦾 䦿 䧀 䧁 䧂 䧃 䧄 䧅 䧆 䧇 䧈 䧉 䧊 䧋</t>
        </is>
      </c>
      <c r="P144" s="37" t="inlineStr">
        <is>
          <t>䣏 䣐 䣑 䣒 䣓 䣔 䣕 䣖 䣗 䣘 䣙 䣚 䣛 䣜 䣝 䣞 䣟 䣠 䣡 䣢 䣣 䣤 䣥 䣦 䣧 䣨 䣩 䣪 䣫 䣬 䣭 䣮 䣯 䣰 䣱 䣲 䣳 䣴 䣵 䣶 䣷 䣸 䣹 䣺 䣻 䣼 䣽 䣾 䣿 䤀 䤁 䤂 䤃 䤄 䤅 䤆 䤇 䤈 䤉 䤊 䤋 䤌 䤍 䤎 䤏 䤐 䤑 䤒 䤓 䤔 䤕 䤖 䤗 䤘 䤙 䤚 䤛 䤜 䤝 䤞 䤟 䤠 䤡 䤢 䤣 䤤 䤥 䤦 䤧 䤨 䤩 䤪 䤫 䤬 䤭 䤮 䤯 䤰 䤱 䤲 䤳 䤴 䤵 䤶 䤷 䤸 䤹 䤺 䤻 䤼 䤽 䤾 䤿 䥀 䥁 䥂 䥃 䥄 䥅 䥆 䥇 䥈 䥉 䥊 䥋 䥌 䥍 䥎 䥏 䥐 䥑 䥒 䥓 䥔 䥕 䥖 䥗 䥘 䥙 䥚 䥛 䥜 䥝 䥞 䥟 䥠 䥡 䥢 䥣 䥤 䥥 䥦 䥧 䥨 䥩 䥪 䥫 䥬 䥭 䥮 䥯 䥰 䥱 䥲 䥳 䥴 䥵 䥶 䥷 䥸 䥹 䥺 䥻 䥼 䥽 䥾 䥿 䦀 䦁 䦂 䦃 䦄 䦅 䦆 䦇 䦈 䦉 䦊 䦋 䦌 䦍 䦎 䦏 䦐 䦑 䦒 䦓 䦔 䦕 䦖 䦗 䦘 䦙 䦚 䦛 䦜 䦝 䦞 䦟 䦠 䦡 䦢 䦣 䦤 䦥 䦦 䦧 䦨 䦩 䦪 䦫 䦬 䦭 䦮 䦯 䦰 䦱 䦲 䦳 䦴 䦵 䦶 䦷 䦸 䦹 䦺 䦻 䦼 䦽 䦾 䦿 䧀 䧁 䧂 䧃 䧄 䧅 䧆 䧇 䧈 䧉 䧊 䧋</t>
        </is>
      </c>
      <c r="Q144" s="38" t="inlineStr">
        <is>
          <t>䣏 䣐 䣑 䣒 䣓 䣔 䣕 䣖 䣗 䣘 䣙 䣚 䣛 䣜 䣝 䣞 䣟 䣠 䣡 䣢 䣣 䣤 䣥 䣦 䣧 䣨 䣩 䣪 䣫 䣬 䣭 䣮 䣯 䣰 䣱 䣲 䣳 䣴 䣵 䣶 䣷 䣸 䣹 䣺 䣻 䣼 䣽 䣾 䣿 䤀 䤁 䤂 䤃 䤄 䤅 䤆 䤇 䤈 䤉 䤊 䤋 䤌 䤍 䤎 䤏 䤐 䤑 䤒 䤓 䤔 䤕 䤖 䤗 䤘 䤙 䤚 䤛 䤜 䤝 䤞 䤟 䤠 䤡 䤢 䤣 䤤 䤥 䤦 䤧 䤨 䤩 䤪 䤫 䤬 䤭 䤮 䤯 䤰 䤱 䤲 䤳 䤴 䤵 䤶 䤷 䤸 䤹 䤺 䤻 䤼 䤽 䤾 䤿 䥀 䥁 䥂 䥃 䥄 䥅 䥆 䥇 䥈 䥉 䥊 䥋 䥌 䥍 䥎 䥏 䥐 䥑 䥒 䥓 䥔 䥕 䥖 䥗 䥘 䥙 䥚 䥛 䥜 䥝 䥞 䥟 䥠 䥡 䥢 䥣 䥤 䥥 䥦 䥧 䥨 䥩 䥪 䥫 䥬 䥭 䥮 䥯 䥰 䥱 䥲 䥳 䥴 䥵 䥶 䥷 䥸 䥹 䥺 䥻 䥼 䥽 䥾 䥿 䦀 䦁 䦂 䦃 䦄 䦅 䦆 䦇 䦈 䦉 䦊 䦋 䦌 䦍 䦎 䦏 䦐 䦑 䦒 䦓 䦔 䦕 䦖 䦗 䦘 䦙 䦚 䦛 䦜 䦝 䦞 䦟 䦠 䦡 䦢 䦣 䦤 䦥 䦦 䦧 䦨 䦩 䦪 䦫 䦬 䦭 䦮 䦯 䦰 䦱 䦲 䦳 䦴 䦵 䦶 䦷 䦸 䦹 䦺 䦻 䦼 䦽 䦾 䦿 䧀 䧁 䧂 䧃 䧄 䧅 䧆 䧇 䧈 䧉 䧊 䧋</t>
        </is>
      </c>
      <c r="R144" s="43" t="inlineStr">
        <is>
          <t>䣏 䣗 䣝 䣠 䣢 䣣 䣦 䣧 䣨 䣩 䣬 䣮 䣯 䣱 䣲 䣴 䣸 䣹 䣽 䣾 䣿 䤀 䤁 䤂 䤃 䤆 䤈 䤉 䤋 䤌 䤎 䤐 䤒 䤓 䤔 䤗 䤙 䤚 䤜 䤞 䤟 䤠 䤡 䤢 䤤 䤥 䤦 䤨 䤪 䤫 䤬 䤭 䤮 䤯 䤰 䤱 䤲 䤳 䤶 䤹 䤺 䤻 䤼 䤿 䥀 䥂 䥃 䥄 䥅 䥆 䥇 䥉 䥊 䥋 䥌 䥍 䥎 䥐 䥑 䥒 䥓 䥔 䥕 䥖 䥗 䥘 䥚 䥛 䥝 䥞 䥟 䥠 䥡 䥢 䥣 䥤 䥥 䥦 䥩 䥪 䥫 䥬 䥭 䥰 䥱 䥲 䥳 䥴 䥵 䥶 䥷 䥸 䥺 䥻 䥼 䥽 䥾 䥿 䦂 䦃 䦄 䦆 䦇 䦈 䦊 䦋 䦌 䦍 䦎 䦏 䦐 䦑 䦒 䦓 䦔 䦕 䦖 䦗 䦘 䦙 䦚 䦛 䦜 䦝 䦞 䦟 䦠 䦡 䦢 䦣 䦤 䦥 䦦 䦧 䦨 䦩 䦪 䦫 䦬 䦭 䦮 䦯 䦰 䦱 䦲 䦳 䦴 䦵 䦶 䦷 䦸 䦹 䦻 䦼 䦽 䦾 䧀 䧁 䧄 䧅 䧆 䧇 䧉 䧊 䧋</t>
        </is>
      </c>
      <c r="S144" s="40" t="n"/>
      <c r="V144" s="14">
        <f>(LEN(O144)+1)/2</f>
        <v/>
      </c>
      <c r="W144" s="14">
        <f>ROUNDDOWN((LEN(P144)+1)/2,0)</f>
        <v/>
      </c>
      <c r="X144" s="14">
        <f>ROUNDDOWN((LEN(Q144)+1)/2,0)</f>
        <v/>
      </c>
      <c r="Y144" s="14">
        <f>ROUNDDOWN((LEN(R144)+1)/2,0)</f>
        <v/>
      </c>
      <c r="Z144" s="14">
        <f>ROUNDDOWN((LEN(S144)+1)/2,0)</f>
        <v/>
      </c>
      <c r="AA144" s="56" t="n">
        <v>46150.55833252354</v>
      </c>
    </row>
    <row r="145" ht="102" customHeight="1">
      <c r="B145" s="46" t="inlineStr">
        <is>
          <t>U+49CC-U+4AC8</t>
        </is>
      </c>
      <c r="C145" s="46" t="inlineStr">
        <is>
          <t>CJK Unified Ideographs Extension A</t>
        </is>
      </c>
      <c r="D145" s="54">
        <f>HEX2DEC(MID(B145,3,FIND("-",E145)-3))</f>
        <v/>
      </c>
      <c r="E145" s="46" t="inlineStr">
        <is>
          <t>U+3400-U+4DBF</t>
        </is>
      </c>
      <c r="F145" s="12" t="n">
        <v>3</v>
      </c>
      <c r="J145" s="19">
        <f>ROUNDDOWN(W145,0)/$V145</f>
        <v/>
      </c>
      <c r="K145" s="19">
        <f>ROUNDDOWN(X145,0)/$V145</f>
        <v/>
      </c>
      <c r="L145" s="19">
        <f>ROUNDDOWN(Y145,0)/$V145</f>
        <v/>
      </c>
      <c r="M145" s="19">
        <f>ROUNDDOWN(Z145,0)/$V145</f>
        <v/>
      </c>
      <c r="O145" s="36" t="inlineStr">
        <is>
          <t>䧌 䧍 䧎 䧏 䧐 䧑 䧒 䧓 䧔 䧕 䧖 䧗 䧘 䧙 䧚 䧛 䧜 䧝 䧞 䧟 䧠 䧡 䧢 䧣 䧤 䧥 䧦 䧧 䧨 䧩 䧪 䧫 䧬 䧭 䧮 䧯 䧰 䧱 䧲 䧳 䧴 䧵 䧶 䧷 䧸 䧹 䧺 䧻 䧼 䧽 䧾 䧿 䨀 䨁 䨂 䨃 䨄 䨅 䨆 䨇 䨈 䨉 䨊 䨋 䨌 䨍 䨎 䨏 䨐 䨑 䨒 䨓 䨔 䨕 䨖 䨗 䨘 䨙 䨚 䨛 䨜 䨝 䨞 䨟 䨠 䨡 䨢 䨣 䨤 䨥 䨦 䨧 䨨 䨩 䨪 䨫 䨬 䨭 䨮 䨯 䨰 䨱 䨲 䨳 䨴 䨵 䨶 䨷 䨸 䨹 䨺 䨻 䨼 䨽 䨾 䨿 䩀 䩁 䩂 䩃 䩄 䩅 䩆 䩇 䩈 䩉 䩊 䩋 䩌 䩍 䩎 䩏 䩐 䩑 䩒 䩓 䩔 䩕 䩖 䩗 䩘 䩙 䩚 䩛 䩜 䩝 䩞 䩟 䩠 䩡 䩢 䩣 䩤 䩥 䩦 䩧 䩨 䩩 䩪 䩫 䩬 䩭 䩮 䩯 䩰 䩱 䩲 䩳 䩴 䩵 䩶 䩷 䩸 䩹 䩺 䩻 䩼 䩽 䩾 䩿 䪀 䪁 䪂 䪃 䪄 䪅 䪆 䪇 䪈 䪉 䪊 䪋 䪌 䪍 䪎 䪏 䪐 䪑 䪒 䪓 䪔 䪕 䪖 䪗 䪘 䪙 䪚 䪛 䪜 䪝 䪞 䪟 䪠 䪡 䪢 䪣 䪤 䪥 䪦 䪧 䪨 䪩 䪪 䪫 䪬 䪭 䪮 䪯 䪰 䪱 䪲 䪳 䪴 䪵 䪶 䪷 䪸 䪹 䪺 䪻 䪼 䪽 䪾 䪿 䫀 䫁 䫂 䫃 䫄 䫅 䫆 䫇 䫈</t>
        </is>
      </c>
      <c r="P145" s="37" t="inlineStr">
        <is>
          <t>䧌 䧍 䧎 䧏 䧐 䧑 䧒 䧓 䧔 䧕 䧖 䧗 䧘 䧙 䧚 䧛 䧜 䧝 䧞 䧟 䧠 䧡 䧢 䧣 䧤 䧥 䧦 䧧 䧨 䧩 䧪 䧫 䧬 䧭 䧮 䧯 䧰 䧱 䧲 䧳 䧴 䧵 䧶 䧷 䧸 䧹 䧺 䧻 䧼 䧽 䧾 䧿 䨀 䨁 䨂 䨃 䨄 䨅 䨆 䨇 䨈 䨉 䨊 䨋 䨌 䨍 䨎 䨏 䨐 䨑 䨒 䨓 䨔 䨕 䨖 䨗 䨘 䨙 䨚 䨛 䨜 䨝 䨞 䨟 䨠 䨡 䨢 䨣 䨤 䨥 䨦 䨧 䨨 䨩 䨪 䨫 䨬 䨭 䨮 䨯 䨰 䨱 䨲 䨳 䨴 䨵 䨶 䨷 䨸 䨹 䨺 䨻 䨼 䨽 䨾 䨿 䩀 䩁 䩂 䩃 䩄 䩅 䩆 䩇 䩈 䩉 䩊 䩋 䩌 䩍 䩎 䩏 䩐 䩑 䩒 䩓 䩔 䩕 䩖 䩗 䩘 䩙 䩚 䩛 䩜 䩝 䩞 䩟 䩠 䩡 䩢 䩣 䩤 䩥 䩦 䩧 䩨 䩩 䩪 䩫 䩬 䩭 䩮 䩯 䩰 䩱 䩲 䩳 䩴 䩵 䩶 䩷 䩸 䩹 䩺 䩻 䩼 䩽 䩾 䩿 䪀 䪁 䪂 䪃 䪄 䪅 䪆 䪇 䪈 䪉 䪊 䪋 䪌 䪍 䪎 䪏 䪐 䪑 䪒 䪓 䪔 䪕 䪖 䪗 䪘 䪙 䪚 䪛 䪜 䪝 䪞 䪟 䪠 䪡 䪢 䪣 䪤 䪥 䪦 䪧 䪨 䪩 䪪 䪫 䪬 䪭 䪮 䪯 䪰 䪱 䪲 䪳 䪴 䪵 䪶 䪷 䪸 䪹 䪺 䪻 䪼 䪽 䪾 䪿 䫀 䫁 䫂 䫃 䫄 䫅 䫆 䫇 䫈</t>
        </is>
      </c>
      <c r="Q145" s="38" t="inlineStr">
        <is>
          <t>䧌 䧍 䧎 䧏 䧐 䧑 䧒 䧓 䧔 䧕 䧖 䧗 䧘 䧙 䧚 䧛 䧜 䧝 䧞 䧟 䧠 䧡 䧢 䧣 䧤 䧥 䧦 䧧 䧨 䧩 䧪 䧫 䧬 䧭 䧮 䧯 䧰 䧱 䧲 䧳 䧴 䧵 䧶 䧷 䧸 䧹 䧺 䧻 䧼 䧽 䧾 䧿 䨀 䨁 䨂 䨃 䨄 䨅 䨆 䨇 䨈 䨉 䨊 䨋 䨌 䨍 䨎 䨏 䨐 䨑 䨒 䨓 䨔 䨕 䨖 䨗 䨘 䨙 䨚 䨛 䨜 䨝 䨞 䨟 䨠 䨡 䨢 䨣 䨤 䨥 䨦 䨧 䨨 䨩 䨪 䨫 䨬 䨭 䨮 䨯 䨰 䨱 䨲 䨳 䨴 䨵 䨶 䨷 䨸 䨹 䨺 䨻 䨼 䨽 䨾 䨿 䩀 䩁 䩂 䩃 䩄 䩅 䩆 䩇 䩈 䩉 䩊 䩋 䩌 䩍 䩎 䩏 䩐 䩑 䩒 䩓 䩔 䩕 䩖 䩗 䩘 䩙 䩚 䩛 䩜 䩝 䩞 䩟 䩠 䩡 䩢 䩣 䩤 䩥 䩦 䩧 䩨 䩩 䩪 䩫 䩬 䩭 䩮 䩯 䩰 䩱 䩲 䩳 䩴 䩵 䩶 䩷 䩸 䩹 䩺 䩻 䩼 䩽 䩾 䩿 䪀 䪁 䪂 䪃 䪄 䪅 䪆 䪇 䪈 䪉 䪊 䪋 䪌 䪍 䪎 䪏 䪐 䪑 䪒 䪓 䪔 䪕 䪖 䪗 䪘 䪙 䪚 䪛 䪜 䪝 䪞 䪟 䪠 䪡 䪢 䪣 䪤 䪥 䪦 䪧 䪨 䪩 䪪 䪫 䪬 䪭 䪮 䪯 䪰 䪱 䪲 䪳 䪴 䪵 䪶 䪷 䪸 䪹 䪺 䪻 䪼 䪽 䪾 䪿 䫀 䫁 䫂 䫃 䫄 䫅 䫆 䫇 䫈</t>
        </is>
      </c>
      <c r="R145" s="43" t="inlineStr">
        <is>
          <t>䧌 䧍 䧏 䧐 䧑 䧒 䧓 䧔 䧕 䧗 䧘 䧙 䧛 䧜 䧝 䧞 䧡 䧣 䧤 䧥 䧦 䧨 䧩 䧪 䧭 䧮 䧯 䧰 䧱 䧲 䧳 䧴 䧵 䧶 䧷 䧸 䧹 䧺 䧻 䧼 䧽 䧾 䧿 䨀 䨁 䨂 䨃 䨄 䨅 䨆 䨇 䨈 䨉 䨊 䨋 䨌 䨍 䨎 䨏 䨐 䨑 䨒 䨓 䨔 䨕 䨖 䨗 䨘 䨙 䨚 䨛 䨜 䨝 䨞 䨟 䨠 䨡 䨢 䨣 䨤 䨥 䨦 䨧 䨨 䨩 䨪 䨫 䨬 䨭 䨮 䨯 䨰 䨱 䨲 䨳 䨴 䨵 䨶 䨷 䨸 䨹 䨺 䨼 䨽 䨾 䨿 䩀 䩁 䩂 䩄 䩅 䩆 䩈 䩊 䩋 䩌 䩍 䩎 䩏 䩐 䩑 䩒 䩓 䩔 䩖 䩗 䩘 䩙 䩛 䩜 䩝 䩞 䩟 䩠 䩡 䩢 䩣 䩤 䩥 䩦 䩨 䩩 䩪 䩬 䩭 䩮 䩯 䩰 䩱 䩲 䩳 䩵 䩶 䩷 䩺 䩻 䩼 䩾 䩿 䪀 䪁 䪂 䪄 䪅 䪆 䪇 䪈 䪋 䪌 䪎 䪏 䪐 䪑 䪒 䪓 䪔 䪕 䪖 䪗 䪘 䪙 䪚 䪛 䪜 䪝 䪞 䪟 䪠 䪡 䪢 䪣 䪤 䪥 䪦 䪧 䪨 䪩 䪪 䪫 䪬 䪮 䪯 䪰 䪱 䪲 䪳 䪴 䪵 䪶 䪷 䪸 䪹 䪺 䪻 䪼 䪽 䪾 䪿 䫀 䫁 䫂 䫄 䫅 䫇 䫈</t>
        </is>
      </c>
      <c r="S145" s="40" t="n"/>
      <c r="V145" s="14">
        <f>(LEN(O145)+1)/2</f>
        <v/>
      </c>
      <c r="W145" s="14">
        <f>ROUNDDOWN((LEN(P145)+1)/2,0)</f>
        <v/>
      </c>
      <c r="X145" s="14">
        <f>ROUNDDOWN((LEN(Q145)+1)/2,0)</f>
        <v/>
      </c>
      <c r="Y145" s="14">
        <f>ROUNDDOWN((LEN(R145)+1)/2,0)</f>
        <v/>
      </c>
      <c r="Z145" s="14">
        <f>ROUNDDOWN((LEN(S145)+1)/2,0)</f>
        <v/>
      </c>
      <c r="AA145" s="56" t="n">
        <v>46150.55833543234</v>
      </c>
    </row>
    <row r="146" ht="102" customHeight="1">
      <c r="B146" s="46" t="inlineStr">
        <is>
          <t>U+4AC9-U+4BC5</t>
        </is>
      </c>
      <c r="C146" s="46" t="inlineStr">
        <is>
          <t>CJK Unified Ideographs Extension A</t>
        </is>
      </c>
      <c r="D146" s="54">
        <f>HEX2DEC(MID(B146,3,FIND("-",E146)-3))</f>
        <v/>
      </c>
      <c r="E146" s="46" t="inlineStr">
        <is>
          <t>U+3400-U+4DBF</t>
        </is>
      </c>
      <c r="F146" s="12" t="n">
        <v>3</v>
      </c>
      <c r="J146" s="19">
        <f>ROUNDDOWN(W146,0)/$V146</f>
        <v/>
      </c>
      <c r="K146" s="19">
        <f>ROUNDDOWN(X146,0)/$V146</f>
        <v/>
      </c>
      <c r="L146" s="19">
        <f>ROUNDDOWN(Y146,0)/$V146</f>
        <v/>
      </c>
      <c r="M146" s="19">
        <f>ROUNDDOWN(Z146,0)/$V146</f>
        <v/>
      </c>
      <c r="O146" s="36" t="inlineStr">
        <is>
          <t>䫉 䫊 䫋 䫌 䫍 䫎 䫏 䫐 䫑 䫒 䫓 䫔 䫕 䫖 䫗 䫘 䫙 䫚 䫛 䫜 䫝 䫞 䫟 䫠 䫡 䫢 䫣 䫤 䫥 䫦 䫧 䫨 䫩 䫪 䫫 䫬 䫭 䫮 䫯 䫰 䫱 䫲 䫳 䫴 䫵 䫶 䫷 䫸 䫹 䫺 䫻 䫼 䫽 䫾 䫿 䬀 䬁 䬂 䬃 䬄 䬅 䬆 䬇 䬈 䬉 䬊 䬋 䬌 䬍 䬎 䬏 䬐 䬑 䬒 䬓 䬔 䬕 䬖 䬗 䬘 䬙 䬚 䬛 䬜 䬝 䬞 䬟 䬠 䬡 䬢 䬣 䬤 䬥 䬦 䬧 䬨 䬩 䬪 䬫 䬬 䬭 䬮 䬯 䬰 䬱 䬲 䬳 䬴 䬵 䬶 䬷 䬸 䬹 䬺 䬻 䬼 䬽 䬾 䬿 䭀 䭁 䭂 䭃 䭄 䭅 䭆 䭇 䭈 䭉 䭊 䭋 䭌 䭍 䭎 䭏 䭐 䭑 䭒 䭓 䭔 䭕 䭖 䭗 䭘 䭙 䭚 䭛 䭜 䭝 䭞 䭟 䭠 䭡 䭢 䭣 䭤 䭥 䭦 䭧 䭨 䭩 䭪 䭫 䭬 䭭 䭮 䭯 䭰 䭱 䭲 䭳 䭴 䭵 䭶 䭷 䭸 䭹 䭺 䭻 䭼 䭽 䭾 䭿 䮀 䮁 䮂 䮃 䮄 䮅 䮆 䮇 䮈 䮉 䮊 䮋 䮌 䮍 䮎 䮏 䮐 䮑 䮒 䮓 䮔 䮕 䮖 䮗 䮘 䮙 䮚 䮛 䮜 䮝 䮞 䮟 䮠 䮡 䮢 䮣 䮤 䮥 䮦 䮧 䮨 䮩 䮪 䮫 䮬 䮭 䮮 䮯 䮰 䮱 䮲 䮳 䮴 䮵 䮶 䮷 䮸 䮹 䮺 䮻 䮼 䮽 䮾 䮿 䯀 䯁 䯂 䯃 䯄 䯅</t>
        </is>
      </c>
      <c r="P146" s="37" t="inlineStr">
        <is>
          <t>䫉 䫊 䫋 䫌 䫍 䫎 䫏 䫐 䫑 䫒 䫓 䫔 䫕 䫖 䫗 䫘 䫙 䫚 䫛 䫜 䫝 䫞 䫟 䫠 䫡 䫢 䫣 䫤 䫥 䫦 䫧 䫨 䫩 䫪 䫫 䫬 䫭 䫮 䫯 䫰 䫱 䫲 䫳 䫴 䫵 䫶 䫷 䫸 䫹 䫺 䫻 䫼 䫽 䫾 䫿 䬀 䬁 䬂 䬃 䬄 䬅 䬆 䬇 䬈 䬉 䬊 䬋 䬌 䬍 䬎 䬏 䬐 䬑 䬒 䬓 䬔 䬕 䬖 䬗 䬘 䬙 䬚 䬛 䬜 䬝 䬞 䬟 䬠 䬡 䬢 䬣 䬤 䬥 䬦 䬧 䬨 䬩 䬪 䬫 䬬 䬭 䬮 䬯 䬰 䬱 䬲 䬳 䬴 䬵 䬶 䬷 䬸 䬹 䬺 䬻 䬼 䬽 䬾 䬿 䭀 䭁 䭂 䭃 䭄 䭅 䭆 䭇 䭈 䭉 䭊 䭋 䭌 䭍 䭎 䭏 䭐 䭑 䭒 䭓 䭔 䭕 䭖 䭗 䭘 䭙 䭚 䭛 䭜 䭝 䭞 䭟 䭠 䭡 䭢 䭣 䭤 䭥 䭦 䭧 䭨 䭩 䭪 䭫 䭬 䭭 䭮 䭯 䭰 䭱 䭲 䭳 䭴 䭵 䭶 䭷 䭸 䭹 䭺 䭻 䭼 䭽 䭾 䭿 䮀 䮁 䮂 䮃 䮄 䮅 䮆 䮇 䮈 䮉 䮊 䮋 䮌 䮍 䮎 䮏 䮐 䮑 䮒 䮓 䮔 䮕 䮖 䮗 䮘 䮙 䮚 䮛 䮜 䮝 䮞 䮟 䮠 䮡 䮢 䮣 䮤 䮥 䮦 䮧 䮨 䮩 䮪 䮫 䮬 䮭 䮮 䮯 䮰 䮱 䮲 䮳 䮴 䮵 䮶 䮷 䮸 䮹 䮺 䮻 䮼 䮽 䮾 䮿 䯀 䯁 䯂 䯃 䯄 䯅</t>
        </is>
      </c>
      <c r="Q146" s="38" t="inlineStr">
        <is>
          <t>䫉 䫊 䫋 䫌 䫍 䫎 䫏 䫐 䫑 䫒 䫓 䫔 䫕 䫖 䫗 䫘 䫙 䫚 䫛 䫜 䫝 䫞 䫟 䫠 䫡 䫢 䫣 䫤 䫥 䫦 䫧 䫨 䫩 䫪 䫫 䫬 䫭 䫮 䫯 䫰 䫱 䫲 䫳 䫴 䫵 䫶 䫷 䫸 䫹 䫺 䫻 䫼 䫽 䫾 䫿 䬀 䬁 䬂 䬃 䬄 䬅 䬆 䬇 䬈 䬉 䬊 䬋 䬌 䬍 䬎 䬏 䬐 䬑 䬒 䬓 䬔 䬕 䬖 䬗 䬘 䬙 䬚 䬛 䬜 䬝 䬞 䬟 䬠 䬡 䬢 䬣 䬤 䬥 䬦 䬧 䬨 䬩 䬪 䬫 䬬 䬭 䬮 䬯 䬰 䬱 䬲 䬳 䬴 䬵 䬶 䬷 䬸 䬹 䬺 䬻 䬼 䬽 䬾 䬿 䭀 䭁 䭂 䭃 䭄 䭅 䭆 䭇 䭈 䭉 䭊 䭋 䭌 䭍 䭎 䭏 䭐 䭑 䭒 䭓 䭔 䭕 䭖 䭗 䭘 䭙 䭚 䭛 䭜 䭝 䭞 䭟 䭠 䭡 䭢 䭣 䭤 䭥 䭦 䭧 䭨 䭩 䭪 䭫 䭬 䭭 䭮 䭯 䭰 䭱 䭲 䭳 䭴 䭵 䭶 䭷 䭸 䭹 䭺 䭻 䭼 䭽 䭾 䭿 䮀 䮁 䮂 䮃 䮄 䮅 䮆 䮇 䮈 䮉 䮊 䮋 䮌 䮍 䮎 䮏 䮐 䮑 䮒 䮓 䮔 䮕 䮖 䮗 䮘 䮙 䮚 䮛 䮜 䮝 䮞 䮟 䮠 䮡 䮢 䮣 䮤 䮥 䮦 䮧 䮨 䮩 䮪 䮫 䮬 䮭 䮮 䮯 䮰 䮱 䮲 䮳 䮴 䮵 䮶 䮷 䮸 䮹 䮺 䮻 䮼 䮽 䮾 䮿 䯀 䯁 䯂 䯃 䯄 䯅</t>
        </is>
      </c>
      <c r="R146" s="43" t="inlineStr">
        <is>
          <t>䫉 䫊 䫋 䫌 䫏 䫐 䫑 䫒 䫓 䫔 䫕 䫖 䫘 䫙 䫚 䫝 䫞 䫟 䫠 䫡 䫢 䫣 䫥 䫧 䫨 䫪 䫫 䫭 䫮 䫯 䫰 䫴 䫶 䫸 䫹 䫺 䫻 䫼 䫽 䫾 䫿 䬀 䬁 䬂 䬃 䬄 䬅 䬆 䬇 䬈 䬉 䬊 䬋 䬌 䬍 䬎 䬏 䬐 䬑 䬒 䬓 䬔 䬕 䬖 䬗 䬘 䬙 䬚 䬛 䬜 䬝 䬞 䬟 䬠 䬡 䬢 䬣 䬤 䬥 䬦 䬧 䬨 䬩 䬪 䬫 䬬 䬭 䬮 䬯 䬰 䬱 䬲 䬳 䬴 䬵 䬶 䬷 䬸 䬹 䬺 䬻 䬼 䬽 䬾 䬿 䭀 䭁 䭂 䭃 䭄 䭅 䭆 䭇 䭈 䭉 䭊 䭋 䭌 䭍 䭎 䭏 䭐 䭑 䭒 䭓 䭔 䭕 䭖 䭗 䭘 䭙 䭚 䭛 䭜 䭝 䭞 䭟 䭠 䭡 䭢 䭣 䭤 䭥 䭦 䭧 䭨 䭩 䭪 䭫 䭬 䭭 䭮 䭯 䭰 䭱 䭲 䭳 䭴 䭵 䭶 䭷 䭸 䭺 䭻 䭼 䭽 䭾 䭿 䮀 䮁 䮂 䮄 䮇 䮈 䮉 䮊 䮌 䮍 䮎 䮓 䮕 䮗 䮘 䮙 䮞 䮟 䮤 䮧 䮪 䮬 䮭 䮮 䮯 䮱 䮴 䮵 䮶 䮷 䮸 䮹 䮺 䮼 䮽 䮿 䯀 䯁 䯂 䯃 䯅</t>
        </is>
      </c>
      <c r="S146" s="40" t="n"/>
      <c r="V146" s="14">
        <f>(LEN(O146)+1)/2</f>
        <v/>
      </c>
      <c r="W146" s="14">
        <f>ROUNDDOWN((LEN(P146)+1)/2,0)</f>
        <v/>
      </c>
      <c r="X146" s="14">
        <f>ROUNDDOWN((LEN(Q146)+1)/2,0)</f>
        <v/>
      </c>
      <c r="Y146" s="14">
        <f>ROUNDDOWN((LEN(R146)+1)/2,0)</f>
        <v/>
      </c>
      <c r="Z146" s="14">
        <f>ROUNDDOWN((LEN(S146)+1)/2,0)</f>
        <v/>
      </c>
      <c r="AA146" s="56" t="n">
        <v>46150.55833842648</v>
      </c>
    </row>
    <row r="147" ht="102" customHeight="1">
      <c r="B147" s="46" t="inlineStr">
        <is>
          <t>U+4BC6-U+4CC2</t>
        </is>
      </c>
      <c r="C147" s="46" t="inlineStr">
        <is>
          <t>CJK Unified Ideographs Extension A</t>
        </is>
      </c>
      <c r="D147" s="54">
        <f>HEX2DEC(MID(B147,3,FIND("-",E147)-3))</f>
        <v/>
      </c>
      <c r="E147" s="46" t="inlineStr">
        <is>
          <t>U+3400-U+4DBF</t>
        </is>
      </c>
      <c r="F147" s="12" t="n">
        <v>3</v>
      </c>
      <c r="J147" s="19">
        <f>ROUNDDOWN(W147,0)/$V147</f>
        <v/>
      </c>
      <c r="K147" s="19">
        <f>ROUNDDOWN(X147,0)/$V147</f>
        <v/>
      </c>
      <c r="L147" s="19">
        <f>ROUNDDOWN(Y147,0)/$V147</f>
        <v/>
      </c>
      <c r="M147" s="19">
        <f>ROUNDDOWN(Z147,0)/$V147</f>
        <v/>
      </c>
      <c r="O147" s="36" t="inlineStr">
        <is>
          <t>䯆 䯇 䯈 䯉 䯊 䯋 䯌 䯍 䯎 䯏 䯐 䯑 䯒 䯓 䯔 䯕 䯖 䯗 䯘 䯙 䯚 䯛 䯜 䯝 䯞 䯟 䯠 䯡 䯢 䯣 䯤 䯥 䯦 䯧 䯨 䯩 䯪 䯫 䯬 䯭 䯮 䯯 䯰 䯱 䯲 䯳 䯴 䯵 䯶 䯷 䯸 䯹 䯺 䯻 䯼 䯽 䯾 䯿 䰀 䰁 䰂 䰃 䰄 䰅 䰆 䰇 䰈 䰉 䰊 䰋 䰌 䰍 䰎 䰏 䰐 䰑 䰒 䰓 䰔 䰕 䰖 䰗 䰘 䰙 䰚 䰛 䰜 䰝 䰞 䰟 䰠 䰡 䰢 䰣 䰤 䰥 䰦 䰧 䰨 䰩 䰪 䰫 䰬 䰭 䰮 䰯 䰰 䰱 䰲 䰳 䰴 䰵 䰶 䰷 䰸 䰹 䰺 䰻 䰼 䰽 䰾 䰿 䱀 䱁 䱂 䱃 䱄 䱅 䱆 䱇 䱈 䱉 䱊 䱋 䱌 䱍 䱎 䱏 䱐 䱑 䱒 䱓 䱔 䱕 䱖 䱗 䱘 䱙 䱚 䱛 䱜 䱝 䱞 䱟 䱠 䱡 䱢 䱣 䱤 䱥 䱦 䱧 䱨 䱩 䱪 䱫 䱬 䱭 䱮 䱯 䱰 䱱 䱲 䱳 䱴 䱵 䱶 䱷 䱸 䱹 䱺 䱻 䱼 䱽 䱾 䱿 䲀 䲁 䲂 䲃 䲄 䲅 䲆 䲇 䲈 䲉 䲊 䲋 䲌 䲍 䲎 䲏 䲐 䲑 䲒 䲓 䲔 䲕 䲖 䲗 䲘 䲙 䲚 䲛 䲜 䲝 䲞 䲟 䲠 䲡 䲢 䲣 䲤 䲥 䲦 䲧 䲨 䲩 䲪 䲫 䲬 䲭 䲮 䲯 䲰 䲱 䲲 䲳 䲴 䲵 䲶 䲷 䲸 䲹 䲺 䲻 䲼 䲽 䲾 䲿 䳀 䳁 䳂</t>
        </is>
      </c>
      <c r="P147" s="37" t="inlineStr">
        <is>
          <t>䯆 䯇 䯈 䯉 䯊 䯋 䯌 䯍 䯎 䯏 䯐 䯑 䯒 䯓 䯔 䯕 䯖 䯗 䯘 䯙 䯚 䯛 䯜 䯝 䯞 䯟 䯠 䯡 䯢 䯣 䯤 䯥 䯦 䯧 䯨 䯩 䯪 䯫 䯬 䯭 䯮 䯯 䯰 䯱 䯲 䯳 䯴 䯵 䯶 䯷 䯸 䯹 䯺 䯻 䯼 䯽 䯾 䯿 䰀 䰁 䰂 䰃 䰄 䰅 䰆 䰇 䰈 䰉 䰊 䰋 䰌 䰍 䰎 䰏 䰐 䰑 䰒 䰓 䰔 䰕 䰖 䰗 䰘 䰙 䰚 䰛 䰜 䰝 䰞 䰟 䰠 䰡 䰢 䰣 䰤 䰥 䰦 䰧 䰨 䰩 䰪 䰫 䰬 䰭 䰮 䰯 䰰 䰱 䰲 䰳 䰴 䰵 䰶 䰷 䰸 䰹 䰺 䰻 䰼 䰽 䰾 䰿 䱀 䱁 䱂 䱃 䱄 䱅 䱆 䱇 䱈 䱉 䱊 䱋 䱌 䱍 䱎 䱏 䱐 䱑 䱒 䱓 䱔 䱕 䱖 䱗 䱘 䱙 䱚 䱛 䱜 䱝 䱞 䱟 䱠 䱡 䱢 䱣 䱤 䱥 䱦 䱧 䱨 䱩 䱪 䱫 䱬 䱭 䱮 䱯 䱰 䱱 䱲 䱳 䱴 䱵 䱶 䱷 䱸 䱹 䱺 䱻 䱼 䱽 䱾 䱿 䲀 䲁 䲂 䲃 䲄 䲅 䲆 䲇 䲈 䲉 䲊 䲋 䲌 䲍 䲎 䲏 䲐 䲑 䲒 䲓 䲔 䲕 䲖 䲗 䲘 䲙 䲚 䲛 䲜 䲝 䲞 䲟 䲠 䲡 䲢 䲣 䲤 䲥 䲦 䲧 䲨 䲩 䲪 䲫 䲬 䲭 䲮 䲯 䲰 䲱 䲲 䲳 䲴 䲵 䲶 䲷 䲸 䲹 䲺 䲻 䲼 䲽 䲾 䲿 䳀 䳁 䳂</t>
        </is>
      </c>
      <c r="Q147" s="38" t="inlineStr">
        <is>
          <t>䯆 䯇 䯈 䯉 䯊 䯋 䯌 䯍 䯎 䯏 䯐 䯑 䯒 䯓 䯔 䯕 䯖 䯗 䯘 䯙 䯚 䯛 䯜 䯝 䯞 䯟 䯠 䯡 䯢 䯣 䯤 䯥 䯦 䯧 䯨 䯩 䯪 䯫 䯬 䯭 䯮 䯯 䯰 䯱 䯲 䯳 䯴 䯵 䯶 䯷 䯸 䯹 䯺 䯻 䯼 䯽 䯾 䯿 䰀 䰁 䰂 䰃 䰄 䰅 䰆 䰇 䰈 䰉 䰊 䰋 䰌 䰍 䰎 䰏 䰐 䰑 䰒 䰓 䰔 䰕 䰖 䰗 䰘 䰙 䰚 䰛 䰜 䰝 䰞 䰟 䰠 䰡 䰢 䰣 䰤 䰥 䰦 䰧 䰨 䰩 䰪 䰫 䰬 䰭 䰮 䰯 䰰 䰱 䰲 䰳 䰴 䰵 䰶 䰷 䰸 䰹 䰺 䰻 䰼 䰽 䰾 䰿 䱀 䱁 䱂 䱃 䱄 䱅 䱆 䱇 䱈 䱉 䱊 䱋 䱌 䱍 䱎 䱏 䱐 䱑 䱒 䱓 䱔 䱕 䱖 䱗 䱘 䱙 䱚 䱛 䱜 䱝 䱞 䱟 䱠 䱡 䱢 䱣 䱤 䱥 䱦 䱧 䱨 䱩 䱪 䱫 䱬 䱭 䱮 䱯 䱰 䱱 䱲 䱳 䱴 䱵 䱶 䱷 䱸 䱹 䱺 䱻 䱼 䱽 䱾 䱿 䲀 䲁 䲂 䲃 䲄 䲅 䲆 䲇 䲈 䲉 䲊 䲋 䲌 䲍 䲎 䲏 䲐 䲑 䲒 䲓 䲔 䲕 䲖 䲗 䲘 䲙 䲚 䲛 䲜 䲝 䲞 䲟 䲠 䲡 䲢 䲣 䲤 䲥 䲦 䲧 䲨 䲩 䲪 䲫 䲬 䲭 䲮 䲯 䲰 䲱 䲲 䲳 䲴 䲵 䲶 䲷 䲸 䲹 䲺 䲻 䲼 䲽 䲾 䲿 䳀 䳁 䳂</t>
        </is>
      </c>
      <c r="R147" s="43" t="inlineStr">
        <is>
          <t>䯇 䯈 䯉 䯊 䯋 䯌 䯍 䯎 䯑 䯒 䯓 䯔 䯕 䯗 䯘 䯛 䯜 䯝 䯞 䯟 䯠 䯡 䯢 䯣 䯤 䯥 䯦 䯧 䯨 䯩 䯪 䯫 䯭 䯮 䯯 䯰 䯱 䯲 䯳 䯴 䯵 䯶 䯷 䯸 䯹 䯺 䯻 䯼 䯽 䯾 䯿 䰀 䰁 䰂 䰃 䰄 䰅 䰆 䰇 䰈 䰉 䰊 䰋 䰌 䰍 䰎 䰏 䰐 䰑 䰒 䰓 䰔 䰕 䰖 䰛 䰞 䰟 䰠 䰡 䰢 䰣 䰤 䰥 䰦 䰧 䰨 䰩 䰪 䰫 䰬 䰭 䰮 䰯 䰰 䰱 䰴 䰵 䰶 䰷 䰸 䰹 䰺 䰻 䰼 䰽 䰿 䱀 䱁 䱂 䱃 䱄 䱅 䱆 䱇 䱈 䱉 䱊 䱋 䱍 䱎 䱏 䱐 䱑 䱓 䱔 䱕 䱗 䱘 䱙 䱚 䱛 䱜 䱝 䱞 䱟 䱠 䱡 䱢 䱣 䱤 䱥 䱦 䱧 䱪 䱫 䱬 䱭 䱮 䱯 䱰 䱲 䱳 䱵 䱷 䱸 䱹 䱺 䱼 䱽 䱾 䱿 䲀 䲁 䲂 䲃 䲄 䲅 䲇 䲈 䲉 䲋 䲌 䲍 䲎 䲏 䲐 䲑 䲒 䲓 䲕 䲗 䲘 䲚 䲛 䲝 䲞 䲠 䲢 䲣 䲤 䲥 䲦 䲧 䲨 䲩 䲪 䲫 䲭 䲯 䲰 䲱 䲲 䲳 䲴 䲵 䲶 䲷 䲸 䲹 䲺 䲻 䲼 䲾 䲿 䳀 䳁</t>
        </is>
      </c>
      <c r="S147" s="40" t="n"/>
      <c r="V147" s="14">
        <f>(LEN(O147)+1)/2</f>
        <v/>
      </c>
      <c r="W147" s="14">
        <f>ROUNDDOWN((LEN(P147)+1)/2,0)</f>
        <v/>
      </c>
      <c r="X147" s="14">
        <f>ROUNDDOWN((LEN(Q147)+1)/2,0)</f>
        <v/>
      </c>
      <c r="Y147" s="14">
        <f>ROUNDDOWN((LEN(R147)+1)/2,0)</f>
        <v/>
      </c>
      <c r="Z147" s="14">
        <f>ROUNDDOWN((LEN(S147)+1)/2,0)</f>
        <v/>
      </c>
      <c r="AA147" s="56" t="n">
        <v>46150.55834119213</v>
      </c>
    </row>
    <row r="148" ht="102" customHeight="1">
      <c r="B148" s="46" t="inlineStr">
        <is>
          <t>U+4CC3-U+4DBF</t>
        </is>
      </c>
      <c r="C148" s="46" t="inlineStr">
        <is>
          <t>CJK Unified Ideographs Extension A</t>
        </is>
      </c>
      <c r="D148" s="54">
        <f>HEX2DEC(MID(B148,3,FIND("-",E148)-3))</f>
        <v/>
      </c>
      <c r="E148" s="46" t="inlineStr">
        <is>
          <t>U+3400-U+4DBF</t>
        </is>
      </c>
      <c r="F148" s="12" t="n">
        <v>3</v>
      </c>
      <c r="J148" s="19">
        <f>ROUNDDOWN(W148,0)/$V148</f>
        <v/>
      </c>
      <c r="K148" s="19">
        <f>ROUNDDOWN(X148,0)/$V148</f>
        <v/>
      </c>
      <c r="L148" s="19">
        <f>ROUNDDOWN(Y148,0)/$V148</f>
        <v/>
      </c>
      <c r="M148" s="19">
        <f>ROUNDDOWN(Z148,0)/$V148</f>
        <v/>
      </c>
      <c r="O148" s="36" t="inlineStr">
        <is>
          <t>䳃 䳄 䳅 䳆 䳇 䳈 䳉 䳊 䳋 䳌 䳍 䳎 䳏 䳐 䳑 䳒 䳓 䳔 䳕 䳖 䳗 䳘 䳙 䳚 䳛 䳜 䳝 䳞 䳟 䳠 䳡 䳢 䳣 䳤 䳥 䳦 䳧 䳨 䳩 䳪 䳫 䳬 䳭 䳮 䳯 䳰 䳱 䳲 䳳 䳴 䳵 䳶 䳷 䳸 䳹 䳺 䳻 䳼 䳽 䳾 䳿 䴀 䴁 䴂 䴃 䴄 䴅 䴆 䴇 䴈 䴉 䴊 䴋 䴌 䴍 䴎 䴏 䴐 䴑 䴒 䴓 䴔 䴕 䴖 䴗 䴘 䴙 䴚 䴛 䴜 䴝 䴞 䴟 䴠 䴡 䴢 䴣 䴤 䴥 䴦 䴧 䴨 䴩 䴪 䴫 䴬 䴭 䴮 䴯 䴰 䴱 䴲 䴳 䴴 䴵 䴶 䴷 䴸 䴹 䴺 䴻 䴼 䴽 䴾 䴿 䵀 䵁 䵂 䵃 䵄 䵅 䵆 䵇 䵈 䵉 䵊 䵋 䵌 䵍 䵎 䵏 䵐 䵑 䵒 䵓 䵔 䵕 䵖 䵗 䵘 䵙 䵚 䵛 䵜 䵝 䵞 䵟 䵠 䵡 䵢 䵣 䵤 䵥 䵦 䵧 䵨 䵩 䵪 䵫 䵬 䵭 䵮 䵯 䵰 䵱 䵲 䵳 䵴 䵵 䵶 䵷 䵸 䵹 䵺 䵻 䵼 䵽 䵾 䵿 䶀 䶁 䶂 䶃 䶄 䶅 䶆 䶇 䶈 䶉 䶊 䶋 䶌 䶍 䶎 䶏 䶐 䶑 䶒 䶓 䶔 䶕 䶖 䶗 䶘 䶙 䶚 䶛 䶜 䶝 䶞 䶟 䶠 䶡 䶢 䶣 䶤 䶥 䶦 䶧 䶨 䶩 䶪 䶫 䶬 䶭 䶮 䶯 䶰 䶱 䶲 䶳 䶴 䶵 䶶 䶷 䶸 䶹 䶺 䶻 䶼 䶽 䶾 䶿</t>
        </is>
      </c>
      <c r="P148" s="37" t="inlineStr">
        <is>
          <t>䳃 䳄 䳅 䳆 䳇 䳈 䳉 䳊 䳋 䳌 䳍 䳎 䳏 䳐 䳑 䳒 䳓 䳔 䳕 䳖 䳗 䳘 䳙 䳚 䳛 䳜 䳝 䳞 䳟 䳠 䳡 䳢 䳣 䳤 䳥 䳦 䳧 䳨 䳩 䳪 䳫 䳬 䳭 䳮 䳯 䳰 䳱 䳲 䳳 䳴 䳵 䳶 䳷 䳸 䳹 䳺 䳻 䳼 䳽 䳾 䳿 䴀 䴁 䴂 䴃 䴄 䴅 䴆 䴇 䴈 䴉 䴊 䴋 䴌 䴍 䴎 䴏 䴐 䴑 䴒 䴓 䴔 䴕 䴖 䴗 䴘 䴙 䴚 䴛 䴜 䴝 䴞 䴟 䴠 䴡 䴢 䴣 䴤 䴥 䴦 䴧 䴨 䴩 䴪 䴫 䴬 䴭 䴮 䴯 䴰 䴱 䴲 䴳 䴴 䴵 䴶 䴷 䴸 䴹 䴺 䴻 䴼 䴽 䴾 䴿 䵀 䵁 䵂 䵃 䵄 䵅 䵆 䵇 䵈 䵉 䵊 䵋 䵌 䵍 䵎 䵏 䵐 䵑 䵒 䵓 䵔 䵕 䵖 䵗 䵘 䵙 䵚 䵛 䵜 䵝 䵞 䵟 䵠 䵡 䵢 䵣 䵤 䵥 䵦 䵧 䵨 䵩 䵪 䵫 䵬 䵭 䵮 䵯 䵰 䵱 䵲 䵳 䵴 䵵 䵶 䵷 䵸 䵹 䵺 䵻 䵼 䵽 䵾 䵿 䶀 䶁 䶂 䶃 䶄 䶅 䶆 䶇 䶈 䶉 䶊 䶋 䶌 䶍 䶎 䶏 䶐 䶑 䶒 䶓 䶔 䶕 䶖 䶗 䶘 䶙 䶚 䶛 䶜 䶝 䶞 䶟 䶠 䶡 䶢 䶣 䶤 䶥 䶦 䶧 䶨 䶩 䶪 䶫 䶬 䶭 䶮 䶯 䶰 䶱 䶲 䶳 䶴 䶵 䶶 䶷 䶸 䶹 䶺 䶻 䶼 䶽 䶾 䶿</t>
        </is>
      </c>
      <c r="Q148" s="38" t="inlineStr">
        <is>
          <t>䳃 䳄 䳅 䳆 䳇 䳈 䳉 䳊 䳋 䳌 䳍 䳎 䳏 䳐 䳑 䳒 䳓 䳔 䳕 䳖 䳗 䳘 䳙 䳚 䳛 䳜 䳝 䳞 䳟 䳠 䳡 䳢 䳣 䳤 䳥 䳦 䳧 䳨 䳩 䳪 䳫 䳬 䳭 䳮 䳯 䳰 䳱 䳲 䳳 䳴 䳵 䳶 䳷 䳸 䳹 䳺 䳻 䳼 䳽 䳾 䳿 䴀 䴁 䴂 䴃 䴄 䴅 䴆 䴇 䴈 䴉 䴊 䴋 䴌 䴍 䴎 䴏 䴐 䴑 䴒 䴓 䴔 䴕 䴖 䴗 䴘 䴙 䴚 䴛 䴜 䴝 䴞 䴟 䴠 䴡 䴢 䴣 䴤 䴥 䴦 䴧 䴨 䴩 䴪 䴫 䴬 䴭 䴮 䴯 䴰 䴱 䴲 䴳 䴴 䴵 䴶 䴷 䴸 䴹 䴺 䴻 䴼 䴽 䴾 䴿 䵀 䵁 䵂 䵃 䵄 䵅 䵆 䵇 䵈 䵉 䵊 䵋 䵌 䵍 䵎 䵏 䵐 䵑 䵒 䵓 䵔 䵕 䵖 䵗 䵘 䵙 䵚 䵛 䵜 䵝 䵞 䵟 䵠 䵡 䵢 䵣 䵤 䵥 䵦 䵧 䵨 䵩 䵪 䵫 䵬 䵭 䵮 䵯 䵰 䵱 䵲 䵳 䵴 䵵 䵶 䵷 䵸 䵹 䵺 䵻 䵼 䵽 䵾 䵿 䶀 䶁 䶂 䶃 䶄 䶅 䶆 䶇 䶈 䶉 䶊 䶋 䶌 䶍 䶎 䶏 䶐 䶑 䶒 䶓 䶔 䶕 䶖 䶗 䶘 䶙 䶚 䶛 䶜 䶝 䶞 䶟 䶠 䶡 䶢 䶣 䶤 䶥 䶦 䶧 䶨 䶩 䶪 䶫 䶬 䶭 䶮 䶯 䶰 䶱 䶲 䶳 䶴 䶵 䶶 䶷 䶸 䶹 䶺 䶻 䶼 䶽 䶾 䶿</t>
        </is>
      </c>
      <c r="R148" s="43" t="inlineStr">
        <is>
          <t>䳃 䳄 䳅 䳇 䳈 䳉 䳌 䳍 䳏 䳐 䳑 䳒 䳓 䳔 䳖 䳗 䳙 䳚 䳛 䳜 䳝 䳞 䳟 䳠 䳡 䳢 䳣 䳤 䳧 䳪 䳫 䳬 䳭 䳮 䳯 䳱 䳲 䳳 䳴 䳷 䳸 䳺 䳻 䳽 䳾 䳿 䴁 䴂 䴃 䴅 䴆 䴇 䴈 䴉 䴋 䴌 䴍 䴎 䴏 䴓 䴔 䴕 䴖 䴗 䴘 䴙 䴚 䴜 䴝 䴞 䴟 䴠 䴡 䴢 䴣 䴤 䴥 䴦 䴧 䴨 䴩 䴪 䴫 䴬 䴭 䴮 䴯 䴰 䴱 䴲 䴳 䴴 䴵 䴶 䴷 䴸 䴹 䴺 䴻 䴼 䴽 䴾 䴿 䵁 䵃 䵄 䵅 䵆 䵇 䵈 䵉 䵊 䵋 䵌 䵍 䵎 䵏 䵐 䵑 䵓 䵔 䵕 䵖 䵗 䵘 䵙 䵚 䵛 䵜 䵠 䵡 䵣 䵤 䵥 䵧 䵨 䵩 䵫 䵬 䵭 䵮 䵯 䵰 䵲 䵳 䵵 䵸 䵹 䵺 䵻 䵼 䵽 䵾 䵿 䶀 䶁 䶂 䶃 䶄 䶅 䶆 䶇 䶈 䶉 䶊 䶋 䶌 䶍 䶎 䶐 䶑 䶒 䶓 䶔 䶖 䶘 䶛 䶝 䶞 䶠 䶢 䶥 䶦 䶨 䶩 䶪 䶫 䶬 䶭 䶮 䶰 䶱 䶲 䶳 䶴 䶵 䶶 䶹 䶻 䶼 䶾</t>
        </is>
      </c>
      <c r="S148" s="40" t="n"/>
      <c r="V148" s="14">
        <f>(LEN(O148)+1)/2</f>
        <v/>
      </c>
      <c r="W148" s="14">
        <f>ROUNDDOWN((LEN(P148)+1)/2,0)</f>
        <v/>
      </c>
      <c r="X148" s="14">
        <f>ROUNDDOWN((LEN(Q148)+1)/2,0)</f>
        <v/>
      </c>
      <c r="Y148" s="14">
        <f>ROUNDDOWN((LEN(R148)+1)/2,0)</f>
        <v/>
      </c>
      <c r="Z148" s="14">
        <f>ROUNDDOWN((LEN(S148)+1)/2,0)</f>
        <v/>
      </c>
      <c r="AA148" s="56" t="n">
        <v>46150.55834403795</v>
      </c>
    </row>
    <row r="149" ht="25.5" customHeight="1">
      <c r="B149" s="46" t="inlineStr">
        <is>
          <t>U+4DC0-U+4DFF</t>
        </is>
      </c>
      <c r="C149" s="46" t="inlineStr">
        <is>
          <t>Yijing Hexagram Symbols</t>
        </is>
      </c>
      <c r="D149" s="54">
        <f>HEX2DEC(MID(B149,3,FIND("-",E149)-3))</f>
        <v/>
      </c>
      <c r="E149" s="46" t="inlineStr">
        <is>
          <t>U+4DC0-U+4DFF</t>
        </is>
      </c>
      <c r="F149" s="12" t="n">
        <v>3</v>
      </c>
      <c r="J149" s="19">
        <f>ROUNDDOWN(W149,0)/$V149</f>
        <v/>
      </c>
      <c r="K149" s="19">
        <f>ROUNDDOWN(X149,0)/$V149</f>
        <v/>
      </c>
      <c r="L149" s="19">
        <f>ROUNDDOWN(Y149,0)/$V149</f>
        <v/>
      </c>
      <c r="M149" s="19">
        <f>ROUNDDOWN(Z149,0)/$V149</f>
        <v/>
      </c>
      <c r="O149" s="36" t="inlineStr">
        <is>
          <t>䷀ ䷁ ䷂ ䷃ ䷄ ䷅ ䷆ ䷇ ䷈ ䷉ ䷊ ䷋ ䷌ ䷍ ䷎ ䷏ ䷐ ䷑ ䷒ ䷓ ䷔ ䷕ ䷖ ䷗ ䷘ ䷙ ䷚ ䷛ ䷜ ䷝ ䷞ ䷟ ䷠ ䷡ ䷢ ䷣ ䷤ ䷥ ䷦ ䷧ ䷨ ䷩ ䷪ ䷫ ䷬ ䷭ ䷮ ䷯ ䷰ ䷱ ䷲ ䷳ ䷴ ䷵ ䷶ ䷷ ䷸ ䷹ ䷺ ䷻ ䷼ ䷽ ䷾ ䷿</t>
        </is>
      </c>
      <c r="P149" s="37" t="inlineStr">
        <is>
          <t>䷀ ䷁ ䷂ ䷃ ䷄ ䷅ ䷆ ䷇ ䷈ ䷉ ䷊ ䷋ ䷌ ䷍ ䷎ ䷏ ䷐ ䷑ ䷒ ䷓ ䷔ ䷕ ䷖ ䷗ ䷘ ䷙ ䷚ ䷛ ䷜ ䷝ ䷞ ䷟ ䷠ ䷡ ䷢ ䷣ ䷤ ䷥ ䷦ ䷧ ䷨ ䷩ ䷪ ䷫ ䷬ ䷭ ䷮ ䷯ ䷰ ䷱ ䷲ ䷳ ䷴ ䷵ ䷶ ䷷ ䷸ ䷹ ䷺ ䷻ ䷼ ䷽ ䷾ ䷿</t>
        </is>
      </c>
      <c r="Q149" s="38" t="inlineStr">
        <is>
          <t>䷀ ䷁ ䷂ ䷃ ䷄ ䷅ ䷆ ䷇ ䷈ ䷉ ䷊ ䷋ ䷌ ䷍ ䷎ ䷏ ䷐ ䷑ ䷒ ䷓ ䷔ ䷕ ䷖ ䷗ ䷘ ䷙ ䷚ ䷛ ䷜ ䷝ ䷞ ䷟ ䷠ ䷡ ䷢ ䷣ ䷤ ䷥ ䷦ ䷧ ䷨ ䷩ ䷪ ䷫ ䷬ ䷭ ䷮ ䷯ ䷰ ䷱ ䷲ ䷳ ䷴ ䷵ ䷶ ䷷ ䷸ ䷹ ䷺ ䷻ ䷼ ䷽ ䷾ ䷿</t>
        </is>
      </c>
      <c r="R149" s="43" t="inlineStr"/>
      <c r="S149" s="40" t="n"/>
      <c r="V149" s="14">
        <f>(LEN(O149)+1)/2</f>
        <v/>
      </c>
      <c r="W149" s="14">
        <f>ROUNDDOWN((LEN(P149)+1)/2,0)</f>
        <v/>
      </c>
      <c r="X149" s="14">
        <f>ROUNDDOWN((LEN(Q149)+1)/2,0)</f>
        <v/>
      </c>
      <c r="Y149" s="14">
        <f>ROUNDDOWN((LEN(R149)+1)/2,0)</f>
        <v/>
      </c>
      <c r="Z149" s="14">
        <f>ROUNDDOWN((LEN(S149)+1)/2,0)</f>
        <v/>
      </c>
      <c r="AA149" s="56" t="n">
        <v>46150.5583448835</v>
      </c>
    </row>
    <row r="150" ht="102" customHeight="1">
      <c r="B150" s="46" t="inlineStr">
        <is>
          <t>U+4E00-U+4EFF</t>
        </is>
      </c>
      <c r="C150" s="46" t="inlineStr">
        <is>
          <t>CJK Unified Ideographs</t>
        </is>
      </c>
      <c r="D150" s="54">
        <f>HEX2DEC(MID(B150,3,FIND("-",E150)-3))</f>
        <v/>
      </c>
      <c r="E150" s="46" t="inlineStr">
        <is>
          <t>U+4E00-U+9FFF</t>
        </is>
      </c>
      <c r="F150" s="12" t="n">
        <v>3</v>
      </c>
      <c r="J150" s="19">
        <f>ROUNDDOWN(W150,0)/$V150</f>
        <v/>
      </c>
      <c r="K150" s="19">
        <f>ROUNDDOWN(X150,0)/$V150</f>
        <v/>
      </c>
      <c r="L150" s="19">
        <f>ROUNDDOWN(Y150,0)/$V150</f>
        <v/>
      </c>
      <c r="M150" s="19">
        <f>ROUNDDOWN(Z150,0)/$V150</f>
        <v/>
      </c>
      <c r="O150" s="36" t="inlineStr">
        <is>
          <t>一 丁 丂 七 丄 丅 丆 万 丈 三 上 下 丌 不 与 丏 丐 丑 丒 专 且 丕 世 丗 丘 丙 业 丛 东 丝 丞 丟 丠 両 丢 丣 两 严 並 丧 丨 丩 个 丫 丬 中 丮 丯 丰 丱 串 丳 临 丵 丶 丷 丸 丹 为 主 丼 丽 举 丿 乀 乁 乂 乃 乄 久 乆 乇 么 义 乊 之 乌 乍 乎 乏 乐 乑 乒 乓 乔 乕 乖 乗 乘 乙 乚 乛 乜 九 乞 也 习 乡 乢 乣 乤 乥 书 乧 乨 乩 乪 乫 乬 乭 乮 乯 买 乱 乲 乳 乴 乵 乶 乷 乸 乹 乺 乻 乼 乽 乾 乿 亀 亁 亂 亃 亄 亅 了 亇 予 争 亊 事 二 亍 于 亏 亐 云 互 亓 五 井 亖 亗 亘 亙 亚 些 亜 亝 亞 亟 亠 亡 亢 亣 交 亥 亦 产 亨 亩 亪 享 京 亭 亮 亯 亰 亱 亲 亳 亴 亵 亶 亷 亸 亹 人 亻 亼 亽 亾 亿 什 仁 仂 仃 仄 仅 仆 仇 仈 仉 今 介 仌 仍 从 仏 仐 仑 仒 仓 仔 仕 他 仗 付 仙 仚 仛 仜 仝 仞 仟 仠 仡 仢 代 令 以 仦 仧 仨 仩 仪 仫 们 仭 仮 仯 仰 仱 仲 仳 仴 仵 件 价 仸 仹 仺 任 仼 份 仾 仿</t>
        </is>
      </c>
      <c r="P150" s="37" t="inlineStr">
        <is>
          <t>一 丁 丂 七 丄 丅 丆 万 丈 三 上 下 丌 不 与 丏 丐 丑 丒 专 且 丕 世 丗 丘 丙 业 丛 东 丝 丞 丟 丠 両 丢 丣 两 严 並 丧 丨 丩 个 丫 丬 中 丮 丯 丰 丱 串 丳 临 丵 丶 丷 丸 丹 为 主 丼 丽 举 丿 乀 乁 乂 乃 乄 久 乆 乇 么 义 乊 之 乌 乍 乎 乏 乐 乑 乒 乓 乔 乕 乖 乗 乘 乙 乚 乛 乜 九 乞 也 习 乡 乢 乣 乤 乥 书 乧 乨 乩 乪 乫 乬 乭 乮 乯 买 乱 乲 乳 乴 乵 乶 乷 乸 乹 乺 乻 乼 乽 乾 乿 亀 亁 亂 亃 亄 亅 了 亇 予 争 亊 事 二 亍 于 亏 亐 云 互 亓 五 井 亖 亗 亘 亙 亚 些 亜 亝 亞 亟 亠 亡 亢 亣 交 亥 亦 产 亨 亩 亪 享 京 亭 亮 亯 亰 亱 亲 亳 亴 亵 亶 亷 亸 亹 人 亻 亼 亽 亾 亿 什 仁 仂 仃 仄 仅 仆 仇 仈 仉 今 介 仌 仍 从 仏 仐 仑 仒 仓 仔 仕 他 仗 付 仙 仚 仛 仜 仝 仞 仟 仠 仡 仢 代 令 以 仦 仧 仨 仩 仪 仫 们 仭 仮 仯 仰 仱 仲 仳 仴 仵 件 价 仸 仹 仺 任 仼 份 仾 仿</t>
        </is>
      </c>
      <c r="Q150" s="38" t="inlineStr">
        <is>
          <t>一 丁 丂 七 丄 丅 丆 万 丈 三 上 下 丌 不 与 丏 丐 丑 丒 专 且 丕 世 丗 丘 丙 业 丛 东 丝 丞 丟 丠 両 丢 丣 两 严 並 丧 丨 丩 个 丫 丬 中 丮 丯 丰 丱 串 丳 临 丵 丶 丷 丸 丹 为 主 丼 丽 举 丿 乀 乁 乂 乃 乄 久 乆 乇 么 义 乊 之 乌 乍 乎 乏 乐 乑 乒 乓 乔 乕 乖 乗 乘 乙 乚 乛 乜 九 乞 也 习 乡 乢 乣 乤 乥 书 乧 乨 乩 乪 乫 乬 乭 乮 乯 买 乱 乲 乳 乴 乵 乶 乷 乸 乹 乺 乻 乼 乽 乾 乿 亀 亁 亂 亃 亄 亅 了 亇 予 争 亊 事 二 亍 于 亏 亐 云 互 亓 五 井 亖 亗 亘 亙 亚 些 亜 亝 亞 亟 亠 亡 亢 亣 交 亥 亦 产 亨 亩 亪 享 京 亭 亮 亯 亰 亱 亲 亳 亴 亵 亶 亷 亸 亹 人 亻 亼 亽 亾 亿 什 仁 仂 仃 仄 仅 仆 仇 仈 仉 今 介 仌 仍 从 仏 仐 仑 仒 仓 仔 仕 他 仗 付 仙 仚 仛 仜 仝 仞 仟 仠 仡 仢 代 令 以 仦 仧 仨 仩 仪 仫 们 仭 仮 仯 仰 仱 仲 仳 仴 仵 件 价 仸 仹 仺 任 仼 份 仾 仿</t>
        </is>
      </c>
      <c r="R150" s="43" t="inlineStr">
        <is>
          <t>一 丁 丂 七 丄 丅 丆 万 丈 上 下 丌 不 与 丏 丐 丑 丒 专 且 丕 世 丗 丘 丙 业 丛 东 丞 丟 丠 両 丢 丣 两 严 並 丧 丨 丩 个 丬 中 丮 丯 丰 串 丳 丵 丸 丹 为 主 丼 举 丿 乀 乁 乂 乃 乄 久 乆 乇 么 义 乊 之 乌 乍 乎 乏 乐 乑 乒 乓 乔 乕 乖 乗 乘 乙 乚 乜 九 乞 也 习 乡 乤 乥 书 乧 乪 乫 乬 乭 乮 乯 买 乲 乴 乶 乷 乸 乺 乻 乼 乽 乾 亀 亁 亅 了 亇 予 争 亊 事 于 亐 互 五 井 亙 亚 亜 亞 亟 亡 亣 交 亥 亦 产 亨 亪 享 亭 亮 亯 亱 亲 亳 亴 亵 亶 亷 亸 亹 人 亻 亽 亾 什 仁 仂 仄 仅 仇 仉 今 介 仌 仍 从 仏 仐 仑 仒 仓 仔 仕 他 仗 付 仚 仛 仜 仝 仞 仟 仠 仡 仢 代 令 以 仧 仨 仩 仪 仫 仭 仮 仯 仱 仲 仴 仵 件 价 仸 仹 仺 任 仼 份 仾 仿</t>
        </is>
      </c>
      <c r="S150" s="40" t="n"/>
      <c r="V150" s="14">
        <f>(LEN(O150)+1)/2</f>
        <v/>
      </c>
      <c r="W150" s="14">
        <f>ROUNDDOWN((LEN(P150)+1)/2,0)</f>
        <v/>
      </c>
      <c r="X150" s="14">
        <f>ROUNDDOWN((LEN(Q150)+1)/2,0)</f>
        <v/>
      </c>
      <c r="Y150" s="14">
        <f>ROUNDDOWN((LEN(R150)+1)/2,0)</f>
        <v/>
      </c>
      <c r="Z150" s="14">
        <f>ROUNDDOWN((LEN(S150)+1)/2,0)</f>
        <v/>
      </c>
      <c r="AA150" s="56" t="n">
        <v>46150.5583477684</v>
      </c>
    </row>
    <row r="151" ht="102" customHeight="1">
      <c r="B151" s="46" t="inlineStr">
        <is>
          <t>U+4F00-U+4FFF</t>
        </is>
      </c>
      <c r="C151" s="46" t="inlineStr">
        <is>
          <t>CJK Unified Ideographs</t>
        </is>
      </c>
      <c r="D151" s="54">
        <f>HEX2DEC(MID(B151,3,FIND("-",E151)-3))</f>
        <v/>
      </c>
      <c r="E151" s="46" t="inlineStr">
        <is>
          <t>U+4E00-U+9FFF</t>
        </is>
      </c>
      <c r="F151" s="12" t="n">
        <v>3</v>
      </c>
      <c r="J151" s="19">
        <f>ROUNDDOWN(W151,0)/$V151</f>
        <v/>
      </c>
      <c r="K151" s="19">
        <f>ROUNDDOWN(X151,0)/$V151</f>
        <v/>
      </c>
      <c r="L151" s="19">
        <f>ROUNDDOWN(Y151,0)/$V151</f>
        <v/>
      </c>
      <c r="M151" s="19">
        <f>ROUNDDOWN(Z151,0)/$V151</f>
        <v/>
      </c>
      <c r="O151" s="36" t="inlineStr">
        <is>
          <t>伀 企 伂 伃 伄 伅 伆 伇 伈 伉 伊 伋 伌 伍 伎 伏 伐 休 伒 伓 伔 伕 伖 众 优 伙 会 伛 伜 伝 伞 伟 传 伡 伢 伣 伤 伥 伦 伧 伨 伩 伪 伫 伬 伭 伮 伯 估 伱 伲 伳 伴 伵 伶 伷 伸 伹 伺 伻 似 伽 伾 伿 佀 佁 佂 佃 佄 佅 但 佇 佈 佉 佊 佋 佌 位 低 住 佐 佑 佒 体 佔 何 佖 佗 佘 余 佚 佛 作 佝 佞 佟 你 佡 佢 佣 佤 佥 佦 佧 佨 佩 佪 佫 佬 佭 佮 佯 佰 佱 佲 佳 佴 併 佶 佷 佸 佹 佺 佻 佼 佽 佾 使 侀 侁 侂 侃 侄 侅 來 侇 侈 侉 侊 例 侌 侍 侎 侏 侐 侑 侒 侓 侔 侕 侖 侗 侘 侙 侚 供 侜 依 侞 侟 侠 価 侢 侣 侤 侥 侦 侧 侨 侩 侪 侫 侬 侭 侮 侯 侰 侱 侲 侳 侴 侵 侶 侷 侸 侹 侺 侻 侼 侽 侾 便 俀 俁 係 促 俄 俅 俆 俇 俈 俉 俊 俋 俌 俍 俎 俏 俐 俑 俒 俓 俔 俕 俖 俗 俘 俙 俚 俛 俜 保 俞 俟 俠 信 俢 俣 俤 俥 俦 俧 俨 俩 俪 俫 俬 俭 修 俯 俰 俱 俲 俳 俴 俵 俶 俷 俸 俹 俺 俻 俼 俽 俾 俿</t>
        </is>
      </c>
      <c r="P151" s="37" t="inlineStr">
        <is>
          <t>伀 企 伂 伃 伄 伅 伆 伇 伈 伉 伊 伋 伌 伍 伎 伏 伐 休 伒 伓 伔 伕 伖 众 优 伙 会 伛 伜 伝 伞 伟 传 伡 伢 伣 伤 伥 伦 伧 伨 伩 伪 伫 伬 伭 伮 伯 估 伱 伲 伳 伴 伵 伶 伷 伸 伹 伺 伻 似 伽 伾 伿 佀 佁 佂 佃 佄 佅 但 佇 佈 佉 佊 佋 佌 位 低 住 佐 佑 佒 体 佔 何 佖 佗 佘 余 佚 佛 作 佝 佞 佟 你 佡 佢 佣 佤 佥 佦 佧 佨 佩 佪 佫 佬 佭 佮 佯 佰 佱 佲 佳 佴 併 佶 佷 佸 佹 佺 佻 佼 佽 佾 使 侀 侁 侂 侃 侄 侅 來 侇 侈 侉 侊 例 侌 侍 侎 侏 侐 侑 侒 侓 侔 侕 侖 侗 侘 侙 侚 供 侜 依 侞 侟 侠 価 侢 侣 侤 侥 侦 侧 侨 侩 侪 侫 侬 侭 侮 侯 侰 侱 侲 侳 侴 侵 侶 侷 侸 侹 侺 侻 侼 侽 侾 便 俀 俁 係 促 俄 俅 俆 俇 俈 俉 俊 俋 俌 俍 俎 俏 俐 俑 俒 俓 俔 俕 俖 俗 俘 俙 俚 俛 俜 保 俞 俟 俠 信 俢 俣 俤 俥 俦 俧 俨 俩 俪 俫 俬 俭 修 俯 俰 俱 俲 俳 俴 俵 俶 俷 俸 俹 俺 俻 俼 俽 俾 俿</t>
        </is>
      </c>
      <c r="Q151" s="38" t="inlineStr">
        <is>
          <t>伀 企 伂 伃 伄 伅 伆 伇 伈 伉 伊 伋 伌 伍 伎 伏 伐 休 伒 伓 伔 伕 伖 众 优 伙 会 伛 伜 伝 伞 伟 传 伡 伢 伣 伤 伥 伦 伧 伨 伩 伪 伫 伬 伭 伮 伯 估 伱 伲 伳 伴 伵 伶 伷 伸 伹 伺 伻 似 伽 伾 伿 佀 佁 佂 佃 佄 佅 但 佇 佈 佉 佊 佋 佌 位 低 住 佐 佑 佒 体 佔 何 佖 佗 佘 余 佚 佛 作 佝 佞 佟 你 佡 佢 佣 佤 佥 佦 佧 佨 佩 佪 佫 佬 佭 佮 佯 佰 佱 佲 佳 佴 併 佶 佷 佸 佹 佺 佻 佼 佽 佾 使 侀 侁 侂 侃 侄 侅 來 侇 侈 侉 侊 例 侌 侍 侎 侏 侐 侑 侒 侓 侔 侕 侖 侗 侘 侙 侚 供 侜 依 侞 侟 侠 価 侢 侣 侤 侥 侦 侧 侨 侩 侪 侫 侬 侭 侮 侯 侰 侱 侲 侳 侴 侵 侶 侷 侸 侹 侺 侻 侼 侽 侾 便 俀 俁 係 促 俄 俅 俆 俇 俈 俉 俊 俋 俌 俍 俎 俏 俐 俑 俒 俓 俔 俕 俖 俗 俘 俙 俚 俛 俜 保 俞 俟 俠 信 俢 俣 俤 俥 俦 俧 俨 俩 俪 俫 俬 俭 修 俯 俰 俱 俲 俳 俴 俵 俶 俷 俸 俹 俺 俻 俼 俽 俾 俿</t>
        </is>
      </c>
      <c r="R151" s="43" t="inlineStr">
        <is>
          <t>伀 企 伂 伃 伄 伅 伆 伇 伉 伊 伋 伌 伍 伎 伏 伐 休 伒 伓 伔 伕 伖 众 优 伙 伜 伝 伞 伟 传 伡 伢 伣 伤 伥 伦 伧 伨 伩 伪 伫 伬 伭 伮 估 伱 伲 伳 伴 伶 伸 伹 伺 伻 伾 伿 佁 佂 佄 佅 但 佇 佈 佉 佊 佋 佌 位 住 佐 佑 佒 体 何 佖 佗 余 佚 佛 作 佝 佞 佟 你 佡 佣 佤 佥 佦 佧 佨 佩 佫 佬 佭 佮 佯 佲 佳 佴 併 佶 佸 佹 佺 佼 佽 佾 使 侁 侂 侃 侄 侅 來 侇 侈 侉 侊 侍 侎 侏 侐 侑 侒 侓 侔 侖 侘 侙 侚 供 侜 依 侟 侠 侢 侤 侥 侦 侨 侩 侪 侫 侬 侭 侮 侯 侰 侱 侲 侳 侴 侵 侷 侸 侹 侺 侻 侼 侽 侾 便 俀 俁 係 促 俄 俅 俆 俇 俈 俉 俊 俋 俎 俒 俓 俔 俕 俗 俘 俙 俚 俛 俜 保 俞 俟 俠 俢 俣 俤 俥 俦 俧 俨 俩 俪 俫 俬 俭 修 俯 俱 俲 俴 俵 俶 俸 俹 俺 俻 俼 俽 俾 俿</t>
        </is>
      </c>
      <c r="S151" s="40" t="n"/>
      <c r="V151" s="14">
        <f>(LEN(O151)+1)/2</f>
        <v/>
      </c>
      <c r="W151" s="14">
        <f>ROUNDDOWN((LEN(P151)+1)/2,0)</f>
        <v/>
      </c>
      <c r="X151" s="14">
        <f>ROUNDDOWN((LEN(Q151)+1)/2,0)</f>
        <v/>
      </c>
      <c r="Y151" s="14">
        <f>ROUNDDOWN((LEN(R151)+1)/2,0)</f>
        <v/>
      </c>
      <c r="Z151" s="14">
        <f>ROUNDDOWN((LEN(S151)+1)/2,0)</f>
        <v/>
      </c>
      <c r="AA151" s="56" t="n">
        <v>46150.55835067528</v>
      </c>
    </row>
    <row r="152" ht="102" customHeight="1">
      <c r="B152" s="46" t="inlineStr">
        <is>
          <t>U+5000-U+50FF</t>
        </is>
      </c>
      <c r="C152" s="46" t="inlineStr">
        <is>
          <t>CJK Unified Ideographs</t>
        </is>
      </c>
      <c r="D152" s="54">
        <f>HEX2DEC(MID(B152,3,FIND("-",E152)-3))</f>
        <v/>
      </c>
      <c r="E152" s="46" t="inlineStr">
        <is>
          <t>U+4E00-U+9FFF</t>
        </is>
      </c>
      <c r="F152" s="12" t="n">
        <v>3</v>
      </c>
      <c r="J152" s="19">
        <f>ROUNDDOWN(W152,0)/$V152</f>
        <v/>
      </c>
      <c r="K152" s="19">
        <f>ROUNDDOWN(X152,0)/$V152</f>
        <v/>
      </c>
      <c r="L152" s="19">
        <f>ROUNDDOWN(Y152,0)/$V152</f>
        <v/>
      </c>
      <c r="M152" s="19">
        <f>ROUNDDOWN(Z152,0)/$V152</f>
        <v/>
      </c>
      <c r="O152" s="36" t="inlineStr">
        <is>
          <t>倀 倁 倂 倃 倄 倅 倆 倇 倈 倉 倊 個 倌 倍 倎 倏 倐 們 倒 倓 倔 倕 倖 倗 倘 候 倚 倛 倜 倝 倞 借 倠 倡 倢 倣 値 倥 倦 倧 倨 倩 倪 倫 倬 倭 倮 倯 倰 倱 倲 倳 倴 倵 倶 倷 倸 倹 债 倻 值 倽 倾 倿 偀 偁 偂 偃 偄 偅 偆 假 偈 偉 偊 偋 偌 偍 偎 偏 偐 偑 偒 偓 偔 偕 偖 偗 偘 偙 做 偛 停 偝 偞 偟 偠 偡 偢 偣 偤 健 偦 偧 偨 偩 偪 偫 偬 偭 偮 偯 偰 偱 偲 偳 側 偵 偶 偷 偸 偹 偺 偻 偼 偽 偾 偿 傀 傁 傂 傃 傄 傅 傆 傇 傈 傉 傊 傋 傌 傍 傎 傏 傐 傑 傒 傓 傔 傕 傖 傗 傘 備 傚 傛 傜 傝 傞 傟 傠 傡 傢 傣 傤 傥 傦 傧 储 傩 傪 傫 催 傭 傮 傯 傰 傱 傲 傳 傴 債 傶 傷 傸 傹 傺 傻 傼 傽 傾 傿 僀 僁 僂 僃 僄 僅 僆 僇 僈 僉 僊 僋 僌 働 僎 像 僐 僑 僒 僓 僔 僕 僖 僗 僘 僙 僚 僛 僜 僝 僞 僟 僠 僡 僢 僣 僤 僥 僦 僧 僨 僩 僪 僫 僬 僭 僮 僯 僰 僱 僲 僳 僴 僵 僶 僷 僸 價 僺 僻 僼 僽 僾 僿</t>
        </is>
      </c>
      <c r="P152" s="37" t="inlineStr">
        <is>
          <t>倀 倁 倂 倃 倄 倅 倆 倇 倈 倉 倊 個 倌 倍 倎 倏 倐 們 倒 倓 倔 倕 倖 倗 倘 候 倚 倛 倜 倝 倞 借 倠 倡 倢 倣 値 倥 倦 倧 倨 倩 倪 倫 倬 倭 倮 倯 倰 倱 倲 倳 倴 倵 倶 倷 倸 倹 债 倻 值 倽 倾 倿 偀 偁 偂 偃 偄 偅 偆 假 偈 偉 偊 偋 偌 偍 偎 偏 偐 偑 偒 偓 偔 偕 偖 偗 偘 偙 做 偛 停 偝 偞 偟 偠 偡 偢 偣 偤 健 偦 偧 偨 偩 偪 偫 偬 偭 偮 偯 偰 偱 偲 偳 側 偵 偶 偷 偸 偹 偺 偻 偼 偽 偾 偿 傀 傁 傂 傃 傄 傅 傆 傇 傈 傉 傊 傋 傌 傍 傎 傏 傐 傑 傒 傓 傔 傕 傖 傗 傘 備 傚 傛 傜 傝 傞 傟 傠 傡 傢 傣 傤 傥 傦 傧 储 傩 傪 傫 催 傭 傮 傯 傰 傱 傲 傳 傴 債 傶 傷 傸 傹 傺 傻 傼 傽 傾 傿 僀 僁 僂 僃 僄 僅 僆 僇 僈 僉 僊 僋 僌 働 僎 像 僐 僑 僒 僓 僔 僕 僖 僗 僘 僙 僚 僛 僜 僝 僞 僟 僠 僡 僢 僣 僤 僥 僦 僧 僨 僩 僪 僫 僬 僭 僮 僯 僰 僱 僲 僳 僴 僵 僶 僷 僸 價 僺 僻 僼 僽 僾 僿</t>
        </is>
      </c>
      <c r="Q152" s="38" t="inlineStr">
        <is>
          <t>倀 倁 倂 倃 倄 倅 倆 倇 倈 倉 倊 個 倌 倍 倎 倏 倐 們 倒 倓 倔 倕 倖 倗 倘 候 倚 倛 倜 倝 倞 借 倠 倡 倢 倣 値 倥 倦 倧 倨 倩 倪 倫 倬 倭 倮 倯 倰 倱 倲 倳 倴 倵 倶 倷 倸 倹 债 倻 值 倽 倾 倿 偀 偁 偂 偃 偄 偅 偆 假 偈 偉 偊 偋 偌 偍 偎 偏 偐 偑 偒 偓 偔 偕 偖 偗 偘 偙 做 偛 停 偝 偞 偟 偠 偡 偢 偣 偤 健 偦 偧 偨 偩 偪 偫 偬 偭 偮 偯 偰 偱 偲 偳 側 偵 偶 偷 偸 偹 偺 偻 偼 偽 偾 偿 傀 傁 傂 傃 傄 傅 傆 傇 傈 傉 傊 傋 傌 傍 傎 傏 傐 傑 傒 傓 傔 傕 傖 傗 傘 備 傚 傛 傜 傝 傞 傟 傠 傡 傢 傣 傤 傥 傦 傧 储 傩 傪 傫 催 傭 傮 傯 傰 傱 傲 傳 傴 債 傶 傷 傸 傹 傺 傻 傼 傽 傾 傿 僀 僁 僂 僃 僄 僅 僆 僇 僈 僉 僊 僋 僌 働 僎 像 僐 僑 僒 僓 僔 僕 僖 僗 僘 僙 僚 僛 僜 僝 僞 僟 僠 僡 僢 僣 僤 僥 僦 僧 僨 僩 僪 僫 僬 僭 僮 僯 僰 僱 僲 僳 僴 僵 僶 僷 僸 價 僺 僻 僼 僽 僾 僿</t>
        </is>
      </c>
      <c r="R152" s="43" t="inlineStr">
        <is>
          <t>倀 倁 倂 倃 倄 倅 倇 倈 倉 倊 倌 倍 倎 倏 倐 倓 倔 倕 倖 倗 候 倚 倛 倜 倝 倞 借 倠 倢 倣 値 倥 倦 倧 倨 倩 倪 倫 倬 倭 倮 倯 倰 倲 倳 倴 倵 倶 倷 倸 倹 债 值 倽 倿 偀 偁 偂 偄 偅 偆 偈 偉 偋 偌 偍 偎 偏 偐 偑 偒 偓 偔 偖 偗 偘 偙 做 偛 停 偝 偞 偟 偠 偡 偢 偣 偤 健 偦 偧 偨 偩 偫 偬 偭 偮 偯 偰 偱 偲 偳 偶 偷 偸 偹 偺 偻 偼 偽 偾 偿 傀 傁 傂 傃 傄 傅 傆 傇 傈 傉 傋 傌 傍 傎 傏 傑 傒 傓 傔 傕 傖 傗 傘 備 傚 傛 傜 傝 傞 傟 傠 傣 傤 傥 傦 傧 储 傩 傪 傫 催 傭 傮 傯 傰 傱 傲 傳 傶 傷 傸 傹 傺 傻 傼 傽 傿 僀 僁 僂 僃 僄 僅 僆 僇 僈 僉 僊 僋 僌 働 僎 像 僐 僑 僒 僓 僔 僕 僖 僗 僘 僙 僚 僛 僜 僝 僞 僟 僠 僡 僢 僣 僥 僦 僨 僫 僬 僭 僮 僯 僰 僱 僲 僳 僵 僷 僸 價 僺 僻 僼 僽 僾 僿</t>
        </is>
      </c>
      <c r="S152" s="40" t="n"/>
      <c r="V152" s="14">
        <f>(LEN(O152)+1)/2</f>
        <v/>
      </c>
      <c r="W152" s="14">
        <f>ROUNDDOWN((LEN(P152)+1)/2,0)</f>
        <v/>
      </c>
      <c r="X152" s="14">
        <f>ROUNDDOWN((LEN(Q152)+1)/2,0)</f>
        <v/>
      </c>
      <c r="Y152" s="14">
        <f>ROUNDDOWN((LEN(R152)+1)/2,0)</f>
        <v/>
      </c>
      <c r="Z152" s="14">
        <f>ROUNDDOWN((LEN(S152)+1)/2,0)</f>
        <v/>
      </c>
      <c r="AA152" s="56" t="n">
        <v>46150.55835363777</v>
      </c>
    </row>
    <row r="153" ht="102" customHeight="1">
      <c r="B153" s="46" t="inlineStr">
        <is>
          <t>U+5100-U+51FF</t>
        </is>
      </c>
      <c r="C153" s="46" t="inlineStr">
        <is>
          <t>CJK Unified Ideographs</t>
        </is>
      </c>
      <c r="D153" s="54">
        <f>HEX2DEC(MID(B153,3,FIND("-",E153)-3))</f>
        <v/>
      </c>
      <c r="E153" s="46" t="inlineStr">
        <is>
          <t>U+4E00-U+9FFF</t>
        </is>
      </c>
      <c r="F153" s="12" t="n">
        <v>3</v>
      </c>
      <c r="J153" s="19">
        <f>ROUNDDOWN(W153,0)/$V153</f>
        <v/>
      </c>
      <c r="K153" s="19">
        <f>ROUNDDOWN(X153,0)/$V153</f>
        <v/>
      </c>
      <c r="L153" s="19">
        <f>ROUNDDOWN(Y153,0)/$V153</f>
        <v/>
      </c>
      <c r="M153" s="19">
        <f>ROUNDDOWN(Z153,0)/$V153</f>
        <v/>
      </c>
      <c r="O153" s="36" t="inlineStr">
        <is>
          <t>儀 儁 儂 儃 億 儅 儆 儇 儈 儉 儊 儋 儌 儍 儎 儏 儐 儑 儒 儓 儔 儕 儖 儗 儘 儙 儚 儛 儜 儝 儞 償 儠 儡 儢 儣 儤 儥 儦 儧 儨 儩 優 儫 儬 儭 儮 儯 儰 儱 儲 儳 儴 儵 儶 儷 儸 儹 儺 儻 儼 儽 儾 儿 兀 允 兂 元 兄 充 兆 兇 先 光 兊 克 兌 免 兎 兏 児 兑 兒 兓 兔 兕 兖 兗 兘 兙 党 兛 兜 兝 兞 兟 兠 兡 兢 兣 兤 入 兦 內 全 兩 兪 八 公 六 兮 兯 兰 共 兲 关 兴 兵 其 具 典 兹 兺 养 兼 兽 兾 兿 冀 冁 冂 冃 冄 内 円 冇 冈 冉 冊 冋 册 再 冎 冏 冐 冑 冒 冓 冔 冕 冖 冗 冘 写 冚 军 农 冝 冞 冟 冠 冡 冢 冣 冤 冥 冦 冧 冨 冩 冪 冫 冬 冭 冮 冯 冰 冱 冲 决 冴 况 冶 冷 冸 冹 冺 冻 冼 冽 冾 冿 净 凁 凂 凃 凄 凅 准 凇 凈 凉 凊 凋 凌 凍 凎 减 凐 凑 凒 凓 凔 凕 凖 凗 凘 凙 凚 凛 凜 凝 凞 凟 几 凡 凢 凣 凤 凥 処 凧 凨 凩 凪 凫 凬 凭 凮 凯 凰 凱 凲 凳 凴 凵 凶 凷 凸 凹 出 击 凼 函 凾 凿</t>
        </is>
      </c>
      <c r="P153" s="37" t="inlineStr">
        <is>
          <t>儀 儁 儂 儃 億 儅 儆 儇 儈 儉 儊 儋 儌 儍 儎 儏 儐 儑 儒 儓 儔 儕 儖 儗 儘 儙 儚 儛 儜 儝 儞 償 儠 儡 儢 儣 儤 儥 儦 儧 儨 儩 優 儫 儬 儭 儮 儯 儰 儱 儲 儳 儴 儵 儶 儷 儸 儹 儺 儻 儼 儽 儾 儿 兀 允 兂 元 兄 充 兆 兇 先 光 兊 克 兌 免 兎 兏 児 兑 兒 兓 兔 兕 兖 兗 兘 兙 党 兛 兜 兝 兞 兟 兠 兡 兢 兣 兤 入 兦 內 全 兩 兪 八 公 六 兮 兯 兰 共 兲 关 兴 兵 其 具 典 兹 兺 养 兼 兽 兾 兿 冀 冁 冂 冃 冄 内 円 冇 冈 冉 冊 冋 册 再 冎 冏 冐 冑 冒 冓 冔 冕 冖 冗 冘 写 冚 军 农 冝 冞 冟 冠 冡 冢 冣 冤 冥 冦 冧 冨 冩 冪 冫 冬 冭 冮 冯 冰 冱 冲 决 冴 况 冶 冷 冸 冹 冺 冻 冼 冽 冾 冿 净 凁 凂 凃 凄 凅 准 凇 凈 凉 凊 凋 凌 凍 凎 减 凐 凑 凒 凓 凔 凕 凖 凗 凘 凙 凚 凛 凜 凝 凞 凟 几 凡 凢 凣 凤 凥 処 凧 凨 凩 凪 凫 凬 凭 凮 凯 凰 凱 凲 凳 凴 凵 凶 凷 凸 凹 出 击 凼 函 凾 凿</t>
        </is>
      </c>
      <c r="Q153" s="38" t="inlineStr">
        <is>
          <t>儀 儁 儂 儃 億 儅 儆 儇 儈 儉 儊 儋 儌 儍 儎 儏 儐 儑 儒 儓 儔 儕 儖 儗 儘 儙 儚 儛 儜 儝 儞 償 儠 儡 儢 儣 儤 儥 儦 儧 儨 儩 優 儫 儬 儭 儮 儯 儰 儱 儲 儳 儴 儵 儶 儷 儸 儹 儺 儻 儼 儽 儾 儿 兀 允 兂 元 兄 充 兆 兇 先 光 兊 克 兌 免 兎 兏 児 兑 兒 兓 兔 兕 兖 兗 兘 兙 党 兛 兜 兝 兞 兟 兠 兡 兢 兣 兤 入 兦 內 全 兩 兪 八 公 六 兮 兯 兰 共 兲 关 兴 兵 其 具 典 兹 兺 养 兼 兽 兾 兿 冀 冁 冂 冃 冄 内 円 冇 冈 冉 冊 冋 册 再 冎 冏 冐 冑 冒 冓 冔 冕 冖 冗 冘 写 冚 军 农 冝 冞 冟 冠 冡 冢 冣 冤 冥 冦 冧 冨 冩 冪 冫 冬 冭 冮 冯 冰 冱 冲 决 冴 况 冶 冷 冸 冹 冺 冻 冼 冽 冾 冿 净 凁 凂 凃 凄 凅 准 凇 凈 凉 凊 凋 凌 凍 凎 减 凐 凑 凒 凓 凔 凕 凖 凗 凘 凙 凚 凛 凜 凝 凞 凟 几 凡 凢 凣 凤 凥 処 凧 凨 凩 凪 凫 凬 凭 凮 凯 凰 凱 凲 凳 凴 凵 凶 凷 凸 凹 出 击 凼 函 凾 凿</t>
        </is>
      </c>
      <c r="R153" s="43" t="inlineStr">
        <is>
          <t>儀 儁 儂 儃 億 儅 儆 儇 儈 儉 儊 儋 儌 儍 儎 儏 儐 儑 儒 儓 儔 儕 儖 儗 儘 儙 儚 儛 儜 儝 儞 償 儡 儢 儣 儤 儦 儧 儨 儩 優 儫 儬 儭 儮 儯 儰 儲 儳 儴 儶 儷 儸 儹 儺 儻 儼 儽 儾 兀 允 兂 兄 充 兇 先 光 兊 克 兌 免 兎 兏 児 兑 兒 兓 兔 兕 兖 兗 兘 兙 党 兛 兜 兝 兞 兟 兠 兡 兢 兣 兤 入 兦 內 全 兩 兪 公 兮 兯 共 兲 关 兴 兵 其 具 典 兹 兺 养 兼 兽 兾 兿 冀 冁 冂 冃 冄 内 円 冇 冈 冉 冊 冋 册 再 冎 冏 冐 冑 冒 冓 冔 冕 冗 冘 写 冚 军 农 冝 冞 冟 冠 冡 冢 冣 冤 冥 冦 冧 冨 冩 冪 冫 冬 冭 冮 冯 冰 冱 决 冴 况 冸 冹 冻 冼 冽 冿 净 凁 凂 凃 准 凇 凈 凉 凋 凌 凍 凎 减 凐 凓 凔 凕 凖 凗 凘 凙 凚 凛 凜 凝 凞 凟 几 凡 凢 凣 凤 凥 処 凧 凨 凩 凪 凫 凬 凭 凮 凯 凰 凱 凲 凳 凴 凵 凶 凷 凸 凹 出 击 凼 函 凾 凿</t>
        </is>
      </c>
      <c r="S153" s="40" t="n"/>
      <c r="V153" s="14">
        <f>(LEN(O153)+1)/2</f>
        <v/>
      </c>
      <c r="W153" s="14">
        <f>ROUNDDOWN((LEN(P153)+1)/2,0)</f>
        <v/>
      </c>
      <c r="X153" s="14">
        <f>ROUNDDOWN((LEN(Q153)+1)/2,0)</f>
        <v/>
      </c>
      <c r="Y153" s="14">
        <f>ROUNDDOWN((LEN(R153)+1)/2,0)</f>
        <v/>
      </c>
      <c r="Z153" s="14">
        <f>ROUNDDOWN((LEN(S153)+1)/2,0)</f>
        <v/>
      </c>
      <c r="AA153" s="56" t="n">
        <v>46150.55835657811</v>
      </c>
    </row>
    <row r="154" ht="102" customHeight="1">
      <c r="B154" s="46" t="inlineStr">
        <is>
          <t>U+5200-U+52FF</t>
        </is>
      </c>
      <c r="C154" s="46" t="inlineStr">
        <is>
          <t>CJK Unified Ideographs</t>
        </is>
      </c>
      <c r="D154" s="54">
        <f>HEX2DEC(MID(B154,3,FIND("-",E154)-3))</f>
        <v/>
      </c>
      <c r="E154" s="46" t="inlineStr">
        <is>
          <t>U+4E00-U+9FFF</t>
        </is>
      </c>
      <c r="F154" s="12" t="n">
        <v>3</v>
      </c>
      <c r="J154" s="19">
        <f>ROUNDDOWN(W154,0)/$V154</f>
        <v/>
      </c>
      <c r="K154" s="19">
        <f>ROUNDDOWN(X154,0)/$V154</f>
        <v/>
      </c>
      <c r="L154" s="19">
        <f>ROUNDDOWN(Y154,0)/$V154</f>
        <v/>
      </c>
      <c r="M154" s="19">
        <f>ROUNDDOWN(Z154,0)/$V154</f>
        <v/>
      </c>
      <c r="O154" s="36" t="inlineStr">
        <is>
          <t>刀 刁 刂 刃 刄 刅 分 切 刈 刉 刊 刋 刌 刍 刎 刏 刐 刑 划 刓 刔 刕 刖 列 刘 则 刚 创 刜 初 刞 刟 删 刡 刢 刣 判 別 刦 刧 刨 利 刪 别 刬 刭 刮 刯 到 刱 刲 刳 刴 刵 制 刷 券 刹 刺 刻 刼 刽 刾 刿 剀 剁 剂 剃 剄 剅 剆 則 剈 剉 削 剋 剌 前 剎 剏 剐 剑 剒 剓 剔 剕 剖 剗 剘 剙 剚 剛 剜 剝 剞 剟 剠 剡 剢 剣 剤 剥 剦 剧 剨 剩 剪 剫 剬 剭 剮 副 剰 剱 割 剳 剴 創 剶 剷 剸 剹 剺 剻 剼 剽 剾 剿 劀 劁 劂 劃 劄 劅 劆 劇 劈 劉 劊 劋 劌 劍 劎 劏 劐 劑 劒 劓 劔 劕 劖 劗 劘 劙 劚 力 劜 劝 办 功 加 务 劢 劣 劤 劥 劦 劧 动 助 努 劫 劬 劭 劮 劯 劰 励 劲 劳 労 劵 劶 劷 劸 効 劺 劻 劼 劽 劾 势 勀 勁 勂 勃 勄 勅 勆 勇 勈 勉 勊 勋 勌 勍 勎 勏 勐 勑 勒 勓 勔 動 勖 勗 勘 務 勚 勛 勜 勝 勞 募 勠 勡 勢 勣 勤 勥 勦 勧 勨 勩 勪 勫 勬 勭 勮 勯 勰 勱 勲 勳 勴 勵 勶 勷 勸 勹 勺 勻 勼 勽 勾 勿</t>
        </is>
      </c>
      <c r="P154" s="37" t="inlineStr">
        <is>
          <t>刀 刁 刂 刃 刄 刅 分 切 刈 刉 刊 刋 刌 刍 刎 刏 刐 刑 划 刓 刔 刕 刖 列 刘 则 刚 创 刜 初 刞 刟 删 刡 刢 刣 判 別 刦 刧 刨 利 刪 别 刬 刭 刮 刯 到 刱 刲 刳 刴 刵 制 刷 券 刹 刺 刻 刼 刽 刾 刿 剀 剁 剂 剃 剄 剅 剆 則 剈 剉 削 剋 剌 前 剎 剏 剐 剑 剒 剓 剔 剕 剖 剗 剘 剙 剚 剛 剜 剝 剞 剟 剠 剡 剢 剣 剤 剥 剦 剧 剨 剩 剪 剫 剬 剭 剮 副 剰 剱 割 剳 剴 創 剶 剷 剸 剹 剺 剻 剼 剽 剾 剿 劀 劁 劂 劃 劄 劅 劆 劇 劈 劉 劊 劋 劌 劍 劎 劏 劐 劑 劒 劓 劔 劕 劖 劗 劘 劙 劚 力 劜 劝 办 功 加 务 劢 劣 劤 劥 劦 劧 动 助 努 劫 劬 劭 劮 劯 劰 励 劲 劳 労 劵 劶 劷 劸 効 劺 劻 劼 劽 劾 势 勀 勁 勂 勃 勄 勅 勆 勇 勈 勉 勊 勋 勌 勍 勎 勏 勐 勑 勒 勓 勔 動 勖 勗 勘 務 勚 勛 勜 勝 勞 募 勠 勡 勢 勣 勤 勥 勦 勧 勨 勩 勪 勫 勬 勭 勮 勯 勰 勱 勲 勳 勴 勵 勶 勷 勸 勹 勺 勻 勼 勽 勾 勿</t>
        </is>
      </c>
      <c r="Q154" s="38" t="inlineStr">
        <is>
          <t>刀 刁 刂 刃 刄 刅 分 切 刈 刉 刊 刋 刌 刍 刎 刏 刐 刑 划 刓 刔 刕 刖 列 刘 则 刚 创 刜 初 刞 刟 删 刡 刢 刣 判 別 刦 刧 刨 利 刪 别 刬 刭 刮 刯 到 刱 刲 刳 刴 刵 制 刷 券 刹 刺 刻 刼 刽 刾 刿 剀 剁 剂 剃 剄 剅 剆 則 剈 剉 削 剋 剌 前 剎 剏 剐 剑 剒 剓 剔 剕 剖 剗 剘 剙 剚 剛 剜 剝 剞 剟 剠 剡 剢 剣 剤 剥 剦 剧 剨 剩 剪 剫 剬 剭 剮 副 剰 剱 割 剳 剴 創 剶 剷 剸 剹 剺 剻 剼 剽 剾 剿 劀 劁 劂 劃 劄 劅 劆 劇 劈 劉 劊 劋 劌 劍 劎 劏 劐 劑 劒 劓 劔 劕 劖 劗 劘 劙 劚 力 劜 劝 办 功 加 务 劢 劣 劤 劥 劦 劧 动 助 努 劫 劬 劭 劮 劯 劰 励 劲 劳 労 劵 劶 劷 劸 効 劺 劻 劼 劽 劾 势 勀 勁 勂 勃 勄 勅 勆 勇 勈 勉 勊 勋 勌 勍 勎 勏 勐 勑 勒 勓 勔 動 勖 勗 勘 務 勚 勛 勜 勝 勞 募 勠 勡 勢 勣 勤 勥 勦 勧 勨 勩 勪 勫 勬 勭 勮 勯 勰 勱 勲 勳 勴 勵 勶 勷 勸 勹 勺 勻 勼 勽 勾 勿</t>
        </is>
      </c>
      <c r="R154" s="43" t="inlineStr">
        <is>
          <t>刀 刁 刃 刄 分 切 刍 刏 刐 刑 刔 刕 初 判 刧 刱 制 券 刼 剋 前 剏 剓 剖 剙 剞 剪 剫 剱 剺 剽 剾 劂 劄 劆 劈 劊 劎 劑 劒 劓 劔 劕 劘 劙 力 劝 办 功 务 劢 劣 劤 劥 劦 劧 动 助 努 劫 劬 劭 劮 劯 劰 励 劲 劳 労 劵 劶 劷 劸 効 劺 劻 劼 劽 劾 势 勀 勁 勂 勃 勄 勅 勆 勇 勉 勊 勋 勌 勍 勎 勏 勐 勑 勒 勓 勔 動 勖 勗 勘 務 勚 勛 勜 勝 勞 募 勠 勡 勢 勣 勤 勥 勦 勧 勨 勩 勪 勫 勬 勮 勯 勰 勱 勲 勳 勴 勵 勶 勷 勸 勹 勺 勻 勼 勽 勾 勿</t>
        </is>
      </c>
      <c r="S154" s="40" t="n"/>
      <c r="V154" s="14">
        <f>(LEN(O154)+1)/2</f>
        <v/>
      </c>
      <c r="W154" s="14">
        <f>ROUNDDOWN((LEN(P154)+1)/2,0)</f>
        <v/>
      </c>
      <c r="X154" s="14">
        <f>ROUNDDOWN((LEN(Q154)+1)/2,0)</f>
        <v/>
      </c>
      <c r="Y154" s="14">
        <f>ROUNDDOWN((LEN(R154)+1)/2,0)</f>
        <v/>
      </c>
      <c r="Z154" s="14">
        <f>ROUNDDOWN((LEN(S154)+1)/2,0)</f>
        <v/>
      </c>
      <c r="AA154" s="56" t="n">
        <v>46150.55835958045</v>
      </c>
    </row>
    <row r="155" ht="102" customHeight="1">
      <c r="B155" s="46" t="inlineStr">
        <is>
          <t>U+5300-U+53FF</t>
        </is>
      </c>
      <c r="C155" s="46" t="inlineStr">
        <is>
          <t>CJK Unified Ideographs</t>
        </is>
      </c>
      <c r="D155" s="54">
        <f>HEX2DEC(MID(B155,3,FIND("-",E155)-3))</f>
        <v/>
      </c>
      <c r="E155" s="46" t="inlineStr">
        <is>
          <t>U+4E00-U+9FFF</t>
        </is>
      </c>
      <c r="F155" s="12" t="n">
        <v>3</v>
      </c>
      <c r="J155" s="19">
        <f>ROUNDDOWN(W155,0)/$V155</f>
        <v/>
      </c>
      <c r="K155" s="19">
        <f>ROUNDDOWN(X155,0)/$V155</f>
        <v/>
      </c>
      <c r="L155" s="19">
        <f>ROUNDDOWN(Y155,0)/$V155</f>
        <v/>
      </c>
      <c r="M155" s="19">
        <f>ROUNDDOWN(Z155,0)/$V155</f>
        <v/>
      </c>
      <c r="O155" s="36" t="inlineStr">
        <is>
          <t>匀 匁 匂 匃 匄 包 匆 匇 匈 匉 匊 匋 匌 匍 匎 匏 匐 匑 匒 匓 匔 匕 化 北 匘 匙 匚 匛 匜 匝 匞 匟 匠 匡 匢 匣 匤 匥 匦 匧 匨 匩 匪 匫 匬 匭 匮 匯 匰 匱 匲 匳 匴 匵 匶 匷 匸 匹 区 医 匼 匽 匾 匿 區 十 卂 千 卄 卅 卆 升 午 卉 半 卋 卌 卍 华 协 卐 卑 卒 卓 協 单 卖 南 単 卙 博 卛 卜 卝 卞 卟 占 卡 卢 卣 卤 卥 卦 卧 卨 卩 卪 卫 卬 卭 卮 卯 印 危 卲 即 却 卵 卶 卷 卸 卹 卺 卻 卼 卽 卾 卿 厀 厁 厂 厃 厄 厅 历 厇 厈 厉 厊 压 厌 厍 厎 厏 厐 厑 厒 厓 厔 厕 厖 厗 厘 厙 厚 厛 厜 厝 厞 原 厠 厡 厢 厣 厤 厥 厦 厧 厨 厩 厪 厫 厬 厭 厮 厯 厰 厱 厲 厳 厴 厵 厶 厷 厸 厹 厺 去 厼 厽 厾 县 叀 叁 参 參 叄 叅 叆 叇 又 叉 及 友 双 反 収 叏 叐 发 叒 叓 叔 叕 取 受 变 叙 叚 叛 叜 叝 叞 叟 叠 叡 叢 口 古 句 另 叧 叨 叩 只 叫 召 叭 叮 可 台 叱 史 右 叴 叵 叶 号 司 叹 叺 叻 叼 叽 叾 叿</t>
        </is>
      </c>
      <c r="P155" s="37" t="inlineStr">
        <is>
          <t>匀 匁 匂 匃 匄 包 匆 匇 匈 匉 匊 匋 匌 匍 匎 匏 匐 匑 匒 匓 匔 匕 化 北 匘 匙 匚 匛 匜 匝 匞 匟 匠 匡 匢 匣 匤 匥 匦 匧 匨 匩 匪 匫 匬 匭 匮 匯 匰 匱 匲 匳 匴 匵 匶 匷 匸 匹 区 医 匼 匽 匾 匿 區 十 卂 千 卄 卅 卆 升 午 卉 半 卋 卌 卍 华 协 卐 卑 卒 卓 協 单 卖 南 単 卙 博 卛 卜 卝 卞 卟 占 卡 卢 卣 卤 卥 卦 卧 卨 卩 卪 卫 卬 卭 卮 卯 印 危 卲 即 却 卵 卶 卷 卸 卹 卺 卻 卼 卽 卾 卿 厀 厁 厂 厃 厄 厅 历 厇 厈 厉 厊 压 厌 厍 厎 厏 厐 厑 厒 厓 厔 厕 厖 厗 厘 厙 厚 厛 厜 厝 厞 原 厠 厡 厢 厣 厤 厥 厦 厧 厨 厩 厪 厫 厬 厭 厮 厯 厰 厱 厲 厳 厴 厵 厶 厷 厸 厹 厺 去 厼 厽 厾 县 叀 叁 参 參 叄 叅 叆 叇 又 叉 及 友 双 反 収 叏 叐 发 叒 叓 叔 叕 取 受 变 叙 叚 叛 叜 叝 叞 叟 叠 叡 叢 口 古 句 另 叧 叨 叩 只 叫 召 叭 叮 可 台 叱 史 右 叴 叵 叶 号 司 叹 叺 叻 叼 叽 叾 叿</t>
        </is>
      </c>
      <c r="Q155" s="38" t="inlineStr">
        <is>
          <t>匀 匁 匂 匃 匄 包 匆 匇 匈 匉 匊 匋 匌 匍 匎 匏 匐 匑 匒 匓 匔 匕 化 北 匘 匙 匚 匛 匜 匝 匞 匟 匠 匡 匢 匣 匤 匥 匦 匧 匨 匩 匪 匫 匬 匭 匮 匯 匰 匱 匲 匳 匴 匵 匶 匷 匸 匹 区 医 匼 匽 匾 匿 區 十 卂 千 卄 卅 卆 升 午 卉 半 卋 卌 卍 华 协 卐 卑 卒 卓 協 单 卖 南 単 卙 博 卛 卜 卝 卞 卟 占 卡 卢 卣 卤 卥 卦 卧 卨 卩 卪 卫 卬 卭 卮 卯 印 危 卲 即 却 卵 卶 卷 卸 卹 卺 卻 卼 卽 卾 卿 厀 厁 厂 厃 厄 厅 历 厇 厈 厉 厊 压 厌 厍 厎 厏 厐 厑 厒 厓 厔 厕 厖 厗 厘 厙 厚 厛 厜 厝 厞 原 厠 厡 厢 厣 厤 厥 厦 厧 厨 厩 厪 厫 厬 厭 厮 厯 厰 厱 厲 厳 厴 厵 厶 厷 厸 厹 厺 去 厼 厽 厾 县 叀 叁 参 參 叄 叅 叆 叇 又 叉 及 友 双 反 収 叏 叐 发 叒 叓 叔 叕 取 受 变 叙 叚 叛 叜 叝 叞 叟 叠 叡 叢 口 古 句 另 叧 叨 叩 只 叫 召 叭 叮 可 台 叱 史 右 叴 叵 叶 号 司 叹 叺 叻 叼 叽 叾 叿</t>
        </is>
      </c>
      <c r="R155" s="43" t="inlineStr">
        <is>
          <t>匀 匁 匂 匃 匄 包 匆 匇 匈 匉 匊 匋 匌 匍 匎 匏 匐 匑 匒 匓 匔 匕 化 匙 匚 匛 匜 匝 匞 匟 匠 匡 匢 匣 匤 匥 匦 匧 匨 匩 匪 匫 匬 匭 匮 匯 匰 匱 匲 匳 匴 匵 匶 匷 匸 匹 区 医 匼 匽 匾 匿 區 十 卂 千 卄 卅 卆 升 午 卉 半 卋 卌 卍 华 协 卐 卑 卒 卓 協 单 卖 南 単 卙 博 卛 卞 占 卡 卢 卣 卤 卥 卦 卨 卩 卪 卫 卮 危 却 卷 卹 卺 卼 卾 厁 厂 厃 厄 厅 历 厇 厈 厉 厊 压 厌 厍 厎 厏 厐 厑 厒 厓 厔 厕 厖 厗 厘 厙 厚 厛 厜 厝 厞 原 厠 厡 厢 厣 厤 厥 厦 厧 厨 厩 厪 厫 厬 厭 厮 厯 厰 厱 厲 厳 厴 厵 厶 厷 厹 厺 去 厼 厽 厾 县 叀 参 參 叄 叅 叆 叇 又 叉 及 友 双 反 収 叏 叐 发 叒 叓 叔 叕 取 受 变 叙 叚 叛 叜 叞 叟 叠 叡 叢 口 古 句 另 叨 只 召 可 台 史 右 叴 叵 号 司 叹 叺 叻 叽 叾 叿</t>
        </is>
      </c>
      <c r="S155" s="40" t="n"/>
      <c r="V155" s="14">
        <f>(LEN(O155)+1)/2</f>
        <v/>
      </c>
      <c r="W155" s="14">
        <f>ROUNDDOWN((LEN(P155)+1)/2,0)</f>
        <v/>
      </c>
      <c r="X155" s="14">
        <f>ROUNDDOWN((LEN(Q155)+1)/2,0)</f>
        <v/>
      </c>
      <c r="Y155" s="14">
        <f>ROUNDDOWN((LEN(R155)+1)/2,0)</f>
        <v/>
      </c>
      <c r="Z155" s="14">
        <f>ROUNDDOWN((LEN(S155)+1)/2,0)</f>
        <v/>
      </c>
      <c r="AA155" s="56" t="n">
        <v>46150.55836261936</v>
      </c>
    </row>
    <row r="156" ht="102" customHeight="1">
      <c r="B156" s="46" t="inlineStr">
        <is>
          <t>U+5400-U+54FF</t>
        </is>
      </c>
      <c r="C156" s="46" t="inlineStr">
        <is>
          <t>CJK Unified Ideographs</t>
        </is>
      </c>
      <c r="D156" s="54">
        <f>HEX2DEC(MID(B156,3,FIND("-",E156)-3))</f>
        <v/>
      </c>
      <c r="E156" s="46" t="inlineStr">
        <is>
          <t>U+4E00-U+9FFF</t>
        </is>
      </c>
      <c r="F156" s="12" t="n">
        <v>3</v>
      </c>
      <c r="J156" s="19">
        <f>ROUNDDOWN(W156,0)/$V156</f>
        <v/>
      </c>
      <c r="K156" s="19">
        <f>ROUNDDOWN(X156,0)/$V156</f>
        <v/>
      </c>
      <c r="L156" s="19">
        <f>ROUNDDOWN(Y156,0)/$V156</f>
        <v/>
      </c>
      <c r="M156" s="19">
        <f>ROUNDDOWN(Z156,0)/$V156</f>
        <v/>
      </c>
      <c r="O156" s="36" t="inlineStr">
        <is>
          <t>吀 吁 吂 吃 各 吅 吆 吇 合 吉 吊 吋 同 名 后 吏 吐 向 吒 吓 吔 吕 吖 吗 吘 吙 吚 君 吜 吝 吞 吟 吠 吡 吢 吣 吤 吥 否 吧 吨 吩 吪 含 听 吭 吮 启 吰 吱 吲 吳 吴 吵 吶 吷 吸 吹 吺 吻 吼 吽 吾 吿 呀 呁 呂 呃 呄 呅 呆 呇 呈 呉 告 呋 呌 呍 呎 呏 呐 呑 呒 呓 呔 呕 呖 呗 员 呙 呚 呛 呜 呝 呞 呟 呠 呡 呢 呣 呤 呥 呦 呧 周 呩 呪 呫 呬 呭 呮 呯 呰 呱 呲 味 呴 呵 呶 呷 呸 呹 呺 呻 呼 命 呾 呿 咀 咁 咂 咃 咄 咅 咆 咇 咈 咉 咊 咋 和 咍 咎 咏 咐 咑 咒 咓 咔 咕 咖 咗 咘 咙 咚 咛 咜 咝 咞 咟 咠 咡 咢 咣 咤 咥 咦 咧 咨 咩 咪 咫 咬 咭 咮 咯 咰 咱 咲 咳 咴 咵 咶 咷 咸 咹 咺 咻 咼 咽 咾 咿 哀 品 哂 哃 哄 哅 哆 哇 哈 哉 哊 哋 哌 响 哎 哏 哐 哑 哒 哓 哔 哕 哖 哗 哘 哙 哚 哛 哜 哝 哞 哟 哠 員 哢 哣 哤 哥 哦 哧 哨 哩 哪 哫 哬 哭 哮 哯 哰 哱 哲 哳 哴 哵 哶 哷 哸 哹 哺 哻 哼 哽 哾 哿</t>
        </is>
      </c>
      <c r="P156" s="37" t="inlineStr">
        <is>
          <t>吀 吁 吂 吃 各 吅 吆 吇 合 吉 吊 吋 同 名 后 吏 吐 向 吒 吓 吔 吕 吖 吗 吘 吙 吚 君 吜 吝 吞 吟 吠 吡 吢 吣 吤 吥 否 吧 吨 吩 吪 含 听 吭 吮 启 吰 吱 吲 吳 吴 吵 吶 吷 吸 吹 吺 吻 吼 吽 吾 吿 呀 呁 呂 呃 呄 呅 呆 呇 呈 呉 告 呋 呌 呍 呎 呏 呐 呑 呒 呓 呔 呕 呖 呗 员 呙 呚 呛 呜 呝 呞 呟 呠 呡 呢 呣 呤 呥 呦 呧 周 呩 呪 呫 呬 呭 呮 呯 呰 呱 呲 味 呴 呵 呶 呷 呸 呹 呺 呻 呼 命 呾 呿 咀 咁 咂 咃 咄 咅 咆 咇 咈 咉 咊 咋 和 咍 咎 咏 咐 咑 咒 咓 咔 咕 咖 咗 咘 咙 咚 咛 咜 咝 咞 咟 咠 咡 咢 咣 咤 咥 咦 咧 咨 咩 咪 咫 咬 咭 咮 咯 咰 咱 咲 咳 咴 咵 咶 咷 咸 咹 咺 咻 咼 咽 咾 咿 哀 品 哂 哃 哄 哅 哆 哇 哈 哉 哊 哋 哌 响 哎 哏 哐 哑 哒 哓 哔 哕 哖 哗 哘 哙 哚 哛 哜 哝 哞 哟 哠 員 哢 哣 哤 哥 哦 哧 哨 哩 哪 哫 哬 哭 哮 哯 哰 哱 哲 哳 哴 哵 哶 哷 哸 哹 哺 哻 哼 哽 哾 哿</t>
        </is>
      </c>
      <c r="Q156" s="38" t="inlineStr">
        <is>
          <t>吀 吁 吂 吃 各 吅 吆 吇 合 吉 吊 吋 同 名 后 吏 吐 向 吒 吓 吔 吕 吖 吗 吘 吙 吚 君 吜 吝 吞 吟 吠 吡 吢 吣 吤 吥 否 吧 吨 吩 吪 含 听 吭 吮 启 吰 吱 吲 吳 吴 吵 吶 吷 吸 吹 吺 吻 吼 吽 吾 吿 呀 呁 呂 呃 呄 呅 呆 呇 呈 呉 告 呋 呌 呍 呎 呏 呐 呑 呒 呓 呔 呕 呖 呗 员 呙 呚 呛 呜 呝 呞 呟 呠 呡 呢 呣 呤 呥 呦 呧 周 呩 呪 呫 呬 呭 呮 呯 呰 呱 呲 味 呴 呵 呶 呷 呸 呹 呺 呻 呼 命 呾 呿 咀 咁 咂 咃 咄 咅 咆 咇 咈 咉 咊 咋 和 咍 咎 咏 咐 咑 咒 咓 咔 咕 咖 咗 咘 咙 咚 咛 咜 咝 咞 咟 咠 咡 咢 咣 咤 咥 咦 咧 咨 咩 咪 咫 咬 咭 咮 咯 咰 咱 咲 咳 咴 咵 咶 咷 咸 咹 咺 咻 咼 咽 咾 咿 哀 品 哂 哃 哄 哅 哆 哇 哈 哉 哊 哋 哌 响 哎 哏 哐 哑 哒 哓 哔 哕 哖 哗 哘 哙 哚 哛 哜 哝 哞 哟 哠 員 哢 哣 哤 哥 哦 哧 哨 哩 哪 哫 哬 哭 哮 哯 哰 哱 哲 哳 哴 哵 哶 哷 哸 哹 哺 哻 哼 哽 哾 哿</t>
        </is>
      </c>
      <c r="R156" s="43" t="inlineStr">
        <is>
          <t>吀 吃 各 吇 吊 同 名 后 吏 吐 向 吓 吙 吚 君 吜 吝 吞 吟 吠 吤 吥 否 吩 吪 含 听 吭 吮 启 吰 吱 吳 吵 吷 吸 吹 吺 吻 吾 吿 呀 呂 呃 呄 呅 呆 呇 呉 呋 呎 呏 呑 呒 呔 呖 呗 员 呙 呚 呛 呝 呠 呢 呣 呤 呥 周 呩 呪 呭 呮 呰 呱 味 呴 呶 呸 呹 命 咀 咁 咃 咆 咇 咈 咉 咊 咋 咎 咏 咐 咑 咔 咗 咘 咙 咚 咛 咜 咞 咠 咡 咢 咣 咤 咥 咦 咨 咪 咫 咬 咯 咲 咴 咸 咹 咻 咼 咾 咿 哂 哄 哅 哆 哈 哉 哊 哋 哌 哎 哑 哒 哓 哗 哘 哙 哚 哛 哝 哞 哟 哠 員 哣 哤 哥 哦 哩 哫 哬 哭 哮 哰 哱 哲 哳 哸 哹 哽 哾 哿</t>
        </is>
      </c>
      <c r="S156" s="40" t="n"/>
      <c r="V156" s="14">
        <f>(LEN(O156)+1)/2</f>
        <v/>
      </c>
      <c r="W156" s="14">
        <f>ROUNDDOWN((LEN(P156)+1)/2,0)</f>
        <v/>
      </c>
      <c r="X156" s="14">
        <f>ROUNDDOWN((LEN(Q156)+1)/2,0)</f>
        <v/>
      </c>
      <c r="Y156" s="14">
        <f>ROUNDDOWN((LEN(R156)+1)/2,0)</f>
        <v/>
      </c>
      <c r="Z156" s="14">
        <f>ROUNDDOWN((LEN(S156)+1)/2,0)</f>
        <v/>
      </c>
      <c r="AA156" s="56" t="n">
        <v>46150.55836557387</v>
      </c>
    </row>
    <row r="157" ht="102" customHeight="1">
      <c r="B157" s="46" t="inlineStr">
        <is>
          <t>U+5500-U+55FF</t>
        </is>
      </c>
      <c r="C157" s="46" t="inlineStr">
        <is>
          <t>CJK Unified Ideographs</t>
        </is>
      </c>
      <c r="D157" s="54">
        <f>HEX2DEC(MID(B157,3,FIND("-",E157)-3))</f>
        <v/>
      </c>
      <c r="E157" s="46" t="inlineStr">
        <is>
          <t>U+4E00-U+9FFF</t>
        </is>
      </c>
      <c r="F157" s="12" t="n">
        <v>3</v>
      </c>
      <c r="J157" s="19">
        <f>ROUNDDOWN(W157,0)/$V157</f>
        <v/>
      </c>
      <c r="K157" s="19">
        <f>ROUNDDOWN(X157,0)/$V157</f>
        <v/>
      </c>
      <c r="L157" s="19">
        <f>ROUNDDOWN(Y157,0)/$V157</f>
        <v/>
      </c>
      <c r="M157" s="19">
        <f>ROUNDDOWN(Z157,0)/$V157</f>
        <v/>
      </c>
      <c r="O157" s="36" t="inlineStr">
        <is>
          <t>唀 唁 唂 唃 唄 唅 唆 唇 唈 唉 唊 唋 唌 唍 唎 唏 唐 唑 唒 唓 唔 唕 唖 唗 唘 唙 唚 唛 唜 唝 唞 唟 唠 唡 唢 唣 唤 唥 唦 唧 唨 唩 唪 唫 唬 唭 售 唯 唰 唱 唲 唳 唴 唵 唶 唷 唸 唹 唺 唻 唼 唽 唾 唿 啀 啁 啂 啃 啄 啅 商 啇 啈 啉 啊 啋 啌 啍 啎 問 啐 啑 啒 啓 啔 啕 啖 啗 啘 啙 啚 啛 啜 啝 啞 啟 啠 啡 啢 啣 啤 啥 啦 啧 啨 啩 啪 啫 啬 啭 啮 啯 啰 啱 啲 啳 啴 啵 啶 啷 啸 啹 啺 啻 啼 啽 啾 啿 喀 喁 喂 喃 善 喅 喆 喇 喈 喉 喊 喋 喌 喍 喎 喏 喐 喑 喒 喓 喔 喕 喖 喗 喘 喙 喚 喛 喜 喝 喞 喟 喠 喡 喢 喣 喤 喥 喦 喧 喨 喩 喪 喫 喬 喭 單 喯 喰 喱 喲 喳 喴 喵 営 喷 喸 喹 喺 喻 喼 喽 喾 喿 嗀 嗁 嗂 嗃 嗄 嗅 嗆 嗇 嗈 嗉 嗊 嗋 嗌 嗍 嗎 嗏 嗐 嗑 嗒 嗓 嗔 嗕 嗖 嗗 嗘 嗙 嗚 嗛 嗜 嗝 嗞 嗟 嗠 嗡 嗢 嗣 嗤 嗥 嗦 嗧 嗨 嗩 嗪 嗫 嗬 嗭 嗮 嗯 嗰 嗱 嗲 嗳 嗴 嗵 嗶 嗷 嗸 嗹 嗺 嗻 嗼 嗽 嗾 嗿</t>
        </is>
      </c>
      <c r="P157" s="37" t="inlineStr">
        <is>
          <t>唀 唁 唂 唃 唄 唅 唆 唇 唈 唉 唊 唋 唌 唍 唎 唏 唐 唑 唒 唓 唔 唕 唖 唗 唘 唙 唚 唛 唜 唝 唞 唟 唠 唡 唢 唣 唤 唥 唦 唧 唨 唩 唪 唫 唬 唭 售 唯 唰 唱 唲 唳 唴 唵 唶 唷 唸 唹 唺 唻 唼 唽 唾 唿 啀 啁 啂 啃 啄 啅 商 啇 啈 啉 啊 啋 啌 啍 啎 問 啐 啑 啒 啓 啔 啕 啖 啗 啘 啙 啚 啛 啜 啝 啞 啟 啠 啡 啢 啣 啤 啥 啦 啧 啨 啩 啪 啫 啬 啭 啮 啯 啰 啱 啲 啳 啴 啵 啶 啷 啸 啹 啺 啻 啼 啽 啾 啿 喀 喁 喂 喃 善 喅 喆 喇 喈 喉 喊 喋 喌 喍 喎 喏 喐 喑 喒 喓 喔 喕 喖 喗 喘 喙 喚 喛 喜 喝 喞 喟 喠 喡 喢 喣 喤 喥 喦 喧 喨 喩 喪 喫 喬 喭 單 喯 喰 喱 喲 喳 喴 喵 営 喷 喸 喹 喺 喻 喼 喽 喾 喿 嗀 嗁 嗂 嗃 嗄 嗅 嗆 嗇 嗈 嗉 嗊 嗋 嗌 嗍 嗎 嗏 嗐 嗑 嗒 嗓 嗔 嗕 嗖 嗗 嗘 嗙 嗚 嗛 嗜 嗝 嗞 嗟 嗠 嗡 嗢 嗣 嗤 嗥 嗦 嗧 嗨 嗩 嗪 嗫 嗬 嗭 嗮 嗯 嗰 嗱 嗲 嗳 嗴 嗵 嗶 嗷 嗸 嗹 嗺 嗻 嗼 嗽 嗾 嗿</t>
        </is>
      </c>
      <c r="Q157" s="38" t="inlineStr">
        <is>
          <t>唀 唁 唂 唃 唄 唅 唆 唇 唈 唉 唊 唋 唌 唍 唎 唏 唐 唑 唒 唓 唔 唕 唖 唗 唘 唙 唚 唛 唜 唝 唞 唟 唠 唡 唢 唣 唤 唥 唦 唧 唨 唩 唪 唫 唬 唭 售 唯 唰 唱 唲 唳 唴 唵 唶 唷 唸 唹 唺 唻 唼 唽 唾 唿 啀 啁 啂 啃 啄 啅 商 啇 啈 啉 啊 啋 啌 啍 啎 問 啐 啑 啒 啓 啔 啕 啖 啗 啘 啙 啚 啛 啜 啝 啞 啟 啠 啡 啢 啣 啤 啥 啦 啧 啨 啩 啪 啫 啬 啭 啮 啯 啰 啱 啲 啳 啴 啵 啶 啷 啸 啹 啺 啻 啼 啽 啾 啿 喀 喁 喂 喃 善 喅 喆 喇 喈 喉 喊 喋 喌 喍 喎 喏 喐 喑 喒 喓 喔 喕 喖 喗 喘 喙 喚 喛 喜 喝 喞 喟 喠 喡 喢 喣 喤 喥 喦 喧 喨 喩 喪 喫 喬 喭 單 喯 喰 喱 喲 喳 喴 喵 営 喷 喸 喹 喺 喻 喼 喽 喾 喿 嗀 嗁 嗂 嗃 嗄 嗅 嗆 嗇 嗈 嗉 嗊 嗋 嗌 嗍 嗎 嗏 嗐 嗑 嗒 嗓 嗔 嗕 嗖 嗗 嗘 嗙 嗚 嗛 嗜 嗝 嗞 嗟 嗠 嗡 嗢 嗣 嗤 嗥 嗦 嗧 嗨 嗩 嗪 嗫 嗬 嗭 嗮 嗯 嗰 嗱 嗲 嗳 嗴 嗵 嗶 嗷 嗸 嗹 嗺 嗻 嗼 嗽 嗾 嗿</t>
        </is>
      </c>
      <c r="R157" s="43" t="inlineStr">
        <is>
          <t>唀 唂 唃 唅 唆 唇 唉 唋 唌 唍 唏 唐 唑 唒 唖 唗 唘 唙 唛 唜 唝 唞 唟 唠 唣 唤 唥 唦 唫 唬 售 唯 唲 唳 唴 唵 唶 唸 唹 唺 唻 唼 唽 唿 啀 啁 啃 商 啇 啉 啋 啌 啎 問 啑 啒 啓 啔 啕 啖 啗 啘 啚 啜 啞 啟 啠 啤 啥 啩 啪 啫 啬 啭 啮 啰 啱 啳 啵 啶 啸 啹 啺 啻 啼 啽 啾 喀 喂 善 喅 喉 喊 喋 喌 喍 喏 喐 喑 喒 喓 喔 喕 喖 喘 喚 喛 喜 喝 喢 喣 喥 喦 喧 喨 喩 喪 喫 喬 喭 單 喰 喱 喲 喳 喴 営 喸 喹 喺 喻 喼 喽 喾 喿 嗀 嗁 嗄 嗅 嗆 嗇 嗌 嗍 嗐 嗑 嗓 嗔 嗕 嗖 嗙 嗚 嗛 嗜 嗝 嗟 嗠 嗡 嗢 嗣 嗥 嗦 嗧 嗫 嗬 嗭 嗯 嗰 嗳 嗴 嗵 嗷 嗸 嗹 嗺 嗻 嗽 嗾 嗿</t>
        </is>
      </c>
      <c r="S157" s="40" t="n"/>
      <c r="V157" s="14">
        <f>(LEN(O157)+1)/2</f>
        <v/>
      </c>
      <c r="W157" s="14">
        <f>ROUNDDOWN((LEN(P157)+1)/2,0)</f>
        <v/>
      </c>
      <c r="X157" s="14">
        <f>ROUNDDOWN((LEN(Q157)+1)/2,0)</f>
        <v/>
      </c>
      <c r="Y157" s="14">
        <f>ROUNDDOWN((LEN(R157)+1)/2,0)</f>
        <v/>
      </c>
      <c r="Z157" s="14">
        <f>ROUNDDOWN((LEN(S157)+1)/2,0)</f>
        <v/>
      </c>
      <c r="AA157" s="56" t="n">
        <v>46150.55836853167</v>
      </c>
    </row>
    <row r="158" ht="102" customHeight="1">
      <c r="B158" s="46" t="inlineStr">
        <is>
          <t>U+5600-U+56FF</t>
        </is>
      </c>
      <c r="C158" s="46" t="inlineStr">
        <is>
          <t>CJK Unified Ideographs</t>
        </is>
      </c>
      <c r="D158" s="54">
        <f>HEX2DEC(MID(B158,3,FIND("-",E158)-3))</f>
        <v/>
      </c>
      <c r="E158" s="46" t="inlineStr">
        <is>
          <t>U+4E00-U+9FFF</t>
        </is>
      </c>
      <c r="F158" s="12" t="n">
        <v>3</v>
      </c>
      <c r="J158" s="19">
        <f>ROUNDDOWN(W158,0)/$V158</f>
        <v/>
      </c>
      <c r="K158" s="19">
        <f>ROUNDDOWN(X158,0)/$V158</f>
        <v/>
      </c>
      <c r="L158" s="19">
        <f>ROUNDDOWN(Y158,0)/$V158</f>
        <v/>
      </c>
      <c r="M158" s="19">
        <f>ROUNDDOWN(Z158,0)/$V158</f>
        <v/>
      </c>
      <c r="O158" s="36" t="inlineStr">
        <is>
          <t>嘀 嘁 嘂 嘃 嘄 嘅 嘆 嘇 嘈 嘉 嘊 嘋 嘌 嘍 嘎 嘏 嘐 嘑 嘒 嘓 嘔 嘕 嘖 嘗 嘘 嘙 嘚 嘛 嘜 嘝 嘞 嘟 嘠 嘡 嘢 嘣 嘤 嘥 嘦 嘧 嘨 嘩 嘪 嘫 嘬 嘭 嘮 嘯 嘰 嘱 嘲 嘳 嘴 嘵 嘶 嘷 嘸 嘹 嘺 嘻 嘼 嘽 嘾 嘿 噀 噁 噂 噃 噄 噅 噆 噇 噈 噉 噊 噋 噌 噍 噎 噏 噐 噑 噒 噓 噔 噕 噖 噗 噘 噙 噚 噛 噜 噝 噞 噟 噠 噡 噢 噣 噤 噥 噦 噧 器 噩 噪 噫 噬 噭 噮 噯 噰 噱 噲 噳 噴 噵 噶 噷 噸 噹 噺 噻 噼 噽 噾 噿 嚀 嚁 嚂 嚃 嚄 嚅 嚆 嚇 嚈 嚉 嚊 嚋 嚌 嚍 嚎 嚏 嚐 嚑 嚒 嚓 嚔 嚕 嚖 嚗 嚘 嚙 嚚 嚛 嚜 嚝 嚞 嚟 嚠 嚡 嚢 嚣 嚤 嚥 嚦 嚧 嚨 嚩 嚪 嚫 嚬 嚭 嚮 嚯 嚰 嚱 嚲 嚳 嚴 嚵 嚶 嚷 嚸 嚹 嚺 嚻 嚼 嚽 嚾 嚿 囀 囁 囂 囃 囄 囅 囆 囇 囈 囉 囊 囋 囌 囍 囎 囏 囐 囑 囒 囓 囔 囕 囖 囗 囘 囙 囚 四 囜 囝 回 囟 因 囡 团 団 囤 囥 囦 囧 囨 囩 囪 囫 囬 园 囮 囯 困 囱 囲 図 围 囵 囶 囷 囸 囹 固 囻 囼 国 图 囿</t>
        </is>
      </c>
      <c r="P158" s="37" t="inlineStr">
        <is>
          <t>嘀 嘁 嘂 嘃 嘄 嘅 嘆 嘇 嘈 嘉 嘊 嘋 嘌 嘍 嘎 嘏 嘐 嘑 嘒 嘓 嘔 嘕 嘖 嘗 嘘 嘙 嘚 嘛 嘜 嘝 嘞 嘟 嘠 嘡 嘢 嘣 嘤 嘥 嘦 嘧 嘨 嘩 嘪 嘫 嘬 嘭 嘮 嘯 嘰 嘱 嘲 嘳 嘴 嘵 嘶 嘷 嘸 嘹 嘺 嘻 嘼 嘽 嘾 嘿 噀 噁 噂 噃 噄 噅 噆 噇 噈 噉 噊 噋 噌 噍 噎 噏 噐 噑 噒 噓 噔 噕 噖 噗 噘 噙 噚 噛 噜 噝 噞 噟 噠 噡 噢 噣 噤 噥 噦 噧 器 噩 噪 噫 噬 噭 噮 噯 噰 噱 噲 噳 噴 噵 噶 噷 噸 噹 噺 噻 噼 噽 噾 噿 嚀 嚁 嚂 嚃 嚄 嚅 嚆 嚇 嚈 嚉 嚊 嚋 嚌 嚍 嚎 嚏 嚐 嚑 嚒 嚓 嚔 嚕 嚖 嚗 嚘 嚙 嚚 嚛 嚜 嚝 嚞 嚟 嚠 嚡 嚢 嚣 嚤 嚥 嚦 嚧 嚨 嚩 嚪 嚫 嚬 嚭 嚮 嚯 嚰 嚱 嚲 嚳 嚴 嚵 嚶 嚷 嚸 嚹 嚺 嚻 嚼 嚽 嚾 嚿 囀 囁 囂 囃 囄 囅 囆 囇 囈 囉 囊 囋 囌 囍 囎 囏 囐 囑 囒 囓 囔 囕 囖 囗 囘 囙 囚 四 囜 囝 回 囟 因 囡 团 団 囤 囥 囦 囧 囨 囩 囪 囫 囬 园 囮 囯 困 囱 囲 図 围 囵 囶 囷 囸 囹 固 囻 囼 国 图 囿</t>
        </is>
      </c>
      <c r="Q158" s="38" t="inlineStr">
        <is>
          <t>嘀 嘁 嘂 嘃 嘄 嘅 嘆 嘇 嘈 嘉 嘊 嘋 嘌 嘍 嘎 嘏 嘐 嘑 嘒 嘓 嘔 嘕 嘖 嘗 嘘 嘙 嘚 嘛 嘜 嘝 嘞 嘟 嘠 嘡 嘢 嘣 嘤 嘥 嘦 嘧 嘨 嘩 嘪 嘫 嘬 嘭 嘮 嘯 嘰 嘱 嘲 嘳 嘴 嘵 嘶 嘷 嘸 嘹 嘺 嘻 嘼 嘽 嘾 嘿 噀 噁 噂 噃 噄 噅 噆 噇 噈 噉 噊 噋 噌 噍 噎 噏 噐 噑 噒 噓 噔 噕 噖 噗 噘 噙 噚 噛 噜 噝 噞 噟 噠 噡 噢 噣 噤 噥 噦 噧 器 噩 噪 噫 噬 噭 噮 噯 噰 噱 噲 噳 噴 噵 噶 噷 噸 噹 噺 噻 噼 噽 噾 噿 嚀 嚁 嚂 嚃 嚄 嚅 嚆 嚇 嚈 嚉 嚊 嚋 嚌 嚍 嚎 嚏 嚐 嚑 嚒 嚓 嚔 嚕 嚖 嚗 嚘 嚙 嚚 嚛 嚜 嚝 嚞 嚟 嚠 嚡 嚢 嚣 嚤 嚥 嚦 嚧 嚨 嚩 嚪 嚫 嚬 嚭 嚮 嚯 嚰 嚱 嚲 嚳 嚴 嚵 嚶 嚷 嚸 嚹 嚺 嚻 嚼 嚽 嚾 嚿 囀 囁 囂 囃 囄 囅 囆 囇 囈 囉 囊 囋 囌 囍 囎 囏 囐 囑 囒 囓 囔 囕 囖 囗 囘 囙 囚 四 囜 囝 回 囟 因 囡 团 団 囤 囥 囦 囧 囨 囩 囪 囫 囬 园 囮 囯 困 囱 囲 図 围 囵 囶 囷 囸 囹 固 囻 囼 国 图 囿</t>
        </is>
      </c>
      <c r="R158" s="43" t="inlineStr">
        <is>
          <t>嘁 嘃 嘄 嘆 嘇 嘉 嘊 嘍 嘎 嘑 嘕 嘗 嘘 嘚 嘛 嘜 嘝 嘟 嘠 嘢 嘣 嘥 嘦 嘧 嘨 嘫 嘬 嘭 嘮 嘯 嘰 嘱 嘴 嘵 嘶 嘸 嘹 嘺 嘻 嘼 嘿 噀 噁 噅 噆 噈 噉 噍 噐 噒 噓 噔 噕 噖 噗 噘 噙 噚 噛 噜 噞 噟 噠 噡 噢 噣 噤 噥 噦 器 噩 噪 噫 噬 噭 噮 噰 噱 噲 噳 噵 噶 噷 噸 噹 噺 噻 噼 噽 嚁 嚂 嚃 嚇 嚈 嚊 嚌 嚍 嚎 嚏 嚑 嚒 嚓 嚔 嚕 嚖 嚗 嚙 嚚 嚝 嚞 嚟 嚢 嚣 嚤 嚥 嚦 嚧 嚩 嚫 嚬 嚭 嚮 嚯 嚰 嚱 嚲 嚳 嚴 嚶 嚷 嚸 嚹 嚺 嚽 嚾 嚿 囁 囂 囃 囅 囇 囉 囊 囋 囌 囎 囏 囐 囑 囔 囖 囗 囘 囙 囚 四 囜 囝 回 囟 因 囡 团 団 囤 囥 囦 囧 囨 囩 囪 囫 囬 园 囮 囯 困 囱 囲 図 围 囵 囶 囷 囸 囹 固 囻 囼 国 图 囿</t>
        </is>
      </c>
      <c r="S158" s="40" t="n"/>
      <c r="V158" s="14">
        <f>(LEN(O158)+1)/2</f>
        <v/>
      </c>
      <c r="W158" s="14">
        <f>ROUNDDOWN((LEN(P158)+1)/2,0)</f>
        <v/>
      </c>
      <c r="X158" s="14">
        <f>ROUNDDOWN((LEN(Q158)+1)/2,0)</f>
        <v/>
      </c>
      <c r="Y158" s="14">
        <f>ROUNDDOWN((LEN(R158)+1)/2,0)</f>
        <v/>
      </c>
      <c r="Z158" s="14">
        <f>ROUNDDOWN((LEN(S158)+1)/2,0)</f>
        <v/>
      </c>
      <c r="AA158" s="56" t="n">
        <v>46150.5583715238</v>
      </c>
    </row>
    <row r="159" ht="102" customHeight="1">
      <c r="B159" s="46" t="inlineStr">
        <is>
          <t>U+5700-U+57FF</t>
        </is>
      </c>
      <c r="C159" s="46" t="inlineStr">
        <is>
          <t>CJK Unified Ideographs</t>
        </is>
      </c>
      <c r="D159" s="54">
        <f>HEX2DEC(MID(B159,3,FIND("-",E159)-3))</f>
        <v/>
      </c>
      <c r="E159" s="46" t="inlineStr">
        <is>
          <t>U+4E00-U+9FFF</t>
        </is>
      </c>
      <c r="F159" s="12" t="n">
        <v>3</v>
      </c>
      <c r="J159" s="19">
        <f>ROUNDDOWN(W159,0)/$V159</f>
        <v/>
      </c>
      <c r="K159" s="19">
        <f>ROUNDDOWN(X159,0)/$V159</f>
        <v/>
      </c>
      <c r="L159" s="19">
        <f>ROUNDDOWN(Y159,0)/$V159</f>
        <v/>
      </c>
      <c r="M159" s="19">
        <f>ROUNDDOWN(Z159,0)/$V159</f>
        <v/>
      </c>
      <c r="O159" s="36" t="inlineStr">
        <is>
          <t>圀 圁 圂 圃 圄 圅 圆 圇 圈 圉 圊 國 圌 圍 圎 圏 圐 圑 園 圓 圔 圕 圖 圗 團 圙 圚 圛 圜 圝 圞 土 圠 圡 圢 圣 圤 圥 圦 圧 在 圩 圪 圫 圬 圭 圮 圯 地 圱 圲 圳 圴 圵 圶 圷 圸 圹 场 圻 圼 圽 圾 圿 址 坁 坂 坃 坄 坅 坆 均 坈 坉 坊 坋 坌 坍 坎 坏 坐 坑 坒 坓 坔 坕 坖 块 坘 坙 坚 坛 坜 坝 坞 坟 坠 坡 坢 坣 坤 坥 坦 坧 坨 坩 坪 坫 坬 坭 坮 坯 坰 坱 坲 坳 坴 坵 坶 坷 坸 坹 坺 坻 坼 坽 坾 坿 垀 垁 垂 垃 垄 垅 垆 垇 垈 垉 垊 型 垌 垍 垎 垏 垐 垑 垒 垓 垔 垕 垖 垗 垘 垙 垚 垛 垜 垝 垞 垟 垠 垡 垢 垣 垤 垥 垦 垧 垨 垩 垪 垫 垬 垭 垮 垯 垰 垱 垲 垳 垴 垵 垶 垷 垸 垹 垺 垻 垼 垽 垾 垿 埀 埁 埂 埃 埄 埅 埆 埇 埈 埉 埊 埋 埌 埍 城 埏 埐 埑 埒 埓 埔 埕 埖 埗 埘 埙 埚 埛 埜 埝 埞 域 埠 埡 埢 埣 埤 埥 埦 埧 埨 埩 埪 埫 埬 埭 埮 埯 埰 埱 埲 埳 埴 埵 埶 執 埸 培 基 埻 埼 埽 埾 埿</t>
        </is>
      </c>
      <c r="P159" s="37" t="inlineStr">
        <is>
          <t>圀 圁 圂 圃 圄 圅 圆 圇 圈 圉 圊 國 圌 圍 圎 圏 圐 圑 園 圓 圔 圕 圖 圗 團 圙 圚 圛 圜 圝 圞 土 圠 圡 圢 圣 圤 圥 圦 圧 在 圩 圪 圫 圬 圭 圮 圯 地 圱 圲 圳 圴 圵 圶 圷 圸 圹 场 圻 圼 圽 圾 圿 址 坁 坂 坃 坄 坅 坆 均 坈 坉 坊 坋 坌 坍 坎 坏 坐 坑 坒 坓 坔 坕 坖 块 坘 坙 坚 坛 坜 坝 坞 坟 坠 坡 坢 坣 坤 坥 坦 坧 坨 坩 坪 坫 坬 坭 坮 坯 坰 坱 坲 坳 坴 坵 坶 坷 坸 坹 坺 坻 坼 坽 坾 坿 垀 垁 垂 垃 垄 垅 垆 垇 垈 垉 垊 型 垌 垍 垎 垏 垐 垑 垒 垓 垔 垕 垖 垗 垘 垙 垚 垛 垜 垝 垞 垟 垠 垡 垢 垣 垤 垥 垦 垧 垨 垩 垪 垫 垬 垭 垮 垯 垰 垱 垲 垳 垴 垵 垶 垷 垸 垹 垺 垻 垼 垽 垾 垿 埀 埁 埂 埃 埄 埅 埆 埇 埈 埉 埊 埋 埌 埍 城 埏 埐 埑 埒 埓 埔 埕 埖 埗 埘 埙 埚 埛 埜 埝 埞 域 埠 埡 埢 埣 埤 埥 埦 埧 埨 埩 埪 埫 埬 埭 埮 埯 埰 埱 埲 埳 埴 埵 埶 執 埸 培 基 埻 埼 埽 埾 埿</t>
        </is>
      </c>
      <c r="Q159" s="38" t="inlineStr">
        <is>
          <t>圀 圁 圂 圃 圄 圅 圆 圇 圈 圉 圊 國 圌 圍 圎 圏 圐 圑 園 圓 圔 圕 圖 圗 團 圙 圚 圛 圜 圝 圞 土 圠 圡 圢 圣 圤 圥 圦 圧 在 圩 圪 圫 圬 圭 圮 圯 地 圱 圲 圳 圴 圵 圶 圷 圸 圹 场 圻 圼 圽 圾 圿 址 坁 坂 坃 坄 坅 坆 均 坈 坉 坊 坋 坌 坍 坎 坏 坐 坑 坒 坓 坔 坕 坖 块 坘 坙 坚 坛 坜 坝 坞 坟 坠 坡 坢 坣 坤 坥 坦 坧 坨 坩 坪 坫 坬 坭 坮 坯 坰 坱 坲 坳 坴 坵 坶 坷 坸 坹 坺 坻 坼 坽 坾 坿 垀 垁 垂 垃 垄 垅 垆 垇 垈 垉 垊 型 垌 垍 垎 垏 垐 垑 垒 垓 垔 垕 垖 垗 垘 垙 垚 垛 垜 垝 垞 垟 垠 垡 垢 垣 垤 垥 垦 垧 垨 垩 垪 垫 垬 垭 垮 垯 垰 垱 垲 垳 垴 垵 垶 垷 垸 垹 垺 垻 垼 垽 垾 垿 埀 埁 埂 埃 埄 埅 埆 埇 埈 埉 埊 埋 埌 埍 城 埏 埐 埑 埒 埓 埔 埕 埖 埗 埘 埙 埚 埛 埜 埝 埞 域 埠 埡 埢 埣 埤 埥 埦 埧 埨 埩 埪 埫 埬 埭 埮 埯 埰 埱 埲 埳 埴 埵 埶 執 埸 培 基 埻 埼 埽 埾 埿</t>
        </is>
      </c>
      <c r="R159" s="43" t="inlineStr">
        <is>
          <t>圀 圁 圂 圃 圄 圅 圆 圇 圈 圉 圊 國 圌 圍 圎 圏 圐 圑 園 圓 圔 圕 圖 圗 團 圙 圚 圛 圜 圝 圞 土 圡 圢 圣 圥 圦 圧 在 圩 圪 圫 圭 地 圱 圲 圴 圵 圶 圷 圹 场 圻 圼 圽 圾 圿 址 坂 坃 坄 坅 坆 均 坈 坉 坊 坋 坌 坍 坎 坏 坐 坑 坒 坓 坔 坕 块 坘 坙 坚 坛 坜 坝 坞 坟 坠 坡 坢 坣 坥 坦 坧 坨 坩 坪 坬 坭 坮 坯 坱 坲 坴 坵 坶 坷 坸 坹 坺 坻 坼 坽 坾 坿 垀 垁 垂 垃 垄 垅 垆 垈 垉 型 垎 垏 垐 垑 垒 垓 垔 垕 垘 垙 垚 垛 垜 垝 垟 垡 垢 垣 垤 垥 垦 垨 垩 垪 垫 垬 垭 垮 垯 垱 垳 垴 垵 垶 垷 垸 垺 垻 垼 垽 垾 垿 埀 埁 埂 埃 埄 埅 埆 埈 埉 埊 埋 城 埏 埐 埑 埒 埓 埔 埕 埖 埗 埘 埙 埚 埛 埜 埝 埞 域 埠 埡 埢 埣 埤 埥 埦 埧 埨 埩 埪 埬 埭 埮 埯 埰 埱 埲 埳 埴 埵 埶 執 埸 培 基 埻 埼 埽 埾 埿</t>
        </is>
      </c>
      <c r="S159" s="40" t="n"/>
      <c r="V159" s="14">
        <f>(LEN(O159)+1)/2</f>
        <v/>
      </c>
      <c r="W159" s="14">
        <f>ROUNDDOWN((LEN(P159)+1)/2,0)</f>
        <v/>
      </c>
      <c r="X159" s="14">
        <f>ROUNDDOWN((LEN(Q159)+1)/2,0)</f>
        <v/>
      </c>
      <c r="Y159" s="14">
        <f>ROUNDDOWN((LEN(R159)+1)/2,0)</f>
        <v/>
      </c>
      <c r="Z159" s="14">
        <f>ROUNDDOWN((LEN(S159)+1)/2,0)</f>
        <v/>
      </c>
      <c r="AA159" s="56" t="n">
        <v>46150.55837452534</v>
      </c>
    </row>
    <row r="160" ht="102" customHeight="1">
      <c r="B160" s="46" t="inlineStr">
        <is>
          <t>U+5800-U+58FF</t>
        </is>
      </c>
      <c r="C160" s="46" t="inlineStr">
        <is>
          <t>CJK Unified Ideographs</t>
        </is>
      </c>
      <c r="D160" s="54">
        <f>HEX2DEC(MID(B160,3,FIND("-",E160)-3))</f>
        <v/>
      </c>
      <c r="E160" s="46" t="inlineStr">
        <is>
          <t>U+4E00-U+9FFF</t>
        </is>
      </c>
      <c r="F160" s="12" t="n">
        <v>3</v>
      </c>
      <c r="J160" s="19">
        <f>ROUNDDOWN(W160,0)/$V160</f>
        <v/>
      </c>
      <c r="K160" s="19">
        <f>ROUNDDOWN(X160,0)/$V160</f>
        <v/>
      </c>
      <c r="L160" s="19">
        <f>ROUNDDOWN(Y160,0)/$V160</f>
        <v/>
      </c>
      <c r="M160" s="19">
        <f>ROUNDDOWN(Z160,0)/$V160</f>
        <v/>
      </c>
      <c r="O160" s="36" t="inlineStr">
        <is>
          <t>堀 堁 堂 堃 堄 堅 堆 堇 堈 堉 堊 堋 堌 堍 堎 堏 堐 堑 堒 堓 堔 堕 堖 堗 堘 堙 堚 堛 堜 堝 堞 堟 堠 堡 堢 堣 堤 堥 堦 堧 堨 堩 堪 堫 堬 堭 堮 堯 堰 報 堲 堳 場 堵 堶 堷 堸 堹 堺 堻 堼 堽 堾 堿 塀 塁 塂 塃 塄 塅 塆 塇 塈 塉 塊 塋 塌 塍 塎 塏 塐 塑 塒 塓 塔 塕 塖 塗 塘 塙 塚 塛 塜 塝 塞 塟 塠 塡 塢 塣 塤 塥 塦 塧 塨 塩 塪 填 塬 塭 塮 塯 塰 塱 塲 塳 塴 塵 塶 塷 塸 塹 塺 塻 塼 塽 塾 塿 墀 墁 墂 境 墄 墅 墆 墇 墈 墉 墊 墋 墌 墍 墎 墏 墐 墑 墒 墓 墔 墕 墖 増 墘 墙 墚 墛 墜 墝 增 墟 墠 墡 墢 墣 墤 墥 墦 墧 墨 墩 墪 墫 墬 墭 墮 墯 墰 墱 墲 墳 墴 墵 墶 墷 墸 墹 墺 墻 墼 墽 墾 墿 壀 壁 壂 壃 壄 壅 壆 壇 壈 壉 壊 壋 壌 壍 壎 壏 壐 壑 壒 壓 壔 壕 壖 壗 壘 壙 壚 壛 壜 壝 壞 壟 壠 壡 壢 壣 壤 壥 壦 壧 壨 壩 壪 士 壬 壭 壮 壯 声 壱 売 壳 壴 壵 壶 壷 壸 壹 壺 壻 壼 壽 壾 壿</t>
        </is>
      </c>
      <c r="P160" s="37" t="inlineStr">
        <is>
          <t>堀 堁 堂 堃 堄 堅 堆 堇 堈 堉 堊 堋 堌 堍 堎 堏 堐 堑 堒 堓 堔 堕 堖 堗 堘 堙 堚 堛 堜 堝 堞 堟 堠 堡 堢 堣 堤 堥 堦 堧 堨 堩 堪 堫 堬 堭 堮 堯 堰 報 堲 堳 場 堵 堶 堷 堸 堹 堺 堻 堼 堽 堾 堿 塀 塁 塂 塃 塄 塅 塆 塇 塈 塉 塊 塋 塌 塍 塎 塏 塐 塑 塒 塓 塔 塕 塖 塗 塘 塙 塚 塛 塜 塝 塞 塟 塠 塡 塢 塣 塤 塥 塦 塧 塨 塩 塪 填 塬 塭 塮 塯 塰 塱 塲 塳 塴 塵 塶 塷 塸 塹 塺 塻 塼 塽 塾 塿 墀 墁 墂 境 墄 墅 墆 墇 墈 墉 墊 墋 墌 墍 墎 墏 墐 墑 墒 墓 墔 墕 墖 増 墘 墙 墚 墛 墜 墝 增 墟 墠 墡 墢 墣 墤 墥 墦 墧 墨 墩 墪 墫 墬 墭 墮 墯 墰 墱 墲 墳 墴 墵 墶 墷 墸 墹 墺 墻 墼 墽 墾 墿 壀 壁 壂 壃 壄 壅 壆 壇 壈 壉 壊 壋 壌 壍 壎 壏 壐 壑 壒 壓 壔 壕 壖 壗 壘 壙 壚 壛 壜 壝 壞 壟 壠 壡 壢 壣 壤 壥 壦 壧 壨 壩 壪 士 壬 壭 壮 壯 声 壱 売 壳 壴 壵 壶 壷 壸 壹 壺 壻 壼 壽 壾 壿</t>
        </is>
      </c>
      <c r="Q160" s="38" t="inlineStr">
        <is>
          <t>堀 堁 堂 堃 堄 堅 堆 堇 堈 堉 堊 堋 堌 堍 堎 堏 堐 堑 堒 堓 堔 堕 堖 堗 堘 堙 堚 堛 堜 堝 堞 堟 堠 堡 堢 堣 堤 堥 堦 堧 堨 堩 堪 堫 堬 堭 堮 堯 堰 報 堲 堳 場 堵 堶 堷 堸 堹 堺 堻 堼 堽 堾 堿 塀 塁 塂 塃 塄 塅 塆 塇 塈 塉 塊 塋 塌 塍 塎 塏 塐 塑 塒 塓 塔 塕 塖 塗 塘 塙 塚 塛 塜 塝 塞 塟 塠 塡 塢 塣 塤 塥 塦 塧 塨 塩 塪 填 塬 塭 塮 塯 塰 塱 塲 塳 塴 塵 塶 塷 塸 塹 塺 塻 塼 塽 塾 塿 墀 墁 墂 境 墄 墅 墆 墇 墈 墉 墊 墋 墌 墍 墎 墏 墐 墑 墒 墓 墔 墕 墖 増 墘 墙 墚 墛 墜 墝 增 墟 墠 墡 墢 墣 墤 墥 墦 墧 墨 墩 墪 墫 墬 墭 墮 墯 墰 墱 墲 墳 墴 墵 墶 墷 墸 墹 墺 墻 墼 墽 墾 墿 壀 壁 壂 壃 壄 壅 壆 壇 壈 壉 壊 壋 壌 壍 壎 壏 壐 壑 壒 壓 壔 壕 壖 壗 壘 壙 壚 壛 壜 壝 壞 壟 壠 壡 壢 壣 壤 壥 壦 壧 壨 壩 壪 士 壬 壭 壮 壯 声 壱 売 壳 壴 壵 壶 壷 壸 壹 壺 壻 壼 壽 壾 壿</t>
        </is>
      </c>
      <c r="R160" s="43" t="inlineStr">
        <is>
          <t>堀 堁 堂 堃 堄 堅 堆 堇 堊 堋 堌 堍 堎 堏 堐 堑 堓 堔 堕 堖 堗 堘 堙 堚 堜 堝 堞 堠 堡 堢 堣 堤 堥 堧 堨 堩 堪 堫 堬 堭 堮 堯 堲 堳 場 堵 堶 堷 堸 堹 堺 堻 堼 堽 堾 堿 塀 塁 塂 塃 塄 塅 塆 塇 塈 塉 塊 塋 塌 塍 塎 塏 塐 塑 塓 塔 塕 塖 塗 塘 塙 塚 塛 塜 塝 塞 塟 塠 塡 塢 塣 塤 塦 塧 塨 塩 填 塬 塭 塮 塰 塱 塲 塳 塴 塵 塶 塹 塺 塻 塼 塽 塾 塿 墀 墁 墂 境 墄 墅 墆 墇 墈 墉 墊 墋 墌 墍 墏 墐 墓 墔 墕 墖 墘 墙 墚 墛 墜 墝 增 墟 墠 墡 墢 墣 墤 墥 墦 墧 墨 墩 墪 墫 墬 墭 墮 墯 墱 墲 墳 墵 墶 墷 墸 墹 墺 墻 墼 墽 墾 墿 壀 壁 壂 壃 壄 壅 壆 壇 壈 壉 壊 壋 壌 壍 壎 壏 壐 壑 壒 壓 壕 壖 壗 壘 壙 壚 壛 壜 壝 壞 壟 壡 壢 壤 壥 壦 壧 壨 壩 壪 士 壬 壯 声 壱 売 壳 壴 壵 壶 壷 壸 壹 壺 壻 壼 壽 壿</t>
        </is>
      </c>
      <c r="S160" s="40" t="n"/>
      <c r="V160" s="14">
        <f>(LEN(O160)+1)/2</f>
        <v/>
      </c>
      <c r="W160" s="14">
        <f>ROUNDDOWN((LEN(P160)+1)/2,0)</f>
        <v/>
      </c>
      <c r="X160" s="14">
        <f>ROUNDDOWN((LEN(Q160)+1)/2,0)</f>
        <v/>
      </c>
      <c r="Y160" s="14">
        <f>ROUNDDOWN((LEN(R160)+1)/2,0)</f>
        <v/>
      </c>
      <c r="Z160" s="14">
        <f>ROUNDDOWN((LEN(S160)+1)/2,0)</f>
        <v/>
      </c>
      <c r="AA160" s="56" t="n">
        <v>46150.5583773558</v>
      </c>
    </row>
    <row r="161" ht="102" customHeight="1">
      <c r="B161" s="46" t="inlineStr">
        <is>
          <t>U+5900-U+59FF</t>
        </is>
      </c>
      <c r="C161" s="46" t="inlineStr">
        <is>
          <t>CJK Unified Ideographs</t>
        </is>
      </c>
      <c r="D161" s="54">
        <f>HEX2DEC(MID(B161,3,FIND("-",E161)-3))</f>
        <v/>
      </c>
      <c r="E161" s="46" t="inlineStr">
        <is>
          <t>U+4E00-U+9FFF</t>
        </is>
      </c>
      <c r="F161" s="12" t="n">
        <v>3</v>
      </c>
      <c r="J161" s="19">
        <f>ROUNDDOWN(W161,0)/$V161</f>
        <v/>
      </c>
      <c r="K161" s="19">
        <f>ROUNDDOWN(X161,0)/$V161</f>
        <v/>
      </c>
      <c r="L161" s="19">
        <f>ROUNDDOWN(Y161,0)/$V161</f>
        <v/>
      </c>
      <c r="M161" s="19">
        <f>ROUNDDOWN(Z161,0)/$V161</f>
        <v/>
      </c>
      <c r="O161" s="36" t="inlineStr">
        <is>
          <t>夀 夁 夂 夃 处 夅 夆 备 夈 変 夊 夋 夌 复 夎 夏 夐 夑 夒 夓 夔 夕 外 夗 夘 夙 多 夛 夜 夝 夞 够 夠 夡 夢 夣 夤 夥 夦 大 夨 天 太 夫 夬 夭 央 夯 夰 失 夲 夳 头 夵 夶 夷 夸 夹 夺 夻 夼 夽 夾 夿 奀 奁 奂 奃 奄 奅 奆 奇 奈 奉 奊 奋 奌 奍 奎 奏 奐 契 奒 奓 奔 奕 奖 套 奘 奙 奚 奛 奜 奝 奞 奟 奠 奡 奢 奣 奤 奥 奦 奧 奨 奩 奪 奫 奬 奭 奮 奯 奰 奱 奲 女 奴 奵 奶 奷 奸 她 奺 奻 奼 好 奾 奿 妀 妁 如 妃 妄 妅 妆 妇 妈 妉 妊 妋 妌 妍 妎 妏 妐 妑 妒 妓 妔 妕 妖 妗 妘 妙 妚 妛 妜 妝 妞 妟 妠 妡 妢 妣 妤 妥 妦 妧 妨 妩 妪 妫 妬 妭 妮 妯 妰 妱 妲 妳 妴 妵 妶 妷 妸 妹 妺 妻 妼 妽 妾 妿 姀 姁 姂 姃 姄 姅 姆 姇 姈 姉 姊 始 姌 姍 姎 姏 姐 姑 姒 姓 委 姕 姖 姗 姘 姙 姚 姛 姜 姝 姞 姟 姠 姡 姢 姣 姤 姥 姦 姧 姨 姩 姪 姫 姬 姭 姮 姯 姰 姱 姲 姳 姴 姵 姶 姷 姸 姹 姺 姻 姼 姽 姾 姿</t>
        </is>
      </c>
      <c r="P161" s="37" t="inlineStr">
        <is>
          <t>夀 夁 夂 夃 处 夅 夆 备 夈 変 夊 夋 夌 复 夎 夏 夐 夑 夒 夓 夔 夕 外 夗 夘 夙 多 夛 夜 夝 夞 够 夠 夡 夢 夣 夤 夥 夦 大 夨 天 太 夫 夬 夭 央 夯 夰 失 夲 夳 头 夵 夶 夷 夸 夹 夺 夻 夼 夽 夾 夿 奀 奁 奂 奃 奄 奅 奆 奇 奈 奉 奊 奋 奌 奍 奎 奏 奐 契 奒 奓 奔 奕 奖 套 奘 奙 奚 奛 奜 奝 奞 奟 奠 奡 奢 奣 奤 奥 奦 奧 奨 奩 奪 奫 奬 奭 奮 奯 奰 奱 奲 女 奴 奵 奶 奷 奸 她 奺 奻 奼 好 奾 奿 妀 妁 如 妃 妄 妅 妆 妇 妈 妉 妊 妋 妌 妍 妎 妏 妐 妑 妒 妓 妔 妕 妖 妗 妘 妙 妚 妛 妜 妝 妞 妟 妠 妡 妢 妣 妤 妥 妦 妧 妨 妩 妪 妫 妬 妭 妮 妯 妰 妱 妲 妳 妴 妵 妶 妷 妸 妹 妺 妻 妼 妽 妾 妿 姀 姁 姂 姃 姄 姅 姆 姇 姈 姉 姊 始 姌 姍 姎 姏 姐 姑 姒 姓 委 姕 姖 姗 姘 姙 姚 姛 姜 姝 姞 姟 姠 姡 姢 姣 姤 姥 姦 姧 姨 姩 姪 姫 姬 姭 姮 姯 姰 姱 姲 姳 姴 姵 姶 姷 姸 姹 姺 姻 姼 姽 姾 姿</t>
        </is>
      </c>
      <c r="Q161" s="38" t="inlineStr">
        <is>
          <t>夀 夁 夂 夃 处 夅 夆 备 夈 変 夊 夋 夌 复 夎 夏 夐 夑 夒 夓 夔 夕 外 夗 夘 夙 多 夛 夜 夝 夞 够 夠 夡 夢 夣 夤 夥 夦 大 夨 天 太 夫 夬 夭 央 夯 夰 失 夲 夳 头 夵 夶 夷 夸 夹 夺 夻 夼 夽 夾 夿 奀 奁 奂 奃 奄 奅 奆 奇 奈 奉 奊 奋 奌 奍 奎 奏 奐 契 奒 奓 奔 奕 奖 套 奘 奙 奚 奛 奜 奝 奞 奟 奠 奡 奢 奣 奤 奥 奦 奧 奨 奩 奪 奫 奬 奭 奮 奯 奰 奱 奲 女 奴 奵 奶 奷 奸 她 奺 奻 奼 好 奾 奿 妀 妁 如 妃 妄 妅 妆 妇 妈 妉 妊 妋 妌 妍 妎 妏 妐 妑 妒 妓 妔 妕 妖 妗 妘 妙 妚 妛 妜 妝 妞 妟 妠 妡 妢 妣 妤 妥 妦 妧 妨 妩 妪 妫 妬 妭 妮 妯 妰 妱 妲 妳 妴 妵 妶 妷 妸 妹 妺 妻 妼 妽 妾 妿 姀 姁 姂 姃 姄 姅 姆 姇 姈 姉 姊 始 姌 姍 姎 姏 姐 姑 姒 姓 委 姕 姖 姗 姘 姙 姚 姛 姜 姝 姞 姟 姠 姡 姢 姣 姤 姥 姦 姧 姨 姩 姪 姫 姬 姭 姮 姯 姰 姱 姲 姳 姴 姵 姶 姷 姸 姹 姺 姻 姼 姽 姾 姿</t>
        </is>
      </c>
      <c r="R161" s="43" t="inlineStr">
        <is>
          <t>夀 夁 夂 夃 处 夅 夆 备 夈 変 夊 夋 夌 复 夎 夏 夐 夑 夒 夓 夔 夕 夙 多 夛 夜 夝 夠 夡 夢 夣 夤 夥 夦 大 夨 天 太 夫 夬 夭 央 夯 夰 失 夲 头 夵 夶 夷 夸 夹 夺 夻 夼 夾 夿 奀 奁 奂 奃 奄 奅 奆 奇 奉 奊 奋 奌 奍 奎 奏 奐 契 奒 奓 奔 奕 奖 套 奘 奙 奚 奛 奜 奝 奞 奟 奠 奡 奢 奣 奤 奥 奦 奧 奨 奩 奪 奫 奬 奭 奮 奯 奰 奱 奲 女 奴 奵 奶 奷 奸 她 奺 奼 奿 妀 妁 妄 妅 妈 妉 妊 妋 妌 妍 妎 妏 妐 妒 妓 妔 妖 妗 妙 妚 妛 妜 妞 妟 妡 妢 妤 妥 妦 妧 妨 妩 妫 妬 妭 妮 妰 妱 妳 妴 妵 妷 妸 妹 妺 妻 妼 妾 妿 姀 姁 姂 姃 姅 姆 姇 姈 姉 姊 姌 姍 姎 姐 姓 委 姕 姗 姘 姙 姜 姞 姟 姡 姣 姤 姥 姦 姨 姩 姪 姭 姮 姯 姰 姱 姲 姳 姴 姵 姶 姷 姹 姺 姽 姾 姿</t>
        </is>
      </c>
      <c r="S161" s="40" t="n"/>
      <c r="V161" s="14">
        <f>(LEN(O161)+1)/2</f>
        <v/>
      </c>
      <c r="W161" s="14">
        <f>ROUNDDOWN((LEN(P161)+1)/2,0)</f>
        <v/>
      </c>
      <c r="X161" s="14">
        <f>ROUNDDOWN((LEN(Q161)+1)/2,0)</f>
        <v/>
      </c>
      <c r="Y161" s="14">
        <f>ROUNDDOWN((LEN(R161)+1)/2,0)</f>
        <v/>
      </c>
      <c r="Z161" s="14">
        <f>ROUNDDOWN((LEN(S161)+1)/2,0)</f>
        <v/>
      </c>
      <c r="AA161" s="56" t="n">
        <v>46150.55838008614</v>
      </c>
    </row>
    <row r="162" ht="102" customHeight="1">
      <c r="B162" s="46" t="inlineStr">
        <is>
          <t>U+5A00-U+5AFF</t>
        </is>
      </c>
      <c r="C162" s="46" t="inlineStr">
        <is>
          <t>CJK Unified Ideographs</t>
        </is>
      </c>
      <c r="D162" s="54">
        <f>HEX2DEC(MID(B162,3,FIND("-",E162)-3))</f>
        <v/>
      </c>
      <c r="E162" s="46" t="inlineStr">
        <is>
          <t>U+4E00-U+9FFF</t>
        </is>
      </c>
      <c r="F162" s="12" t="n">
        <v>3</v>
      </c>
      <c r="J162" s="19">
        <f>ROUNDDOWN(W162,0)/$V162</f>
        <v/>
      </c>
      <c r="K162" s="19">
        <f>ROUNDDOWN(X162,0)/$V162</f>
        <v/>
      </c>
      <c r="L162" s="19">
        <f>ROUNDDOWN(Y162,0)/$V162</f>
        <v/>
      </c>
      <c r="M162" s="19">
        <f>ROUNDDOWN(Z162,0)/$V162</f>
        <v/>
      </c>
      <c r="O162" s="36" t="inlineStr">
        <is>
          <t>娀 威 娂 娃 娄 娅 娆 娇 娈 娉 娊 娋 娌 娍 娎 娏 娐 娑 娒 娓 娔 娕 娖 娗 娘 娙 娚 娛 娜 娝 娞 娟 娠 娡 娢 娣 娤 娥 娦 娧 娨 娩 娪 娫 娬 娭 娮 娯 娰 娱 娲 娳 娴 娵 娶 娷 娸 娹 娺 娻 娼 娽 娾 娿 婀 婁 婂 婃 婄 婅 婆 婇 婈 婉 婊 婋 婌 婍 婎 婏 婐 婑 婒 婓 婔 婕 婖 婗 婘 婙 婚 婛 婜 婝 婞 婟 婠 婡 婢 婣 婤 婥 婦 婧 婨 婩 婪 婫 婬 婭 婮 婯 婰 婱 婲 婳 婴 婵 婶 婷 婸 婹 婺 婻 婼 婽 婾 婿 媀 媁 媂 媃 媄 媅 媆 媇 媈 媉 媊 媋 媌 媍 媎 媏 媐 媑 媒 媓 媔 媕 媖 媗 媘 媙 媚 媛 媜 媝 媞 媟 媠 媡 媢 媣 媤 媥 媦 媧 媨 媩 媪 媫 媬 媭 媮 媯 媰 媱 媲 媳 媴 媵 媶 媷 媸 媹 媺 媻 媼 媽 媾 媿 嫀 嫁 嫂 嫃 嫄 嫅 嫆 嫇 嫈 嫉 嫊 嫋 嫌 嫍 嫎 嫏 嫐 嫑 嫒 嫓 嫔 嫕 嫖 嫗 嫘 嫙 嫚 嫛 嫜 嫝 嫞 嫟 嫠 嫡 嫢 嫣 嫤 嫥 嫦 嫧 嫨 嫩 嫪 嫫 嫬 嫭 嫮 嫯 嫰 嫱 嫲 嫳 嫴 嫵 嫶 嫷 嫸 嫹 嫺 嫻 嫼 嫽 嫾 嫿</t>
        </is>
      </c>
      <c r="P162" s="37" t="inlineStr">
        <is>
          <t>娀 威 娂 娃 娄 娅 娆 娇 娈 娉 娊 娋 娌 娍 娎 娏 娐 娑 娒 娓 娔 娕 娖 娗 娘 娙 娚 娛 娜 娝 娞 娟 娠 娡 娢 娣 娤 娥 娦 娧 娨 娩 娪 娫 娬 娭 娮 娯 娰 娱 娲 娳 娴 娵 娶 娷 娸 娹 娺 娻 娼 娽 娾 娿 婀 婁 婂 婃 婄 婅 婆 婇 婈 婉 婊 婋 婌 婍 婎 婏 婐 婑 婒 婓 婔 婕 婖 婗 婘 婙 婚 婛 婜 婝 婞 婟 婠 婡 婢 婣 婤 婥 婦 婧 婨 婩 婪 婫 婬 婭 婮 婯 婰 婱 婲 婳 婴 婵 婶 婷 婸 婹 婺 婻 婼 婽 婾 婿 媀 媁 媂 媃 媄 媅 媆 媇 媈 媉 媊 媋 媌 媍 媎 媏 媐 媑 媒 媓 媔 媕 媖 媗 媘 媙 媚 媛 媜 媝 媞 媟 媠 媡 媢 媣 媤 媥 媦 媧 媨 媩 媪 媫 媬 媭 媮 媯 媰 媱 媲 媳 媴 媵 媶 媷 媸 媹 媺 媻 媼 媽 媾 媿 嫀 嫁 嫂 嫃 嫄 嫅 嫆 嫇 嫈 嫉 嫊 嫋 嫌 嫍 嫎 嫏 嫐 嫑 嫒 嫓 嫔 嫕 嫖 嫗 嫘 嫙 嫚 嫛 嫜 嫝 嫞 嫟 嫠 嫡 嫢 嫣 嫤 嫥 嫦 嫧 嫨 嫩 嫪 嫫 嫬 嫭 嫮 嫯 嫰 嫱 嫲 嫳 嫴 嫵 嫶 嫷 嫸 嫹 嫺 嫻 嫼 嫽 嫾 嫿</t>
        </is>
      </c>
      <c r="Q162" s="38" t="inlineStr">
        <is>
          <t>娀 威 娂 娃 娄 娅 娆 娇 娈 娉 娊 娋 娌 娍 娎 娏 娐 娑 娒 娓 娔 娕 娖 娗 娘 娙 娚 娛 娜 娝 娞 娟 娠 娡 娢 娣 娤 娥 娦 娧 娨 娩 娪 娫 娬 娭 娮 娯 娰 娱 娲 娳 娴 娵 娶 娷 娸 娹 娺 娻 娼 娽 娾 娿 婀 婁 婂 婃 婄 婅 婆 婇 婈 婉 婊 婋 婌 婍 婎 婏 婐 婑 婒 婓 婔 婕 婖 婗 婘 婙 婚 婛 婜 婝 婞 婟 婠 婡 婢 婣 婤 婥 婦 婧 婨 婩 婪 婫 婬 婭 婮 婯 婰 婱 婲 婳 婴 婵 婶 婷 婸 婹 婺 婻 婼 婽 婾 婿 媀 媁 媂 媃 媄 媅 媆 媇 媈 媉 媊 媋 媌 媍 媎 媏 媐 媑 媒 媓 媔 媕 媖 媗 媘 媙 媚 媛 媜 媝 媞 媟 媠 媡 媢 媣 媤 媥 媦 媧 媨 媩 媪 媫 媬 媭 媮 媯 媰 媱 媲 媳 媴 媵 媶 媷 媸 媹 媺 媻 媼 媽 媾 媿 嫀 嫁 嫂 嫃 嫄 嫅 嫆 嫇 嫈 嫉 嫊 嫋 嫌 嫍 嫎 嫏 嫐 嫑 嫒 嫓 嫔 嫕 嫖 嫗 嫘 嫙 嫚 嫛 嫜 嫝 嫞 嫟 嫠 嫡 嫢 嫣 嫤 嫥 嫦 嫧 嫨 嫩 嫪 嫫 嫬 嫭 嫮 嫯 嫰 嫱 嫲 嫳 嫴 嫵 嫶 嫷 嫸 嫹 嫺 嫻 嫼 嫽 嫾 嫿</t>
        </is>
      </c>
      <c r="R162" s="43" t="inlineStr">
        <is>
          <t>娀 威 娂 娃 娄 娅 娆 娇 娈 娉 娊 娌 娍 娎 娏 娐 娑 娒 娓 娔 娕 娖 娗 娙 娚 娛 娝 娞 娠 娡 娢 娣 娤 娥 娦 娧 娨 娩 娪 娫 娬 娭 娮 娯 娰 娱 娵 娶 娷 娸 娺 娻 娽 娾 娿 婁 婃 婄 婅 婆 婇 婈 婉 婊 婋 婌 婍 婎 婏 婐 婒 婓 婕 婖 婗 婘 婙 婛 婜 婝 婞 婠 婡 婢 婣 婤 婥 婧 婨 婩 婪 婬 婮 婯 婰 婱 婲 婴 婵 婷 婸 婹 婺 婼 婾 婿 媂 媃 媄 媅 媆 媇 媉 媊 媋 媌 媍 媎 媏 媐 媒 媓 媔 媕 媖 媗 媙 媚 媛 媜 媝 媞 媟 媠 媡 媣 媤 媥 媨 媩 媪 媫 媬 媭 媮 媯 媰 媳 媴 媵 媶 媷 媺 媻 媼 媾 媿 嫀 嫂 嫃 嫄 嫅 嫆 嫇 嫈 嫉 嫌 嫎 嫐 嫑 嫒 嫓 嫔 嫕 嫖 嫘 嫙 嫚 嫛 嫝 嫞 嫠 嫢 嫣 嫤 嫥 嫧 嫨 嫩 嫪 嫫 嫬 嫭 嫮 嫯 嫰 嫱 嫲 嫳 嫴 嫵 嫶 嫸 嫹 嫼 嫽 嫾</t>
        </is>
      </c>
      <c r="S162" s="40" t="n"/>
      <c r="V162" s="14">
        <f>(LEN(O162)+1)/2</f>
        <v/>
      </c>
      <c r="W162" s="14">
        <f>ROUNDDOWN((LEN(P162)+1)/2,0)</f>
        <v/>
      </c>
      <c r="X162" s="14">
        <f>ROUNDDOWN((LEN(Q162)+1)/2,0)</f>
        <v/>
      </c>
      <c r="Y162" s="14">
        <f>ROUNDDOWN((LEN(R162)+1)/2,0)</f>
        <v/>
      </c>
      <c r="Z162" s="14">
        <f>ROUNDDOWN((LEN(S162)+1)/2,0)</f>
        <v/>
      </c>
      <c r="AA162" s="56" t="n">
        <v>46150.55838290083</v>
      </c>
    </row>
    <row r="163" ht="102" customHeight="1">
      <c r="B163" s="46" t="inlineStr">
        <is>
          <t>U+5B00-U+5BFF</t>
        </is>
      </c>
      <c r="C163" s="46" t="inlineStr">
        <is>
          <t>CJK Unified Ideographs</t>
        </is>
      </c>
      <c r="D163" s="54">
        <f>HEX2DEC(MID(B163,3,FIND("-",E163)-3))</f>
        <v/>
      </c>
      <c r="E163" s="46" t="inlineStr">
        <is>
          <t>U+4E00-U+9FFF</t>
        </is>
      </c>
      <c r="F163" s="12" t="n">
        <v>3</v>
      </c>
      <c r="J163" s="19">
        <f>ROUNDDOWN(W163,0)/$V163</f>
        <v/>
      </c>
      <c r="K163" s="19">
        <f>ROUNDDOWN(X163,0)/$V163</f>
        <v/>
      </c>
      <c r="L163" s="19">
        <f>ROUNDDOWN(Y163,0)/$V163</f>
        <v/>
      </c>
      <c r="M163" s="19">
        <f>ROUNDDOWN(Z163,0)/$V163</f>
        <v/>
      </c>
      <c r="O163" s="36" t="inlineStr">
        <is>
          <t>嬀 嬁 嬂 嬃 嬄 嬅 嬆 嬇 嬈 嬉 嬊 嬋 嬌 嬍 嬎 嬏 嬐 嬑 嬒 嬓 嬔 嬕 嬖 嬗 嬘 嬙 嬚 嬛 嬜 嬝 嬞 嬟 嬠 嬡 嬢 嬣 嬤 嬥 嬦 嬧 嬨 嬩 嬪 嬫 嬬 嬭 嬮 嬯 嬰 嬱 嬲 嬳 嬴 嬵 嬶 嬷 嬸 嬹 嬺 嬻 嬼 嬽 嬾 嬿 孀 孁 孂 孃 孄 孅 孆 孇 孈 孉 孊 孋 孌 孍 孎 孏 子 孑 孒 孓 孔 孕 孖 字 存 孙 孚 孛 孜 孝 孞 孟 孠 孡 孢 季 孤 孥 学 孧 孨 孩 孪 孫 孬 孭 孮 孯 孰 孱 孲 孳 孴 孵 孶 孷 學 孹 孺 孻 孼 孽 孾 孿 宀 宁 宂 它 宄 宅 宆 宇 守 安 宊 宋 完 宍 宎 宏 宐 宑 宒 宓 宔 宕 宖 宗 官 宙 定 宛 宜 宝 实 実 宠 审 客 宣 室 宥 宦 宧 宨 宩 宪 宫 宬 宭 宮 宯 宰 宱 宲 害 宴 宵 家 宷 宸 容 宺 宻 宼 宽 宾 宿 寀 寁 寂 寃 寄 寅 密 寇 寈 寉 寊 寋 富 寍 寎 寏 寐 寑 寒 寓 寔 寕 寖 寗 寘 寙 寚 寛 寜 寝 寞 察 寠 寡 寢 寣 寤 寥 實 寧 寨 審 寪 寫 寬 寭 寮 寯 寰 寱 寲 寳 寴 寵 寶 寷 寸 对 寺 寻 导 寽 対 寿</t>
        </is>
      </c>
      <c r="P163" s="37" t="inlineStr">
        <is>
          <t>嬀 嬁 嬂 嬃 嬄 嬅 嬆 嬇 嬈 嬉 嬊 嬋 嬌 嬍 嬎 嬏 嬐 嬑 嬒 嬓 嬔 嬕 嬖 嬗 嬘 嬙 嬚 嬛 嬜 嬝 嬞 嬟 嬠 嬡 嬢 嬣 嬤 嬥 嬦 嬧 嬨 嬩 嬪 嬫 嬬 嬭 嬮 嬯 嬰 嬱 嬲 嬳 嬴 嬵 嬶 嬷 嬸 嬹 嬺 嬻 嬼 嬽 嬾 嬿 孀 孁 孂 孃 孄 孅 孆 孇 孈 孉 孊 孋 孌 孍 孎 孏 子 孑 孒 孓 孔 孕 孖 字 存 孙 孚 孛 孜 孝 孞 孟 孠 孡 孢 季 孤 孥 学 孧 孨 孩 孪 孫 孬 孭 孮 孯 孰 孱 孲 孳 孴 孵 孶 孷 學 孹 孺 孻 孼 孽 孾 孿 宀 宁 宂 它 宄 宅 宆 宇 守 安 宊 宋 完 宍 宎 宏 宐 宑 宒 宓 宔 宕 宖 宗 官 宙 定 宛 宜 宝 实 実 宠 审 客 宣 室 宥 宦 宧 宨 宩 宪 宫 宬 宭 宮 宯 宰 宱 宲 害 宴 宵 家 宷 宸 容 宺 宻 宼 宽 宾 宿 寀 寁 寂 寃 寄 寅 密 寇 寈 寉 寊 寋 富 寍 寎 寏 寐 寑 寒 寓 寔 寕 寖 寗 寘 寙 寚 寛 寜 寝 寞 察 寠 寡 寢 寣 寤 寥 實 寧 寨 審 寪 寫 寬 寭 寮 寯 寰 寱 寲 寳 寴 寵 寶 寷 寸 对 寺 寻 导 寽 対 寿</t>
        </is>
      </c>
      <c r="Q163" s="38" t="inlineStr">
        <is>
          <t>嬀 嬁 嬂 嬃 嬄 嬅 嬆 嬇 嬈 嬉 嬊 嬋 嬌 嬍 嬎 嬏 嬐 嬑 嬒 嬓 嬔 嬕 嬖 嬗 嬘 嬙 嬚 嬛 嬜 嬝 嬞 嬟 嬠 嬡 嬢 嬣 嬤 嬥 嬦 嬧 嬨 嬩 嬪 嬫 嬬 嬭 嬮 嬯 嬰 嬱 嬲 嬳 嬴 嬵 嬶 嬷 嬸 嬹 嬺 嬻 嬼 嬽 嬾 嬿 孀 孁 孂 孃 孄 孅 孆 孇 孈 孉 孊 孋 孌 孍 孎 孏 子 孑 孒 孓 孔 孕 孖 字 存 孙 孚 孛 孜 孝 孞 孟 孠 孡 孢 季 孤 孥 学 孧 孨 孩 孪 孫 孬 孭 孮 孯 孰 孱 孲 孳 孴 孵 孶 孷 學 孹 孺 孻 孼 孽 孾 孿 宀 宁 宂 它 宄 宅 宆 宇 守 安 宊 宋 完 宍 宎 宏 宐 宑 宒 宓 宔 宕 宖 宗 官 宙 定 宛 宜 宝 实 実 宠 审 客 宣 室 宥 宦 宧 宨 宩 宪 宫 宬 宭 宮 宯 宰 宱 宲 害 宴 宵 家 宷 宸 容 宺 宻 宼 宽 宾 宿 寀 寁 寂 寃 寄 寅 密 寇 寈 寉 寊 寋 富 寍 寎 寏 寐 寑 寒 寓 寔 寕 寖 寗 寘 寙 寚 寛 寜 寝 寞 察 寠 寡 寢 寣 寤 寥 實 寧 寨 審 寪 寫 寬 寭 寮 寯 寰 寱 寲 寳 寴 寵 寶 寷 寸 对 寺 寻 导 寽 対 寿</t>
        </is>
      </c>
      <c r="R163" s="43" t="inlineStr">
        <is>
          <t>嬀 嬁 嬂 嬃 嬅 嬇 嬈 嬉 嬊 嬌 嬍 嬎 嬐 嬑 嬒 嬓 嬔 嬕 嬖 嬘 嬙 嬚 嬛 嬜 嬝 嬞 嬠 嬢 嬤 嬥 嬧 嬨 嬩 嬫 嬭 嬮 嬯 嬰 嬱 嬲 嬳 嬴 嬶 嬷 嬸 嬹 嬺 嬾 嬿 孀 孁 孂 孃 孆 孇 孈 孉 孊 孋 孌 孍 孎 子 孑 孒 孓 孕 孖 字 存 孚 孛 孜 孝 孞 孟 孠 孡 孢 季 孤 孥 学 孧 孨 孩 孪 孫 孬 孭 孮 孯 孰 孱 孲 孳 孴 孶 孷 學 孹 孺 孻 孼 孽 孾 孿 宁 宂 它 宄 宅 宆 宇 守 安 宊 宋 宍 宎 宏 宐 宑 宒 宓 宔 宕 宖 官 宙 定 宛 宜 宝 实 実 宠 审 客 宣 室 宥 宦 宧 宨 宩 宪 宫 宬 宭 宮 宯 宰 宱 宲 害 宴 宵 家 宷 宸 容 宺 宻 宼 宽 宾 宿 寀 寁 寂 寃 寄 寅 密 寇 寈 寉 寊 寋 富 寍 寎 寏 寐 寑 寒 寓 寔 寕 寖 寗 寘 寙 寚 寛 寜 寝 寞 察 寠 寡 寢 寣 寤 寥 實 寧 寨 審 寪 寫 寬 寭 寮 寯 寰 寱 寲 寳 寴 寵 寶 寷 寸 寺 寻 导 寽 寿</t>
        </is>
      </c>
      <c r="S163" s="40" t="n"/>
      <c r="V163" s="14">
        <f>(LEN(O163)+1)/2</f>
        <v/>
      </c>
      <c r="W163" s="14">
        <f>ROUNDDOWN((LEN(P163)+1)/2,0)</f>
        <v/>
      </c>
      <c r="X163" s="14">
        <f>ROUNDDOWN((LEN(Q163)+1)/2,0)</f>
        <v/>
      </c>
      <c r="Y163" s="14">
        <f>ROUNDDOWN((LEN(R163)+1)/2,0)</f>
        <v/>
      </c>
      <c r="Z163" s="14">
        <f>ROUNDDOWN((LEN(S163)+1)/2,0)</f>
        <v/>
      </c>
      <c r="AA163" s="56" t="n">
        <v>46150.55838567542</v>
      </c>
    </row>
    <row r="164" ht="102" customHeight="1">
      <c r="B164" s="46" t="inlineStr">
        <is>
          <t>U+5C00-U+5CFF</t>
        </is>
      </c>
      <c r="C164" s="46" t="inlineStr">
        <is>
          <t>CJK Unified Ideographs</t>
        </is>
      </c>
      <c r="D164" s="54">
        <f>HEX2DEC(MID(B164,3,FIND("-",E164)-3))</f>
        <v/>
      </c>
      <c r="E164" s="46" t="inlineStr">
        <is>
          <t>U+4E00-U+9FFF</t>
        </is>
      </c>
      <c r="F164" s="12" t="n">
        <v>3</v>
      </c>
      <c r="J164" s="19">
        <f>ROUNDDOWN(W164,0)/$V164</f>
        <v/>
      </c>
      <c r="K164" s="19">
        <f>ROUNDDOWN(X164,0)/$V164</f>
        <v/>
      </c>
      <c r="L164" s="19">
        <f>ROUNDDOWN(Y164,0)/$V164</f>
        <v/>
      </c>
      <c r="M164" s="19">
        <f>ROUNDDOWN(Z164,0)/$V164</f>
        <v/>
      </c>
      <c r="O164" s="36" t="inlineStr">
        <is>
          <t>尀 封 専 尃 射 尅 将 將 專 尉 尊 尋 尌 對 導 小 尐 少 尒 尓 尔 尕 尖 尗 尘 尙 尚 尛 尜 尝 尞 尟 尠 尡 尢 尣 尤 尥 尦 尧 尨 尩 尪 尫 尬 尭 尮 尯 尰 就 尲 尳 尴 尵 尶 尷 尸 尹 尺 尻 尼 尽 尾 尿 局 屁 层 屃 屄 居 屆 屇 屈 屉 届 屋 屌 屍 屎 屏 屐 屑 屒 屓 屔 展 屖 屗 屘 屙 屚 屛 屜 屝 属 屟 屠 屡 屢 屣 層 履 屦 屧 屨 屩 屪 屫 屬 屭 屮 屯 屰 山 屲 屳 屴 屵 屶 屷 屸 屹 屺 屻 屼 屽 屾 屿 岀 岁 岂 岃 岄 岅 岆 岇 岈 岉 岊 岋 岌 岍 岎 岏 岐 岑 岒 岓 岔 岕 岖 岗 岘 岙 岚 岛 岜 岝 岞 岟 岠 岡 岢 岣 岤 岥 岦 岧 岨 岩 岪 岫 岬 岭 岮 岯 岰 岱 岲 岳 岴 岵 岶 岷 岸 岹 岺 岻 岼 岽 岾 岿 峀 峁 峂 峃 峄 峅 峆 峇 峈 峉 峊 峋 峌 峍 峎 峏 峐 峑 峒 峓 峔 峕 峖 峗 峘 峙 峚 峛 峜 峝 峞 峟 峠 峡 峢 峣 峤 峥 峦 峧 峨 峩 峪 峫 峬 峭 峮 峯 峰 峱 峲 峳 峴 峵 島 峷 峸 峹 峺 峻 峼 峽 峾 峿</t>
        </is>
      </c>
      <c r="P164" s="37" t="inlineStr">
        <is>
          <t>尀 封 専 尃 射 尅 将 將 專 尉 尊 尋 尌 對 導 小 尐 少 尒 尓 尔 尕 尖 尗 尘 尙 尚 尛 尜 尝 尞 尟 尠 尡 尢 尣 尤 尥 尦 尧 尨 尩 尪 尫 尬 尭 尮 尯 尰 就 尲 尳 尴 尵 尶 尷 尸 尹 尺 尻 尼 尽 尾 尿 局 屁 层 屃 屄 居 屆 屇 屈 屉 届 屋 屌 屍 屎 屏 屐 屑 屒 屓 屔 展 屖 屗 屘 屙 屚 屛 屜 屝 属 屟 屠 屡 屢 屣 層 履 屦 屧 屨 屩 屪 屫 屬 屭 屮 屯 屰 山 屲 屳 屴 屵 屶 屷 屸 屹 屺 屻 屼 屽 屾 屿 岀 岁 岂 岃 岄 岅 岆 岇 岈 岉 岊 岋 岌 岍 岎 岏 岐 岑 岒 岓 岔 岕 岖 岗 岘 岙 岚 岛 岜 岝 岞 岟 岠 岡 岢 岣 岤 岥 岦 岧 岨 岩 岪 岫 岬 岭 岮 岯 岰 岱 岲 岳 岴 岵 岶 岷 岸 岹 岺 岻 岼 岽 岾 岿 峀 峁 峂 峃 峄 峅 峆 峇 峈 峉 峊 峋 峌 峍 峎 峏 峐 峑 峒 峓 峔 峕 峖 峗 峘 峙 峚 峛 峜 峝 峞 峟 峠 峡 峢 峣 峤 峥 峦 峧 峨 峩 峪 峫 峬 峭 峮 峯 峰 峱 峲 峳 峴 峵 島 峷 峸 峹 峺 峻 峼 峽 峾 峿</t>
        </is>
      </c>
      <c r="Q164" s="38" t="inlineStr">
        <is>
          <t>尀 封 専 尃 射 尅 将 將 專 尉 尊 尋 尌 對 導 小 尐 少 尒 尓 尔 尕 尖 尗 尘 尙 尚 尛 尜 尝 尞 尟 尠 尡 尢 尣 尤 尥 尦 尧 尨 尩 尪 尫 尬 尭 尮 尯 尰 就 尲 尳 尴 尵 尶 尷 尸 尹 尺 尻 尼 尽 尾 尿 局 屁 层 屃 屄 居 屆 屇 屈 屉 届 屋 屌 屍 屎 屏 屐 屑 屒 屓 屔 展 屖 屗 屘 屙 屚 屛 屜 屝 属 屟 屠 屡 屢 屣 層 履 屦 屧 屨 屩 屪 屫 屬 屭 屮 屯 屰 山 屲 屳 屴 屵 屶 屷 屸 屹 屺 屻 屼 屽 屾 屿 岀 岁 岂 岃 岄 岅 岆 岇 岈 岉 岊 岋 岌 岍 岎 岏 岐 岑 岒 岓 岔 岕 岖 岗 岘 岙 岚 岛 岜 岝 岞 岟 岠 岡 岢 岣 岤 岥 岦 岧 岨 岩 岪 岫 岬 岭 岮 岯 岰 岱 岲 岳 岴 岵 岶 岷 岸 岹 岺 岻 岼 岽 岾 岿 峀 峁 峂 峃 峄 峅 峆 峇 峈 峉 峊 峋 峌 峍 峎 峏 峐 峑 峒 峓 峔 峕 峖 峗 峘 峙 峚 峛 峜 峝 峞 峟 峠 峡 峢 峣 峤 峥 峦 峧 峨 峩 峪 峫 峬 峭 峮 峯 峰 峱 峲 峳 峴 峵 島 峷 峸 峹 峺 峻 峼 峽 峾 峿</t>
        </is>
      </c>
      <c r="R164" s="43" t="inlineStr">
        <is>
          <t>尀 専 尃 尅 專 尉 尊 尋 尌 導 尐 少 尒 尓 尔 尕 尖 尗 尘 尙 尚 尛 尜 尞 尟 尠 尡 尢 尤 尥 尧 尨 尪 尫 尬 尭 尮 尯 尰 就 尲 尳 尴 尵 尶 尷 尸 尹 尺 尻 尼 尽 尾 尿 局 屁 层 屃 屄 居 屆 屇 屈 屉 届 屋 屌 屍 屎 屏 屐 屑 屒 屓 屔 展 屖 屗 屘 屙 屚 屛 屜 屝 属 屟 屠 屡 屢 屣 層 履 屦 屧 屨 屩 屪 屫 屬 屭 屮 屯 屰 山 屲 屳 屴 屷 屸 屹 屻 屼 屽 岀 岁 岄 岅 岆 岇 岈 岉 岊 岋 岌 岍 岎 岏 岐 岑 岒 岓 岔 岕 岗 岘 岙 岚 岛 岜 岝 岞 岟 岡 岣 岤 岥 岦 岧 岨 岪 岭 岮 岯 岱 岲 岳 岸 岹 岺 岼 岽 岿 峀 峁 峂 峃 峄 峅 峆 峇 峈 峉 峊 峋 峌 峎 峏 峐 峑 峓 峔 峕 峖 峗 峘 峙 峚 峛 峜 峝 峞 峟 峡 峣 峤 峥 峦 峧 峨 峩 峪 峬 峮 峯 峰 峱 峲 峳 峴 峵 島 峷 峸 峹 峺 峻 峼 峽 峾 峿</t>
        </is>
      </c>
      <c r="S164" s="40" t="n"/>
      <c r="V164" s="14">
        <f>(LEN(O164)+1)/2</f>
        <v/>
      </c>
      <c r="W164" s="14">
        <f>ROUNDDOWN((LEN(P164)+1)/2,0)</f>
        <v/>
      </c>
      <c r="X164" s="14">
        <f>ROUNDDOWN((LEN(Q164)+1)/2,0)</f>
        <v/>
      </c>
      <c r="Y164" s="14">
        <f>ROUNDDOWN((LEN(R164)+1)/2,0)</f>
        <v/>
      </c>
      <c r="Z164" s="14">
        <f>ROUNDDOWN((LEN(S164)+1)/2,0)</f>
        <v/>
      </c>
      <c r="AA164" s="56" t="n">
        <v>46150.55838842159</v>
      </c>
    </row>
    <row r="165" ht="102" customHeight="1">
      <c r="B165" s="46" t="inlineStr">
        <is>
          <t>U+5D00-U+5DFF</t>
        </is>
      </c>
      <c r="C165" s="46" t="inlineStr">
        <is>
          <t>CJK Unified Ideographs</t>
        </is>
      </c>
      <c r="D165" s="54">
        <f>HEX2DEC(MID(B165,3,FIND("-",E165)-3))</f>
        <v/>
      </c>
      <c r="E165" s="46" t="inlineStr">
        <is>
          <t>U+4E00-U+9FFF</t>
        </is>
      </c>
      <c r="F165" s="12" t="n">
        <v>3</v>
      </c>
      <c r="J165" s="19">
        <f>ROUNDDOWN(W165,0)/$V165</f>
        <v/>
      </c>
      <c r="K165" s="19">
        <f>ROUNDDOWN(X165,0)/$V165</f>
        <v/>
      </c>
      <c r="L165" s="19">
        <f>ROUNDDOWN(Y165,0)/$V165</f>
        <v/>
      </c>
      <c r="M165" s="19">
        <f>ROUNDDOWN(Z165,0)/$V165</f>
        <v/>
      </c>
      <c r="O165" s="36" t="inlineStr">
        <is>
          <t>崀 崁 崂 崃 崄 崅 崆 崇 崈 崉 崊 崋 崌 崍 崎 崏 崐 崑 崒 崓 崔 崕 崖 崗 崘 崙 崚 崛 崜 崝 崞 崟 崠 崡 崢 崣 崤 崥 崦 崧 崨 崩 崪 崫 崬 崭 崮 崯 崰 崱 崲 崳 崴 崵 崶 崷 崸 崹 崺 崻 崼 崽 崾 崿 嵀 嵁 嵂 嵃 嵄 嵅 嵆 嵇 嵈 嵉 嵊 嵋 嵌 嵍 嵎 嵏 嵐 嵑 嵒 嵓 嵔 嵕 嵖 嵗 嵘 嵙 嵚 嵛 嵜 嵝 嵞 嵟 嵠 嵡 嵢 嵣 嵤 嵥 嵦 嵧 嵨 嵩 嵪 嵫 嵬 嵭 嵮 嵯 嵰 嵱 嵲 嵳 嵴 嵵 嵶 嵷 嵸 嵹 嵺 嵻 嵼 嵽 嵾 嵿 嶀 嶁 嶂 嶃 嶄 嶅 嶆 嶇 嶈 嶉 嶊 嶋 嶌 嶍 嶎 嶏 嶐 嶑 嶒 嶓 嶔 嶕 嶖 嶗 嶘 嶙 嶚 嶛 嶜 嶝 嶞 嶟 嶠 嶡 嶢 嶣 嶤 嶥 嶦 嶧 嶨 嶩 嶪 嶫 嶬 嶭 嶮 嶯 嶰 嶱 嶲 嶳 嶴 嶵 嶶 嶷 嶸 嶹 嶺 嶻 嶼 嶽 嶾 嶿 巀 巁 巂 巃 巄 巅 巆 巇 巈 巉 巊 巋 巌 巍 巎 巏 巐 巑 巒 巓 巔 巕 巖 巗 巘 巙 巚 巛 巜 川 州 巟 巠 巡 巢 巣 巤 工 左 巧 巨 巩 巪 巫 巬 巭 差 巯 巰 己 已 巳 巴 巵 巶 巷 巸 巹 巺 巻 巼 巽 巾 巿</t>
        </is>
      </c>
      <c r="P165" s="37" t="inlineStr">
        <is>
          <t>崀 崁 崂 崃 崄 崅 崆 崇 崈 崉 崊 崋 崌 崍 崎 崏 崐 崑 崒 崓 崔 崕 崖 崗 崘 崙 崚 崛 崜 崝 崞 崟 崠 崡 崢 崣 崤 崥 崦 崧 崨 崩 崪 崫 崬 崭 崮 崯 崰 崱 崲 崳 崴 崵 崶 崷 崸 崹 崺 崻 崼 崽 崾 崿 嵀 嵁 嵂 嵃 嵄 嵅 嵆 嵇 嵈 嵉 嵊 嵋 嵌 嵍 嵎 嵏 嵐 嵑 嵒 嵓 嵔 嵕 嵖 嵗 嵘 嵙 嵚 嵛 嵜 嵝 嵞 嵟 嵠 嵡 嵢 嵣 嵤 嵥 嵦 嵧 嵨 嵩 嵪 嵫 嵬 嵭 嵮 嵯 嵰 嵱 嵲 嵳 嵴 嵵 嵶 嵷 嵸 嵹 嵺 嵻 嵼 嵽 嵾 嵿 嶀 嶁 嶂 嶃 嶄 嶅 嶆 嶇 嶈 嶉 嶊 嶋 嶌 嶍 嶎 嶏 嶐 嶑 嶒 嶓 嶔 嶕 嶖 嶗 嶘 嶙 嶚 嶛 嶜 嶝 嶞 嶟 嶠 嶡 嶢 嶣 嶤 嶥 嶦 嶧 嶨 嶩 嶪 嶫 嶬 嶭 嶮 嶯 嶰 嶱 嶲 嶳 嶴 嶵 嶶 嶷 嶸 嶹 嶺 嶻 嶼 嶽 嶾 嶿 巀 巁 巂 巃 巄 巅 巆 巇 巈 巉 巊 巋 巌 巍 巎 巏 巐 巑 巒 巓 巔 巕 巖 巗 巘 巙 巚 巛 巜 川 州 巟 巠 巡 巢 巣 巤 工 左 巧 巨 巩 巪 巫 巬 巭 差 巯 巰 己 已 巳 巴 巵 巶 巷 巸 巹 巺 巻 巼 巽 巾 巿</t>
        </is>
      </c>
      <c r="Q165" s="38" t="inlineStr">
        <is>
          <t>崀 崁 崂 崃 崄 崅 崆 崇 崈 崉 崊 崋 崌 崍 崎 崏 崐 崑 崒 崓 崔 崕 崖 崗 崘 崙 崚 崛 崜 崝 崞 崟 崠 崡 崢 崣 崤 崥 崦 崧 崨 崩 崪 崫 崬 崭 崮 崯 崰 崱 崲 崳 崴 崵 崶 崷 崸 崹 崺 崻 崼 崽 崾 崿 嵀 嵁 嵂 嵃 嵄 嵅 嵆 嵇 嵈 嵉 嵊 嵋 嵌 嵍 嵎 嵏 嵐 嵑 嵒 嵓 嵔 嵕 嵖 嵗 嵘 嵙 嵚 嵛 嵜 嵝 嵞 嵟 嵠 嵡 嵢 嵣 嵤 嵥 嵦 嵧 嵨 嵩 嵪 嵫 嵬 嵭 嵮 嵯 嵰 嵱 嵲 嵳 嵴 嵵 嵶 嵷 嵸 嵹 嵺 嵻 嵼 嵽 嵾 嵿 嶀 嶁 嶂 嶃 嶄 嶅 嶆 嶇 嶈 嶉 嶊 嶋 嶌 嶍 嶎 嶏 嶐 嶑 嶒 嶓 嶔 嶕 嶖 嶗 嶘 嶙 嶚 嶛 嶜 嶝 嶞 嶟 嶠 嶡 嶢 嶣 嶤 嶥 嶦 嶧 嶨 嶩 嶪 嶫 嶬 嶭 嶮 嶯 嶰 嶱 嶲 嶳 嶴 嶵 嶶 嶷 嶸 嶹 嶺 嶻 嶼 嶽 嶾 嶿 巀 巁 巂 巃 巄 巅 巆 巇 巈 巉 巊 巋 巌 巍 巎 巏 巐 巑 巒 巓 巔 巕 巖 巗 巘 巙 巚 巛 巜 川 州 巟 巠 巡 巢 巣 巤 工 左 巧 巨 巩 巪 巫 巬 巭 差 巯 巰 己 已 巳 巴 巵 巶 巷 巸 巹 巺 巻 巼 巽 巾 巿</t>
        </is>
      </c>
      <c r="R165" s="43" t="inlineStr">
        <is>
          <t>崀 崁 崂 崃 崄 崅 崆 崇 崈 崉 崊 崋 崌 崍 崎 崑 崒 崔 崕 崖 崗 崘 崙 崚 崛 崝 崟 崠 崢 崣 崥 崦 崧 崨 崩 崪 崫 崬 崭 崮 崯 崰 崱 崲 崳 崴 崵 崶 崷 崸 崹 崺 崻 崼 崽 崾 崿 嵀 嵁 嵂 嵃 嵅 嵆 嵇 嵈 嵊 嵋 嵌 嵍 嵏 嵐 嵑 嵒 嵓 嵔 嵕 嵖 嵗 嵘 嵙 嵚 嵛 嵜 嵝 嵞 嵟 嵠 嵡 嵢 嵣 嵤 嵥 嵦 嵨 嵩 嵬 嵭 嵮 嵯 嵰 嵱 嵲 嵳 嵴 嵵 嵷 嵸 嵹 嵺 嵻 嵼 嵽 嵾 嶀 嶁 嶂 嶃 嶄 嶅 嶆 嶈 嶉 嶊 嶋 嶌 嶍 嶎 嶏 嶐 嶑 嶓 嶔 嶕 嶖 嶗 嶘 嶙 嶚 嶛 嶜 嶝 嶞 嶠 嶡 嶢 嶣 嶤 嶥 嶦 嶧 嶨 嶩 嶪 嶫 嶭 嶮 嶯 嶰 嶱 嶲 嶳 嶴 嶵 嶶 嶷 嶸 嶺 嶻 嶼 嶽 嶾 巀 巁 巂 巃 巅 巆 巇 巈 巉 巊 巋 巌 巍 巎 巏 巐 巑 巒 巓 巔 巕 巖 巗 巘 巙 巚 巟 巠 巡 巢 巣 巤 工 左 巧 巨 巩 巪 巫 巬 巭 差 巯 巰 己 已 巳 巴 巵 巷 巹 巻 巼 巽 巾 巿</t>
        </is>
      </c>
      <c r="S165" s="40" t="n"/>
      <c r="V165" s="14">
        <f>(LEN(O165)+1)/2</f>
        <v/>
      </c>
      <c r="W165" s="14">
        <f>ROUNDDOWN((LEN(P165)+1)/2,0)</f>
        <v/>
      </c>
      <c r="X165" s="14">
        <f>ROUNDDOWN((LEN(Q165)+1)/2,0)</f>
        <v/>
      </c>
      <c r="Y165" s="14">
        <f>ROUNDDOWN((LEN(R165)+1)/2,0)</f>
        <v/>
      </c>
      <c r="Z165" s="14">
        <f>ROUNDDOWN((LEN(S165)+1)/2,0)</f>
        <v/>
      </c>
      <c r="AA165" s="56" t="n">
        <v>46150.5583916403</v>
      </c>
    </row>
    <row r="166" ht="102" customHeight="1">
      <c r="B166" s="46" t="inlineStr">
        <is>
          <t>U+5E00-U+5EFF</t>
        </is>
      </c>
      <c r="C166" s="46" t="inlineStr">
        <is>
          <t>CJK Unified Ideographs</t>
        </is>
      </c>
      <c r="D166" s="54">
        <f>HEX2DEC(MID(B166,3,FIND("-",E166)-3))</f>
        <v/>
      </c>
      <c r="E166" s="46" t="inlineStr">
        <is>
          <t>U+4E00-U+9FFF</t>
        </is>
      </c>
      <c r="F166" s="12" t="n">
        <v>3</v>
      </c>
      <c r="J166" s="19">
        <f>ROUNDDOWN(W166,0)/$V166</f>
        <v/>
      </c>
      <c r="K166" s="19">
        <f>ROUNDDOWN(X166,0)/$V166</f>
        <v/>
      </c>
      <c r="L166" s="19">
        <f>ROUNDDOWN(Y166,0)/$V166</f>
        <v/>
      </c>
      <c r="M166" s="19">
        <f>ROUNDDOWN(Z166,0)/$V166</f>
        <v/>
      </c>
      <c r="O166" s="36" t="inlineStr">
        <is>
          <t>帀 币 市 布 帄 帅 帆 帇 师 帉 帊 帋 希 帍 帎 帏 帐 帑 帒 帓 帔 帕 帖 帗 帘 帙 帚 帛 帜 帝 帞 帟 帠 帡 帢 帣 帤 帥 带 帧 帨 帩 帪 師 帬 席 帮 帯 帰 帱 帲 帳 帴 帵 帶 帷 常 帹 帺 帻 帼 帽 帾 帿 幀 幁 幂 幃 幄 幅 幆 幇 幈 幉 幊 幋 幌 幍 幎 幏 幐 幑 幒 幓 幔 幕 幖 幗 幘 幙 幚 幛 幜 幝 幞 幟 幠 幡 幢 幣 幤 幥 幦 幧 幨 幩 幪 幫 幬 幭 幮 幯 幰 幱 干 平 年 幵 并 幷 幸 幹 幺 幻 幼 幽 幾 广 庀 庁 庂 広 庄 庅 庆 庇 庈 庉 床 庋 庌 庍 庎 序 庐 庑 庒 库 应 底 庖 店 庘 庙 庚 庛 府 庝 庞 废 庠 庡 庢 庣 庤 庥 度 座 庨 庩 庪 庫 庬 庭 庮 庯 庰 庱 庲 庳 庴 庵 庶 康 庸 庹 庺 庻 庼 庽 庾 庿 廀 廁 廂 廃 廄 廅 廆 廇 廈 廉 廊 廋 廌 廍 廎 廏 廐 廑 廒 廓 廔 廕 廖 廗 廘 廙 廚 廛 廜 廝 廞 廟 廠 廡 廢 廣 廤 廥 廦 廧 廨 廩 廪 廫 廬 廭 廮 廯 廰 廱 廲 廳 廴 廵 延 廷 廸 廹 建 廻 廼 廽 廾 廿</t>
        </is>
      </c>
      <c r="P166" s="37" t="inlineStr">
        <is>
          <t>帀 币 市 布 帄 帅 帆 帇 师 帉 帊 帋 希 帍 帎 帏 帐 帑 帒 帓 帔 帕 帖 帗 帘 帙 帚 帛 帜 帝 帞 帟 帠 帡 帢 帣 帤 帥 带 帧 帨 帩 帪 師 帬 席 帮 帯 帰 帱 帲 帳 帴 帵 帶 帷 常 帹 帺 帻 帼 帽 帾 帿 幀 幁 幂 幃 幄 幅 幆 幇 幈 幉 幊 幋 幌 幍 幎 幏 幐 幑 幒 幓 幔 幕 幖 幗 幘 幙 幚 幛 幜 幝 幞 幟 幠 幡 幢 幣 幤 幥 幦 幧 幨 幩 幪 幫 幬 幭 幮 幯 幰 幱 干 平 年 幵 并 幷 幸 幹 幺 幻 幼 幽 幾 广 庀 庁 庂 広 庄 庅 庆 庇 庈 庉 床 庋 庌 庍 庎 序 庐 庑 庒 库 应 底 庖 店 庘 庙 庚 庛 府 庝 庞 废 庠 庡 庢 庣 庤 庥 度 座 庨 庩 庪 庫 庬 庭 庮 庯 庰 庱 庲 庳 庴 庵 庶 康 庸 庹 庺 庻 庼 庽 庾 庿 廀 廁 廂 廃 廄 廅 廆 廇 廈 廉 廊 廋 廌 廍 廎 廏 廐 廑 廒 廓 廔 廕 廖 廗 廘 廙 廚 廛 廜 廝 廞 廟 廠 廡 廢 廣 廤 廥 廦 廧 廨 廩 廪 廫 廬 廭 廮 廯 廰 廱 廲 廳 廴 廵 延 廷 廸 廹 建 廻 廼 廽 廾 廿</t>
        </is>
      </c>
      <c r="Q166" s="38" t="inlineStr">
        <is>
          <t>帀 币 市 布 帄 帅 帆 帇 师 帉 帊 帋 希 帍 帎 帏 帐 帑 帒 帓 帔 帕 帖 帗 帘 帙 帚 帛 帜 帝 帞 帟 帠 帡 帢 帣 帤 帥 带 帧 帨 帩 帪 師 帬 席 帮 帯 帰 帱 帲 帳 帴 帵 帶 帷 常 帹 帺 帻 帼 帽 帾 帿 幀 幁 幂 幃 幄 幅 幆 幇 幈 幉 幊 幋 幌 幍 幎 幏 幐 幑 幒 幓 幔 幕 幖 幗 幘 幙 幚 幛 幜 幝 幞 幟 幠 幡 幢 幣 幤 幥 幦 幧 幨 幩 幪 幫 幬 幭 幮 幯 幰 幱 干 平 年 幵 并 幷 幸 幹 幺 幻 幼 幽 幾 广 庀 庁 庂 広 庄 庅 庆 庇 庈 庉 床 庋 庌 庍 庎 序 庐 庑 庒 库 应 底 庖 店 庘 庙 庚 庛 府 庝 庞 废 庠 庡 庢 庣 庤 庥 度 座 庨 庩 庪 庫 庬 庭 庮 庯 庰 庱 庲 庳 庴 庵 庶 康 庸 庹 庺 庻 庼 庽 庾 庿 廀 廁 廂 廃 廄 廅 廆 廇 廈 廉 廊 廋 廌 廍 廎 廏 廐 廑 廒 廓 廔 廕 廖 廗 廘 廙 廚 廛 廜 廝 廞 廟 廠 廡 廢 廣 廤 廥 廦 廧 廨 廩 廪 廫 廬 廭 廮 廯 廰 廱 廲 廳 廴 廵 延 廷 廸 廹 建 廻 廼 廽 廾 廿</t>
        </is>
      </c>
      <c r="R166" s="43" t="inlineStr">
        <is>
          <t>帀 币 市 布 帄 帆 帇 帉 帋 希 帍 帎 帐 帑 帒 帓 帔 帗 帘 帙 帚 帛 帜 帝 帞 帟 帠 帡 帢 帣 帤 带 帨 帪 師 帬 席 帮 帯 帱 帳 帵 帶 帷 常 帹 帺 帻 帾 帿 幀 幁 幂 幃 幄 幆 幇 幈 幉 幊 幋 幌 幐 幑 幒 幓 幔 幕 幖 幘 幙 幚 幛 幜 幞 幟 幠 幡 幢 幣 幤 幦 幧 幨 幩 幫 幭 幮 幰 干 平 年 并 幸 幹 幺 幻 幼 幽 幾 广 庀 庁 庂 広 庄 庅 庆 庇 庈 庉 床 庋 庌 庍 庎 序 庐 庑 庒 库 应 底 庖 店 庘 庙 庚 庛 府 庝 庞 废 庠 庡 庢 庣 庤 庥 度 座 庨 庩 庪 庫 庬 庭 庮 庯 庰 庱 庲 庳 庴 庵 庶 康 庸 庹 庺 庻 庼 庽 庾 庿 廀 廁 廂 廃 廄 廅 廆 廇 廈 廉 廊 廋 廌 廍 廎 廏 廐 廑 廒 廓 廔 廕 廖 廗 廘 廙 廚 廛 廜 廝 廞 廟 廠 廡 廢 廣 廤 廥 廦 廧 廨 廩 廪 廫 廬 廭 廮 廯 廰 廱 廲 廳 廴 廵 延 廷 廸 廹 建 廻 廼 廽 廾 廿</t>
        </is>
      </c>
      <c r="S166" s="40" t="n"/>
      <c r="V166" s="14">
        <f>(LEN(O166)+1)/2</f>
        <v/>
      </c>
      <c r="W166" s="14">
        <f>ROUNDDOWN((LEN(P166)+1)/2,0)</f>
        <v/>
      </c>
      <c r="X166" s="14">
        <f>ROUNDDOWN((LEN(Q166)+1)/2,0)</f>
        <v/>
      </c>
      <c r="Y166" s="14">
        <f>ROUNDDOWN((LEN(R166)+1)/2,0)</f>
        <v/>
      </c>
      <c r="Z166" s="14">
        <f>ROUNDDOWN((LEN(S166)+1)/2,0)</f>
        <v/>
      </c>
      <c r="AA166" s="56" t="n">
        <v>46150.55839453691</v>
      </c>
    </row>
    <row r="167" ht="102" customHeight="1">
      <c r="B167" s="46" t="inlineStr">
        <is>
          <t>U+5F00-U+5FFF</t>
        </is>
      </c>
      <c r="C167" s="46" t="inlineStr">
        <is>
          <t>CJK Unified Ideographs</t>
        </is>
      </c>
      <c r="D167" s="54">
        <f>HEX2DEC(MID(B167,3,FIND("-",E167)-3))</f>
        <v/>
      </c>
      <c r="E167" s="46" t="inlineStr">
        <is>
          <t>U+4E00-U+9FFF</t>
        </is>
      </c>
      <c r="F167" s="12" t="n">
        <v>3</v>
      </c>
      <c r="J167" s="19">
        <f>ROUNDDOWN(W167,0)/$V167</f>
        <v/>
      </c>
      <c r="K167" s="19">
        <f>ROUNDDOWN(X167,0)/$V167</f>
        <v/>
      </c>
      <c r="L167" s="19">
        <f>ROUNDDOWN(Y167,0)/$V167</f>
        <v/>
      </c>
      <c r="M167" s="19">
        <f>ROUNDDOWN(Z167,0)/$V167</f>
        <v/>
      </c>
      <c r="O167" s="36" t="inlineStr">
        <is>
          <t>开 弁 异 弃 弄 弅 弆 弇 弈 弉 弊 弋 弌 弍 弎 式 弐 弑 弒 弓 弔 引 弖 弗 弘 弙 弚 弛 弜 弝 弞 弟 张 弡 弢 弣 弤 弥 弦 弧 弨 弩 弪 弫 弬 弭 弮 弯 弰 弱 弲 弳 弴 張 弶 強 弸 弹 强 弻 弼 弽 弾 弿 彀 彁 彂 彃 彄 彅 彆 彇 彈 彉 彊 彋 彌 彍 彎 彏 彐 彑 归 当 彔 录 彖 彗 彘 彙 彚 彛 彜 彝 彞 彟 彠 彡 形 彣 彤 彥 彦 彧 彨 彩 彪 彫 彬 彭 彮 彯 彰 影 彲 彳 彴 彵 彶 彷 彸 役 彺 彻 彼 彽 彾 彿 往 征 徂 徃 径 待 徆 徇 很 徉 徊 律 後 徍 徎 徏 徐 徑 徒 従 徔 徕 徖 得 徘 徙 徚 徛 徜 徝 從 徟 徠 御 徢 徣 徤 徥 徦 徧 徨 復 循 徫 徬 徭 微 徯 徰 徱 徲 徳 徴 徵 徶 德 徸 徹 徺 徻 徼 徽 徾 徿 忀 忁 忂 心 忄 必 忆 忇 忈 忉 忊 忋 忌 忍 忎 忏 忐 忑 忒 忓 忔 忕 忖 志 忘 忙 忚 忛 応 忝 忞 忟 忠 忡 忢 忣 忤 忥 忦 忧 忨 忩 忪 快 忬 忭 忮 忯 忰 忱 忲 忳 忴 念 忶 忷 忸 忹 忺 忻 忼 忽 忾 忿</t>
        </is>
      </c>
      <c r="P167" s="37" t="inlineStr">
        <is>
          <t>开 弁 异 弃 弄 弅 弆 弇 弈 弉 弊 弋 弌 弍 弎 式 弐 弑 弒 弓 弔 引 弖 弗 弘 弙 弚 弛 弜 弝 弞 弟 张 弡 弢 弣 弤 弥 弦 弧 弨 弩 弪 弫 弬 弭 弮 弯 弰 弱 弲 弳 弴 張 弶 強 弸 弹 强 弻 弼 弽 弾 弿 彀 彁 彂 彃 彄 彅 彆 彇 彈 彉 彊 彋 彌 彍 彎 彏 彐 彑 归 当 彔 录 彖 彗 彘 彙 彚 彛 彜 彝 彞 彟 彠 彡 形 彣 彤 彥 彦 彧 彨 彩 彪 彫 彬 彭 彮 彯 彰 影 彲 彳 彴 彵 彶 彷 彸 役 彺 彻 彼 彽 彾 彿 往 征 徂 徃 径 待 徆 徇 很 徉 徊 律 後 徍 徎 徏 徐 徑 徒 従 徔 徕 徖 得 徘 徙 徚 徛 徜 徝 從 徟 徠 御 徢 徣 徤 徥 徦 徧 徨 復 循 徫 徬 徭 微 徯 徰 徱 徲 徳 徴 徵 徶 德 徸 徹 徺 徻 徼 徽 徾 徿 忀 忁 忂 心 忄 必 忆 忇 忈 忉 忊 忋 忌 忍 忎 忏 忐 忑 忒 忓 忔 忕 忖 志 忘 忙 忚 忛 応 忝 忞 忟 忠 忡 忢 忣 忤 忥 忦 忧 忨 忩 忪 快 忬 忭 忮 忯 忰 忱 忲 忳 忴 念 忶 忷 忸 忹 忺 忻 忼 忽 忾 忿</t>
        </is>
      </c>
      <c r="Q167" s="38" t="inlineStr">
        <is>
          <t>开 弁 异 弃 弄 弅 弆 弇 弈 弉 弊 弋 弌 弍 弎 式 弐 弑 弒 弓 弔 引 弖 弗 弘 弙 弚 弛 弜 弝 弞 弟 张 弡 弢 弣 弤 弥 弦 弧 弨 弩 弪 弫 弬 弭 弮 弯 弰 弱 弲 弳 弴 張 弶 強 弸 弹 强 弻 弼 弽 弾 弿 彀 彁 彂 彃 彄 彅 彆 彇 彈 彉 彊 彋 彌 彍 彎 彏 彐 彑 归 当 彔 录 彖 彗 彘 彙 彚 彛 彜 彝 彞 彟 彠 彡 形 彣 彤 彥 彦 彧 彨 彩 彪 彫 彬 彭 彮 彯 彰 影 彲 彳 彴 彵 彶 彷 彸 役 彺 彻 彼 彽 彾 彿 往 征 徂 徃 径 待 徆 徇 很 徉 徊 律 後 徍 徎 徏 徐 徑 徒 従 徔 徕 徖 得 徘 徙 徚 徛 徜 徝 從 徟 徠 御 徢 徣 徤 徥 徦 徧 徨 復 循 徫 徬 徭 微 徯 徰 徱 徲 徳 徴 徵 徶 德 徸 徹 徺 徻 徼 徽 徾 徿 忀 忁 忂 心 忄 必 忆 忇 忈 忉 忊 忋 忌 忍 忎 忏 忐 忑 忒 忓 忔 忕 忖 志 忘 忙 忚 忛 応 忝 忞 忟 忠 忡 忢 忣 忤 忥 忦 忧 忨 忩 忪 快 忬 忭 忮 忯 忰 忱 忲 忳 忴 念 忶 忷 忸 忹 忺 忻 忼 忽 忾 忿</t>
        </is>
      </c>
      <c r="R167" s="43" t="inlineStr">
        <is>
          <t>开 弁 异 弃 弄 弅 弆 弇 弈 弉 弊 弋 弌 弍 弎 式 弐 弑 弒 弓 弔 弖 弗 弘 弚 弞 弟 张 弢 弣 弥 弧 弨 弩 弪 弮 弯 弳 張 強 弸 强 弽 弿 彀 彂 彅 彆 彇 彋 彌 彍 彎 彏 彐 彑 当 彔 录 彖 彗 彘 彙 彚 彛 彜 彝 彞 彟 彠 彡 形 彣 彤 彥 彦 彧 彨 彩 彪 彫 彬 彭 彮 彯 彰 影 彲 彳 彴 彵 彶 彷 彸 役 彺 彻 彼 彾 彿 往 征 徂 徃 径 待 徆 徇 律 後 徍 徏 徐 徑 徒 従 徔 徕 徖 得 徙 徚 徛 徝 從 徟 徠 徢 徣 徤 徥 徧 徨 復 循 徫 徬 微 徯 徰 徱 徲 徳 徴 徵 德 徸 徹 徺 徻 徼 徽 徾 忀 忁 忂 必 忌 忍 忎 忐 忑 忒 志 忘 応 忝 忞 忠 忢 忥 忩 念 忽 忿</t>
        </is>
      </c>
      <c r="S167" s="40" t="n"/>
      <c r="V167" s="14">
        <f>(LEN(O167)+1)/2</f>
        <v/>
      </c>
      <c r="W167" s="14">
        <f>ROUNDDOWN((LEN(P167)+1)/2,0)</f>
        <v/>
      </c>
      <c r="X167" s="14">
        <f>ROUNDDOWN((LEN(Q167)+1)/2,0)</f>
        <v/>
      </c>
      <c r="Y167" s="14">
        <f>ROUNDDOWN((LEN(R167)+1)/2,0)</f>
        <v/>
      </c>
      <c r="Z167" s="14">
        <f>ROUNDDOWN((LEN(S167)+1)/2,0)</f>
        <v/>
      </c>
      <c r="AA167" s="56" t="n">
        <v>46150.55839754104</v>
      </c>
    </row>
    <row r="168" ht="102" customHeight="1">
      <c r="B168" s="46" t="inlineStr">
        <is>
          <t>U+6000-U+60FF</t>
        </is>
      </c>
      <c r="C168" s="46" t="inlineStr">
        <is>
          <t>CJK Unified Ideographs</t>
        </is>
      </c>
      <c r="D168" s="54">
        <f>HEX2DEC(MID(B168,3,FIND("-",E168)-3))</f>
        <v/>
      </c>
      <c r="E168" s="46" t="inlineStr">
        <is>
          <t>U+4E00-U+9FFF</t>
        </is>
      </c>
      <c r="F168" s="12" t="n">
        <v>3</v>
      </c>
      <c r="J168" s="19">
        <f>ROUNDDOWN(W168,0)/$V168</f>
        <v/>
      </c>
      <c r="K168" s="19">
        <f>ROUNDDOWN(X168,0)/$V168</f>
        <v/>
      </c>
      <c r="L168" s="19">
        <f>ROUNDDOWN(Y168,0)/$V168</f>
        <v/>
      </c>
      <c r="M168" s="19">
        <f>ROUNDDOWN(Z168,0)/$V168</f>
        <v/>
      </c>
      <c r="O168" s="36" t="inlineStr">
        <is>
          <t>怀 态 怂 怃 怄 怅 怆 怇 怈 怉 怊 怋 怌 怍 怎 怏 怐 怑 怒 怓 怔 怕 怖 怗 怘 怙 怚 怛 怜 思 怞 怟 怠 怡 怢 怣 怤 急 怦 性 怨 怩 怪 怫 怬 怭 怮 怯 怰 怱 怲 怳 怴 怵 怶 怷 怸 怹 怺 总 怼 怽 怾 怿 恀 恁 恂 恃 恄 恅 恆 恇 恈 恉 恊 恋 恌 恍 恎 恏 恐 恑 恒 恓 恔 恕 恖 恗 恘 恙 恚 恛 恜 恝 恞 恟 恠 恡 恢 恣 恤 恥 恦 恧 恨 恩 恪 恫 恬 恭 恮 息 恰 恱 恲 恳 恴 恵 恶 恷 恸 恹 恺 恻 恼 恽 恾 恿 悀 悁 悂 悃 悄 悅 悆 悇 悈 悉 悊 悋 悌 悍 悎 悏 悐 悑 悒 悓 悔 悕 悖 悗 悘 悙 悚 悛 悜 悝 悞 悟 悠 悡 悢 患 悤 悥 悦 悧 您 悩 悪 悫 悬 悭 悮 悯 悰 悱 悲 悳 悴 悵 悶 悷 悸 悹 悺 悻 悼 悽 悾 悿 惀 惁 惂 惃 惄 情 惆 惇 惈 惉 惊 惋 惌 惍 惎 惏 惐 惑 惒 惓 惔 惕 惖 惗 惘 惙 惚 惛 惜 惝 惞 惟 惠 惡 惢 惣 惤 惥 惦 惧 惨 惩 惪 惫 惬 惭 惮 惯 惰 惱 惲 想 惴 惵 惶 惷 惸 惹 惺 惻 惼 惽 惾 惿</t>
        </is>
      </c>
      <c r="P168" s="37" t="inlineStr">
        <is>
          <t>怀 态 怂 怃 怄 怅 怆 怇 怈 怉 怊 怋 怌 怍 怎 怏 怐 怑 怒 怓 怔 怕 怖 怗 怘 怙 怚 怛 怜 思 怞 怟 怠 怡 怢 怣 怤 急 怦 性 怨 怩 怪 怫 怬 怭 怮 怯 怰 怱 怲 怳 怴 怵 怶 怷 怸 怹 怺 总 怼 怽 怾 怿 恀 恁 恂 恃 恄 恅 恆 恇 恈 恉 恊 恋 恌 恍 恎 恏 恐 恑 恒 恓 恔 恕 恖 恗 恘 恙 恚 恛 恜 恝 恞 恟 恠 恡 恢 恣 恤 恥 恦 恧 恨 恩 恪 恫 恬 恭 恮 息 恰 恱 恲 恳 恴 恵 恶 恷 恸 恹 恺 恻 恼 恽 恾 恿 悀 悁 悂 悃 悄 悅 悆 悇 悈 悉 悊 悋 悌 悍 悎 悏 悐 悑 悒 悓 悔 悕 悖 悗 悘 悙 悚 悛 悜 悝 悞 悟 悠 悡 悢 患 悤 悥 悦 悧 您 悩 悪 悫 悬 悭 悮 悯 悰 悱 悲 悳 悴 悵 悶 悷 悸 悹 悺 悻 悼 悽 悾 悿 惀 惁 惂 惃 惄 情 惆 惇 惈 惉 惊 惋 惌 惍 惎 惏 惐 惑 惒 惓 惔 惕 惖 惗 惘 惙 惚 惛 惜 惝 惞 惟 惠 惡 惢 惣 惤 惥 惦 惧 惨 惩 惪 惫 惬 惭 惮 惯 惰 惱 惲 想 惴 惵 惶 惷 惸 惹 惺 惻 惼 惽 惾 惿</t>
        </is>
      </c>
      <c r="Q168" s="38" t="inlineStr">
        <is>
          <t>怀 态 怂 怃 怄 怅 怆 怇 怈 怉 怊 怋 怌 怍 怎 怏 怐 怑 怒 怓 怔 怕 怖 怗 怘 怙 怚 怛 怜 思 怞 怟 怠 怡 怢 怣 怤 急 怦 性 怨 怩 怪 怫 怬 怭 怮 怯 怰 怱 怲 怳 怴 怵 怶 怷 怸 怹 怺 总 怼 怽 怾 怿 恀 恁 恂 恃 恄 恅 恆 恇 恈 恉 恊 恋 恌 恍 恎 恏 恐 恑 恒 恓 恔 恕 恖 恗 恘 恙 恚 恛 恜 恝 恞 恟 恠 恡 恢 恣 恤 恥 恦 恧 恨 恩 恪 恫 恬 恭 恮 息 恰 恱 恲 恳 恴 恵 恶 恷 恸 恹 恺 恻 恼 恽 恾 恿 悀 悁 悂 悃 悄 悅 悆 悇 悈 悉 悊 悋 悌 悍 悎 悏 悐 悑 悒 悓 悔 悕 悖 悗 悘 悙 悚 悛 悜 悝 悞 悟 悠 悡 悢 患 悤 悥 悦 悧 您 悩 悪 悫 悬 悭 悮 悯 悰 悱 悲 悳 悴 悵 悶 悷 悸 悹 悺 悻 悼 悽 悾 悿 惀 惁 惂 惃 惄 情 惆 惇 惈 惉 惊 惋 惌 惍 惎 惏 惐 惑 惒 惓 惔 惕 惖 惗 惘 惙 惚 惛 惜 惝 惞 惟 惠 惡 惢 惣 惤 惥 惦 惧 惨 惩 惪 惫 惬 惭 惮 惯 惰 惱 惲 想 惴 惵 惶 惷 惸 惹 惺 惻 惼 惽 惾 惿</t>
        </is>
      </c>
      <c r="R168" s="43" t="inlineStr">
        <is>
          <t>态 怂 怎 怒 怘 思 怠 怣 怤 急 怨 怱 怷 怸 怹 怼 恁 恋 恏 恐 恕 恖 恙 恚 恝 恣 恧 恩 恭 恳 恴 恵 恶 恷 恿 悆 悉 悊 悐 悘 悠 悡 患 悤 悥 您 悪 悫 悬 悲 悳 悶 悹 惁 惄 惉 惌 惎 惑 惒 惖 惠 惡 惢 惣 惥 惩 惪 惫 想 惷 惹</t>
        </is>
      </c>
      <c r="S168" s="40" t="n"/>
      <c r="V168" s="14">
        <f>(LEN(O168)+1)/2</f>
        <v/>
      </c>
      <c r="W168" s="14">
        <f>ROUNDDOWN((LEN(P168)+1)/2,0)</f>
        <v/>
      </c>
      <c r="X168" s="14">
        <f>ROUNDDOWN((LEN(Q168)+1)/2,0)</f>
        <v/>
      </c>
      <c r="Y168" s="14">
        <f>ROUNDDOWN((LEN(R168)+1)/2,0)</f>
        <v/>
      </c>
      <c r="Z168" s="14">
        <f>ROUNDDOWN((LEN(S168)+1)/2,0)</f>
        <v/>
      </c>
      <c r="AA168" s="56" t="n">
        <v>46150.55840070878</v>
      </c>
    </row>
    <row r="169" ht="102" customHeight="1">
      <c r="B169" s="46" t="inlineStr">
        <is>
          <t>U+6100-U+61FF</t>
        </is>
      </c>
      <c r="C169" s="46" t="inlineStr">
        <is>
          <t>CJK Unified Ideographs</t>
        </is>
      </c>
      <c r="D169" s="54">
        <f>HEX2DEC(MID(B169,3,FIND("-",E169)-3))</f>
        <v/>
      </c>
      <c r="E169" s="46" t="inlineStr">
        <is>
          <t>U+4E00-U+9FFF</t>
        </is>
      </c>
      <c r="F169" s="12" t="n">
        <v>3</v>
      </c>
      <c r="J169" s="19">
        <f>ROUNDDOWN(W169,0)/$V169</f>
        <v/>
      </c>
      <c r="K169" s="19">
        <f>ROUNDDOWN(X169,0)/$V169</f>
        <v/>
      </c>
      <c r="L169" s="19">
        <f>ROUNDDOWN(Y169,0)/$V169</f>
        <v/>
      </c>
      <c r="M169" s="19">
        <f>ROUNDDOWN(Z169,0)/$V169</f>
        <v/>
      </c>
      <c r="O169" s="36" t="inlineStr">
        <is>
          <t>愀 愁 愂 愃 愄 愅 愆 愇 愈 愉 愊 愋 愌 愍 愎 意 愐 愑 愒 愓 愔 愕 愖 愗 愘 愙 愚 愛 愜 愝 愞 感 愠 愡 愢 愣 愤 愥 愦 愧 愨 愩 愪 愫 愬 愭 愮 愯 愰 愱 愲 愳 愴 愵 愶 愷 愸 愹 愺 愻 愼 愽 愾 愿 慀 慁 慂 慃 慄 慅 慆 慇 慈 慉 慊 態 慌 慍 慎 慏 慐 慑 慒 慓 慔 慕 慖 慗 慘 慙 慚 慛 慜 慝 慞 慟 慠 慡 慢 慣 慤 慥 慦 慧 慨 慩 慪 慫 慬 慭 慮 慯 慰 慱 慲 慳 慴 慵 慶 慷 慸 慹 慺 慻 慼 慽 慾 慿 憀 憁 憂 憃 憄 憅 憆 憇 憈 憉 憊 憋 憌 憍 憎 憏 憐 憑 憒 憓 憔 憕 憖 憗 憘 憙 憚 憛 憜 憝 憞 憟 憠 憡 憢 憣 憤 憥 憦 憧 憨 憩 憪 憫 憬 憭 憮 憯 憰 憱 憲 憳 憴 憵 憶 憷 憸 憹 憺 憻 憼 憽 憾 憿 懀 懁 懂 懃 懄 懅 懆 懇 懈 應 懊 懋 懌 懍 懎 懏 懐 懑 懒 懓 懔 懕 懖 懗 懘 懙 懚 懛 懜 懝 懞 懟 懠 懡 懢 懣 懤 懥 懦 懧 懨 懩 懪 懫 懬 懭 懮 懯 懰 懱 懲 懳 懴 懵 懶 懷 懸 懹 懺 懻 懼 懽 懾 懿</t>
        </is>
      </c>
      <c r="P169" s="37" t="inlineStr">
        <is>
          <t>愀 愁 愂 愃 愄 愅 愆 愇 愈 愉 愊 愋 愌 愍 愎 意 愐 愑 愒 愓 愔 愕 愖 愗 愘 愙 愚 愛 愜 愝 愞 感 愠 愡 愢 愣 愤 愥 愦 愧 愨 愩 愪 愫 愬 愭 愮 愯 愰 愱 愲 愳 愴 愵 愶 愷 愸 愹 愺 愻 愼 愽 愾 愿 慀 慁 慂 慃 慄 慅 慆 慇 慈 慉 慊 態 慌 慍 慎 慏 慐 慑 慒 慓 慔 慕 慖 慗 慘 慙 慚 慛 慜 慝 慞 慟 慠 慡 慢 慣 慤 慥 慦 慧 慨 慩 慪 慫 慬 慭 慮 慯 慰 慱 慲 慳 慴 慵 慶 慷 慸 慹 慺 慻 慼 慽 慾 慿 憀 憁 憂 憃 憄 憅 憆 憇 憈 憉 憊 憋 憌 憍 憎 憏 憐 憑 憒 憓 憔 憕 憖 憗 憘 憙 憚 憛 憜 憝 憞 憟 憠 憡 憢 憣 憤 憥 憦 憧 憨 憩 憪 憫 憬 憭 憮 憯 憰 憱 憲 憳 憴 憵 憶 憷 憸 憹 憺 憻 憼 憽 憾 憿 懀 懁 懂 懃 懄 懅 懆 懇 懈 應 懊 懋 懌 懍 懎 懏 懐 懑 懒 懓 懔 懕 懖 懗 懘 懙 懚 懛 懜 懝 懞 懟 懠 懡 懢 懣 懤 懥 懦 懧 懨 懩 懪 懫 懬 懭 懮 懯 懰 懱 懲 懳 懴 懵 懶 懷 懸 懹 懺 懻 懼 懽 懾 懿</t>
        </is>
      </c>
      <c r="Q169" s="38" t="inlineStr">
        <is>
          <t>愀 愁 愂 愃 愄 愅 愆 愇 愈 愉 愊 愋 愌 愍 愎 意 愐 愑 愒 愓 愔 愕 愖 愗 愘 愙 愚 愛 愜 愝 愞 感 愠 愡 愢 愣 愤 愥 愦 愧 愨 愩 愪 愫 愬 愭 愮 愯 愰 愱 愲 愳 愴 愵 愶 愷 愸 愹 愺 愻 愼 愽 愾 愿 慀 慁 慂 慃 慄 慅 慆 慇 慈 慉 慊 態 慌 慍 慎 慏 慐 慑 慒 慓 慔 慕 慖 慗 慘 慙 慚 慛 慜 慝 慞 慟 慠 慡 慢 慣 慤 慥 慦 慧 慨 慩 慪 慫 慬 慭 慮 慯 慰 慱 慲 慳 慴 慵 慶 慷 慸 慹 慺 慻 慼 慽 慾 慿 憀 憁 憂 憃 憄 憅 憆 憇 憈 憉 憊 憋 憌 憍 憎 憏 憐 憑 憒 憓 憔 憕 憖 憗 憘 憙 憚 憛 憜 憝 憞 憟 憠 憡 憢 憣 憤 憥 憦 憧 憨 憩 憪 憫 憬 憭 憮 憯 憰 憱 憲 憳 憴 憵 憶 憷 憸 憹 憺 憻 憼 憽 憾 憿 懀 懁 懂 懃 懄 懅 懆 懇 懈 應 懊 懋 懌 懍 懎 懏 懐 懑 懒 懓 懔 懕 懖 懗 懘 懙 懚 懛 懜 懝 懞 懟 懠 懡 懢 懣 懤 懥 懦 懧 懨 懩 懪 懫 懬 懭 懮 懯 懰 懱 懲 懳 懴 懵 懶 懷 懸 懹 懺 懻 懼 懽 懾 懿</t>
        </is>
      </c>
      <c r="R169" s="43" t="inlineStr">
        <is>
          <t>愁 愂 愆 愈 愍 意 愗 愙 愚 愛 感 愨 愬 愳 愸 愻 愿 慁 慂 慇 慈 態 慐 慕 慗 慙 慜 慝 慤 慦 慧 慫 慭 慮 慰 慶 慸 慹 慼 慾 慿 憂 憃 憄 憅 憇 憊 憋 憌 憑 憖 憗 憙 憝 憠 憥 憨 憩 憲 憵 憼 懃 懇 應 懋 懑 懕 懖 懘 懟 懣 懬 懯 懲 懸 懿</t>
        </is>
      </c>
      <c r="S169" s="40" t="n"/>
      <c r="V169" s="14">
        <f>(LEN(O169)+1)/2</f>
        <v/>
      </c>
      <c r="W169" s="14">
        <f>ROUNDDOWN((LEN(P169)+1)/2,0)</f>
        <v/>
      </c>
      <c r="X169" s="14">
        <f>ROUNDDOWN((LEN(Q169)+1)/2,0)</f>
        <v/>
      </c>
      <c r="Y169" s="14">
        <f>ROUNDDOWN((LEN(R169)+1)/2,0)</f>
        <v/>
      </c>
      <c r="Z169" s="14">
        <f>ROUNDDOWN((LEN(S169)+1)/2,0)</f>
        <v/>
      </c>
      <c r="AA169" s="56" t="n">
        <v>46150.5584037539</v>
      </c>
    </row>
    <row r="170" ht="102" customHeight="1">
      <c r="B170" s="46" t="inlineStr">
        <is>
          <t>U+6200-U+62FF</t>
        </is>
      </c>
      <c r="C170" s="46" t="inlineStr">
        <is>
          <t>CJK Unified Ideographs</t>
        </is>
      </c>
      <c r="D170" s="54">
        <f>HEX2DEC(MID(B170,3,FIND("-",E170)-3))</f>
        <v/>
      </c>
      <c r="E170" s="46" t="inlineStr">
        <is>
          <t>U+4E00-U+9FFF</t>
        </is>
      </c>
      <c r="F170" s="12" t="n">
        <v>3</v>
      </c>
      <c r="J170" s="19">
        <f>ROUNDDOWN(W170,0)/$V170</f>
        <v/>
      </c>
      <c r="K170" s="19">
        <f>ROUNDDOWN(X170,0)/$V170</f>
        <v/>
      </c>
      <c r="L170" s="19">
        <f>ROUNDDOWN(Y170,0)/$V170</f>
        <v/>
      </c>
      <c r="M170" s="19">
        <f>ROUNDDOWN(Z170,0)/$V170</f>
        <v/>
      </c>
      <c r="O170" s="36" t="inlineStr">
        <is>
          <t>戀 戁 戂 戃 戄 戅 戆 戇 戈 戉 戊 戋 戌 戍 戎 戏 成 我 戒 戓 戔 戕 或 戗 战 戙 戚 戛 戜 戝 戞 戟 戠 戡 戢 戣 戤 戥 戦 戧 戨 戩 截 戫 戬 戭 戮 戯 戰 戱 戲 戳 戴 戵 戶 户 戸 戹 戺 戻 戼 戽 戾 房 所 扁 扂 扃 扄 扅 扆 扇 扈 扉 扊 手 扌 才 扎 扏 扐 扑 扒 打 扔 払 扖 扗 托 扙 扚 扛 扜 扝 扞 扟 扠 扡 扢 扣 扤 扥 扦 执 扨 扩 扪 扫 扬 扭 扮 扯 扰 扱 扲 扳 扴 扵 扶 扷 扸 批 扺 扻 扼 扽 找 承 技 抁 抂 抃 抄 抅 抆 抇 抈 抉 把 抋 抌 抍 抎 抏 抐 抑 抒 抓 抔 投 抖 抗 折 抙 抚 抛 抜 抝 択 抟 抠 抡 抢 抣 护 报 抦 抧 抨 抩 抪 披 抬 抭 抮 抯 抰 抱 抲 抳 抴 抵 抶 抷 抸 抹 抺 抻 押 抽 抾 抿 拀 拁 拂 拃 拄 担 拆 拇 拈 拉 拊 拋 拌 拍 拎 拏 拐 拑 拒 拓 拔 拕 拖 拗 拘 拙 拚 招 拜 拝 拞 拟 拠 拡 拢 拣 拤 拥 拦 拧 拨 择 拪 拫 括 拭 拮 拯 拰 拱 拲 拳 拴 拵 拶 拷 拸 拹 拺 拻 拼 拽 拾 拿</t>
        </is>
      </c>
      <c r="P170" s="37" t="inlineStr">
        <is>
          <t>戀 戁 戂 戃 戄 戅 戆 戇 戈 戉 戊 戋 戌 戍 戎 戏 成 我 戒 戓 戔 戕 或 戗 战 戙 戚 戛 戜 戝 戞 戟 戠 戡 戢 戣 戤 戥 戦 戧 戨 戩 截 戫 戬 戭 戮 戯 戰 戱 戲 戳 戴 戵 戶 户 戸 戹 戺 戻 戼 戽 戾 房 所 扁 扂 扃 扄 扅 扆 扇 扈 扉 扊 手 扌 才 扎 扏 扐 扑 扒 打 扔 払 扖 扗 托 扙 扚 扛 扜 扝 扞 扟 扠 扡 扢 扣 扤 扥 扦 执 扨 扩 扪 扫 扬 扭 扮 扯 扰 扱 扲 扳 扴 扵 扶 扷 扸 批 扺 扻 扼 扽 找 承 技 抁 抂 抃 抄 抅 抆 抇 抈 抉 把 抋 抌 抍 抎 抏 抐 抑 抒 抓 抔 投 抖 抗 折 抙 抚 抛 抜 抝 択 抟 抠 抡 抢 抣 护 报 抦 抧 抨 抩 抪 披 抬 抭 抮 抯 抰 抱 抲 抳 抴 抵 抶 抷 抸 抹 抺 抻 押 抽 抾 抿 拀 拁 拂 拃 拄 担 拆 拇 拈 拉 拊 拋 拌 拍 拎 拏 拐 拑 拒 拓 拔 拕 拖 拗 拘 拙 拚 招 拜 拝 拞 拟 拠 拡 拢 拣 拤 拥 拦 拧 拨 择 拪 拫 括 拭 拮 拯 拰 拱 拲 拳 拴 拵 拶 拷 拸 拹 拺 拻 拼 拽 拾 拿</t>
        </is>
      </c>
      <c r="Q170" s="38" t="inlineStr">
        <is>
          <t>戀 戁 戂 戃 戄 戅 戆 戇 戈 戉 戊 戋 戌 戍 戎 戏 成 我 戒 戓 戔 戕 或 戗 战 戙 戚 戛 戜 戝 戞 戟 戠 戡 戢 戣 戤 戥 戦 戧 戨 戩 截 戫 戬 戭 戮 戯 戰 戱 戲 戳 戴 戵 戶 户 戸 戹 戺 戻 戼 戽 戾 房 所 扁 扂 扃 扄 扅 扆 扇 扈 扉 扊 手 扌 才 扎 扏 扐 扑 扒 打 扔 払 扖 扗 托 扙 扚 扛 扜 扝 扞 扟 扠 扡 扢 扣 扤 扥 扦 执 扨 扩 扪 扫 扬 扭 扮 扯 扰 扱 扲 扳 扴 扵 扶 扷 扸 批 扺 扻 扼 扽 找 承 技 抁 抂 抃 抄 抅 抆 抇 抈 抉 把 抋 抌 抍 抎 抏 抐 抑 抒 抓 抔 投 抖 抗 折 抙 抚 抛 抜 抝 択 抟 抠 抡 抢 抣 护 报 抦 抧 抨 抩 抪 披 抬 抭 抮 抯 抰 抱 抲 抳 抴 抵 抶 抷 抸 抹 抺 抻 押 抽 抾 抿 拀 拁 拂 拃 拄 担 拆 拇 拈 拉 拊 拋 拌 拍 拎 拏 拐 拑 拒 拓 拔 拕 拖 拗 拘 拙 拚 招 拜 拝 拞 拟 拠 拡 拢 拣 拤 拥 拦 拧 拨 择 拪 拫 括 拭 拮 拯 拰 拱 拲 拳 拴 拵 拶 拷 拸 拹 拺 拻 拼 拽 拾 拿</t>
        </is>
      </c>
      <c r="R170" s="43" t="inlineStr">
        <is>
          <t>戀 戁 戅 戆 戇 戈 戉 戊 戋 戌 戍 戎 戏 成 我 戒 戓 戔 或 戗 战 戙 戚 戛 戜 戝 戞 戟 戠 戡 戢 戣 戤 戥 戦 戧 戨 戩 截 戫 戬 戭 戮 戯 戰 戱 戲 戳 戴 戵 戶 户 戹 戻 戽 戾 房 所 扁 扂 扃 扄 扅 扆 扇 扈 扉 扊 手 扌 才 扏 扐 打 扔 払 扖 扗 托 扙 扚 扛 扜 扝 扞 扟 扠 扡 扢 扤 扥 扦 执 扨 扩 扫 扬 扭 扮 扯 扰 扱 扲 扳 扴 扵 扶 扷 扸 扺 扻 扼 扽 找 承 技 抁 抂 抄 抅 抆 抈 抉 抌 抍 抎 抏 抒 抓 抔 投 抖 抗 折 抙 抚 抛 抜 抝 択 抡 抢 抣 护 抦 抧 抨 抩 抪 披 抬 抭 抮 抯 抰 抱 抲 抳 抴 抵 抶 抷 抸 抹 抺 抻 抾 抿 拀 拂 拃 拄 担 拆 拇 拈 拉 拊 拋 拌 拎 拏 拐 拓 拔 拕 拖 拗 拘 拙 拚 招 拜 拝 拞 拠 拡 拢 拣 拤 拥 拦 拧 拨 拪 括 拭 拮 拯 拰 拱 拲 拳 拴 拵 拶 拷 拸 拹 拺 拻 拼 拽 拾 拿</t>
        </is>
      </c>
      <c r="S170" s="40" t="n"/>
      <c r="V170" s="14">
        <f>(LEN(O170)+1)/2</f>
        <v/>
      </c>
      <c r="W170" s="14">
        <f>ROUNDDOWN((LEN(P170)+1)/2,0)</f>
        <v/>
      </c>
      <c r="X170" s="14">
        <f>ROUNDDOWN((LEN(Q170)+1)/2,0)</f>
        <v/>
      </c>
      <c r="Y170" s="14">
        <f>ROUNDDOWN((LEN(R170)+1)/2,0)</f>
        <v/>
      </c>
      <c r="Z170" s="14">
        <f>ROUNDDOWN((LEN(S170)+1)/2,0)</f>
        <v/>
      </c>
      <c r="AA170" s="56" t="n">
        <v>46150.55840686429</v>
      </c>
    </row>
    <row r="171" ht="102" customHeight="1">
      <c r="B171" s="46" t="inlineStr">
        <is>
          <t>U+6300-U+63FF</t>
        </is>
      </c>
      <c r="C171" s="46" t="inlineStr">
        <is>
          <t>CJK Unified Ideographs</t>
        </is>
      </c>
      <c r="D171" s="54">
        <f>HEX2DEC(MID(B171,3,FIND("-",E171)-3))</f>
        <v/>
      </c>
      <c r="E171" s="46" t="inlineStr">
        <is>
          <t>U+4E00-U+9FFF</t>
        </is>
      </c>
      <c r="F171" s="12" t="n">
        <v>3</v>
      </c>
      <c r="J171" s="19">
        <f>ROUNDDOWN(W171,0)/$V171</f>
        <v/>
      </c>
      <c r="K171" s="19">
        <f>ROUNDDOWN(X171,0)/$V171</f>
        <v/>
      </c>
      <c r="L171" s="19">
        <f>ROUNDDOWN(Y171,0)/$V171</f>
        <v/>
      </c>
      <c r="M171" s="19">
        <f>ROUNDDOWN(Z171,0)/$V171</f>
        <v/>
      </c>
      <c r="O171" s="36" t="inlineStr">
        <is>
          <t>挀 持 挂 挃 挄 挅 挆 指 挈 按 挊 挋 挌 挍 挎 挏 挐 挑 挒 挓 挔 挕 挖 挗 挘 挙 挚 挛 挜 挝 挞 挟 挠 挡 挢 挣 挤 挥 挦 挧 挨 挩 挪 挫 挬 挭 挮 振 挰 挱 挲 挳 挴 挵 挶 挷 挸 挹 挺 挻 挼 挽 挾 挿 捀 捁 捂 捃 捄 捅 捆 捇 捈 捉 捊 捋 捌 捍 捎 捏 捐 捑 捒 捓 捔 捕 捖 捗 捘 捙 捚 捛 捜 捝 捞 损 捠 捡 换 捣 捤 捥 捦 捧 捨 捩 捪 捫 捬 捭 据 捯 捰 捱 捲 捳 捴 捵 捶 捷 捸 捹 捺 捻 捼 捽 捾 捿 掀 掁 掂 掃 掄 掅 掆 掇 授 掉 掊 掋 掌 掍 掎 掏 掐 掑 排 掓 掔 掕 掖 掗 掘 掙 掚 掛 掜 掝 掞 掟 掠 採 探 掣 掤 接 掦 控 推 掩 措 掫 掬 掭 掮 掯 掰 掱 掲 掳 掴 掵 掶 掷 掸 掹 掺 掻 掼 掽 掾 掿 揀 揁 揂 揃 揄 揅 揆 揇 揈 揉 揊 揋 揌 揍 揎 描 提 揑 插 揓 揔 揕 揖 揗 揘 揙 揚 換 揜 揝 揞 揟 揠 握 揢 揣 揤 揥 揦 揧 揨 揩 揪 揫 揬 揭 揮 揯 揰 揱 揲 揳 援 揵 揶 揷 揸 揹 揺 揻 揼 揽 揾 揿</t>
        </is>
      </c>
      <c r="P171" s="37" t="inlineStr">
        <is>
          <t>挀 持 挂 挃 挄 挅 挆 指 挈 按 挊 挋 挌 挍 挎 挏 挐 挑 挒 挓 挔 挕 挖 挗 挘 挙 挚 挛 挜 挝 挞 挟 挠 挡 挢 挣 挤 挥 挦 挧 挨 挩 挪 挫 挬 挭 挮 振 挰 挱 挲 挳 挴 挵 挶 挷 挸 挹 挺 挻 挼 挽 挾 挿 捀 捁 捂 捃 捄 捅 捆 捇 捈 捉 捊 捋 捌 捍 捎 捏 捐 捑 捒 捓 捔 捕 捖 捗 捘 捙 捚 捛 捜 捝 捞 损 捠 捡 换 捣 捤 捥 捦 捧 捨 捩 捪 捫 捬 捭 据 捯 捰 捱 捲 捳 捴 捵 捶 捷 捸 捹 捺 捻 捼 捽 捾 捿 掀 掁 掂 掃 掄 掅 掆 掇 授 掉 掊 掋 掌 掍 掎 掏 掐 掑 排 掓 掔 掕 掖 掗 掘 掙 掚 掛 掜 掝 掞 掟 掠 採 探 掣 掤 接 掦 控 推 掩 措 掫 掬 掭 掮 掯 掰 掱 掲 掳 掴 掵 掶 掷 掸 掹 掺 掻 掼 掽 掾 掿 揀 揁 揂 揃 揄 揅 揆 揇 揈 揉 揊 揋 揌 揍 揎 描 提 揑 插 揓 揔 揕 揖 揗 揘 揙 揚 換 揜 揝 揞 揟 揠 握 揢 揣 揤 揥 揦 揧 揨 揩 揪 揫 揬 揭 揮 揯 揰 揱 揲 揳 援 揵 揶 揷 揸 揹 揺 揻 揼 揽 揾 揿</t>
        </is>
      </c>
      <c r="Q171" s="38" t="inlineStr">
        <is>
          <t>挀 持 挂 挃 挄 挅 挆 指 挈 按 挊 挋 挌 挍 挎 挏 挐 挑 挒 挓 挔 挕 挖 挗 挘 挙 挚 挛 挜 挝 挞 挟 挠 挡 挢 挣 挤 挥 挦 挧 挨 挩 挪 挫 挬 挭 挮 振 挰 挱 挲 挳 挴 挵 挶 挷 挸 挹 挺 挻 挼 挽 挾 挿 捀 捁 捂 捃 捄 捅 捆 捇 捈 捉 捊 捋 捌 捍 捎 捏 捐 捑 捒 捓 捔 捕 捖 捗 捘 捙 捚 捛 捜 捝 捞 损 捠 捡 换 捣 捤 捥 捦 捧 捨 捩 捪 捫 捬 捭 据 捯 捰 捱 捲 捳 捴 捵 捶 捷 捸 捹 捺 捻 捼 捽 捾 捿 掀 掁 掂 掃 掄 掅 掆 掇 授 掉 掊 掋 掌 掍 掎 掏 掐 掑 排 掓 掔 掕 掖 掗 掘 掙 掚 掛 掜 掝 掞 掟 掠 採 探 掣 掤 接 掦 控 推 掩 措 掫 掬 掭 掮 掯 掰 掱 掲 掳 掴 掵 掶 掷 掸 掹 掺 掻 掼 掽 掾 掿 揀 揁 揂 揃 揄 揅 揆 揇 揈 揉 揊 揋 揌 揍 揎 描 提 揑 插 揓 揔 揕 揖 揗 揘 揙 揚 換 揜 揝 揞 揟 揠 握 揢 揣 揤 揥 揦 揧 揨 揩 揪 揫 揬 揭 揮 揯 揰 揱 揲 揳 援 揵 揶 揷 揸 揹 揺 揻 揼 揽 揾 揿</t>
        </is>
      </c>
      <c r="R171" s="43" t="inlineStr">
        <is>
          <t>挀 持 挂 挃 挄 挅 挆 挈 按 挊 挋 挌 挍 挎 挐 挓 挔 挕 挖 挗 挘 挙 挚 挛 挜 挝 挞 挟 挠 挡 挢 挣 挤 挥 挦 挨 挩 挫 挬 挭 挮 振 挰 挱 挲 挳 挴 挵 挶 挸 挹 挺 挻 挼 挽 挾 捀 捁 捂 捃 捄 捅 捆 捇 捈 捉 捊 捋 捍 捏 捐 捑 捒 捔 捕 捖 捗 捘 捙 捚 捛 捜 捝 捞 损 捠 捡 换 捣 捤 捥 捦 捧 捨 捩 捪 捬 捭 据 捰 捱 捲 捳 捴 捵 捶 捷 捸 捹 捺 捻 捼 捽 捾 捿 掀 掁 掂 掃 掄 掅 掆 掇 授 掉 掊 掋 掌 掎 掏 掐 掑 掓 掔 掕 掖 掗 掘 掙 掜 掝 掞 掟 掠 採 探 掣 掤 接 掦 控 推 掩 措 掫 掬 掭 掮 掯 掰 掱 掲 掳 掵 掶 掷 掸 掹 掺 掻 掼 掽 掾 掿 揀 揁 揂 揃 揄 揅 揆 揇 揈 揉 揊 揋 揌 揍 揎 描 提 揑 插 揓 揔 揕 揖 揗 揘 揙 揚 換 揜 揝 揞 揟 揠 握 揢 揣 揥 揦 揧 揨 揪 揫 揬 揭 揮 揯 揰 揱 揲 揳 援 揵 揸 揹 揺 揻 揼 揽 揾 揿</t>
        </is>
      </c>
      <c r="S171" s="40" t="n"/>
      <c r="V171" s="14">
        <f>(LEN(O171)+1)/2</f>
        <v/>
      </c>
      <c r="W171" s="14">
        <f>ROUNDDOWN((LEN(P171)+1)/2,0)</f>
        <v/>
      </c>
      <c r="X171" s="14">
        <f>ROUNDDOWN((LEN(Q171)+1)/2,0)</f>
        <v/>
      </c>
      <c r="Y171" s="14">
        <f>ROUNDDOWN((LEN(R171)+1)/2,0)</f>
        <v/>
      </c>
      <c r="Z171" s="14">
        <f>ROUNDDOWN((LEN(S171)+1)/2,0)</f>
        <v/>
      </c>
      <c r="AA171" s="56" t="n">
        <v>46150.55840976198</v>
      </c>
    </row>
    <row r="172" ht="102" customHeight="1">
      <c r="B172" s="46" t="inlineStr">
        <is>
          <t>U+6400-U+64FF</t>
        </is>
      </c>
      <c r="C172" s="46" t="inlineStr">
        <is>
          <t>CJK Unified Ideographs</t>
        </is>
      </c>
      <c r="D172" s="54">
        <f>HEX2DEC(MID(B172,3,FIND("-",E172)-3))</f>
        <v/>
      </c>
      <c r="E172" s="46" t="inlineStr">
        <is>
          <t>U+4E00-U+9FFF</t>
        </is>
      </c>
      <c r="F172" s="12" t="n">
        <v>3</v>
      </c>
      <c r="J172" s="19">
        <f>ROUNDDOWN(W172,0)/$V172</f>
        <v/>
      </c>
      <c r="K172" s="19">
        <f>ROUNDDOWN(X172,0)/$V172</f>
        <v/>
      </c>
      <c r="L172" s="19">
        <f>ROUNDDOWN(Y172,0)/$V172</f>
        <v/>
      </c>
      <c r="M172" s="19">
        <f>ROUNDDOWN(Z172,0)/$V172</f>
        <v/>
      </c>
      <c r="O172" s="36" t="inlineStr">
        <is>
          <t>搀 搁 搂 搃 搄 搅 搆 搇 搈 搉 搊 搋 搌 損 搎 搏 搐 搑 搒 搓 搔 搕 搖 搗 搘 搙 搚 搛 搜 搝 搞 搟 搠 搡 搢 搣 搤 搥 搦 搧 搨 搩 搪 搫 搬 搭 搮 搯 搰 搱 搲 搳 搴 搵 搶 搷 搸 搹 携 搻 搼 搽 搾 搿 摀 摁 摂 摃 摄 摅 摆 摇 摈 摉 摊 摋 摌 摍 摎 摏 摐 摑 摒 摓 摔 摕 摖 摗 摘 摙 摚 摛 摜 摝 摞 摟 摠 摡 摢 摣 摤 摥 摦 摧 摨 摩 摪 摫 摬 摭 摮 摯 摰 摱 摲 摳 摴 摵 摶 摷 摸 摹 摺 摻 摼 摽 摾 摿 撀 撁 撂 撃 撄 撅 撆 撇 撈 撉 撊 撋 撌 撍 撎 撏 撐 撑 撒 撓 撔 撕 撖 撗 撘 撙 撚 撛 撜 撝 撞 撟 撠 撡 撢 撣 撤 撥 撦 撧 撨 撩 撪 撫 撬 播 撮 撯 撰 撱 撲 撳 撴 撵 撶 撷 撸 撹 撺 撻 撼 撽 撾 撿 擀 擁 擂 擃 擄 擅 擆 擇 擈 擉 擊 擋 擌 操 擎 擏 擐 擑 擒 擓 擔 擕 擖 擗 擘 擙 據 擛 擜 擝 擞 擟 擠 擡 擢 擣 擤 擥 擦 擧 擨 擩 擪 擫 擬 擭 擮 擯 擰 擱 擲 擳 擴 擵 擶 擷 擸 擹 擺 擻 擼 擽 擾 擿</t>
        </is>
      </c>
      <c r="P172" s="37" t="inlineStr">
        <is>
          <t>搀 搁 搂 搃 搄 搅 搆 搇 搈 搉 搊 搋 搌 損 搎 搏 搐 搑 搒 搓 搔 搕 搖 搗 搘 搙 搚 搛 搜 搝 搞 搟 搠 搡 搢 搣 搤 搥 搦 搧 搨 搩 搪 搫 搬 搭 搮 搯 搰 搱 搲 搳 搴 搵 搶 搷 搸 搹 携 搻 搼 搽 搾 搿 摀 摁 摂 摃 摄 摅 摆 摇 摈 摉 摊 摋 摌 摍 摎 摏 摐 摑 摒 摓 摔 摕 摖 摗 摘 摙 摚 摛 摜 摝 摞 摟 摠 摡 摢 摣 摤 摥 摦 摧 摨 摩 摪 摫 摬 摭 摮 摯 摰 摱 摲 摳 摴 摵 摶 摷 摸 摹 摺 摻 摼 摽 摾 摿 撀 撁 撂 撃 撄 撅 撆 撇 撈 撉 撊 撋 撌 撍 撎 撏 撐 撑 撒 撓 撔 撕 撖 撗 撘 撙 撚 撛 撜 撝 撞 撟 撠 撡 撢 撣 撤 撥 撦 撧 撨 撩 撪 撫 撬 播 撮 撯 撰 撱 撲 撳 撴 撵 撶 撷 撸 撹 撺 撻 撼 撽 撾 撿 擀 擁 擂 擃 擄 擅 擆 擇 擈 擉 擊 擋 擌 操 擎 擏 擐 擑 擒 擓 擔 擕 擖 擗 擘 擙 據 擛 擜 擝 擞 擟 擠 擡 擢 擣 擤 擥 擦 擧 擨 擩 擪 擫 擬 擭 擮 擯 擰 擱 擲 擳 擴 擵 擶 擷 擸 擹 擺 擻 擼 擽 擾 擿</t>
        </is>
      </c>
      <c r="Q172" s="38" t="inlineStr">
        <is>
          <t>搀 搁 搂 搃 搄 搅 搆 搇 搈 搉 搊 搋 搌 損 搎 搏 搐 搑 搒 搓 搔 搕 搖 搗 搘 搙 搚 搛 搜 搝 搞 搟 搠 搡 搢 搣 搤 搥 搦 搧 搨 搩 搪 搫 搬 搭 搮 搯 搰 搱 搲 搳 搴 搵 搶 搷 搸 搹 携 搻 搼 搽 搾 搿 摀 摁 摂 摃 摄 摅 摆 摇 摈 摉 摊 摋 摌 摍 摎 摏 摐 摑 摒 摓 摔 摕 摖 摗 摘 摙 摚 摛 摜 摝 摞 摟 摠 摡 摢 摣 摤 摥 摦 摧 摨 摩 摪 摫 摬 摭 摮 摯 摰 摱 摲 摳 摴 摵 摶 摷 摸 摹 摺 摻 摼 摽 摾 摿 撀 撁 撂 撃 撄 撅 撆 撇 撈 撉 撊 撋 撌 撍 撎 撏 撐 撑 撒 撓 撔 撕 撖 撗 撘 撙 撚 撛 撜 撝 撞 撟 撠 撡 撢 撣 撤 撥 撦 撧 撨 撩 撪 撫 撬 播 撮 撯 撰 撱 撲 撳 撴 撵 撶 撷 撸 撹 撺 撻 撼 撽 撾 撿 擀 擁 擂 擃 擄 擅 擆 擇 擈 擉 擊 擋 擌 操 擎 擏 擐 擑 擒 擓 擔 擕 擖 擗 擘 擙 據 擛 擜 擝 擞 擟 擠 擡 擢 擣 擤 擥 擦 擧 擨 擩 擪 擫 擬 擭 擮 擯 擰 擱 擲 擳 擴 擵 擶 擷 擸 擹 擺 擻 擼 擽 擾 擿</t>
        </is>
      </c>
      <c r="R172" s="43" t="inlineStr">
        <is>
          <t>搀 搂 搃 搅 搆 搇 搈 搉 搊 搋 搌 損 搎 搏 搐 搑 搒 搓 搔 搕 搖 搗 搘 搙 搚 搛 搜 搝 搞 搟 搠 搡 搢 搣 搤 搥 搧 搨 搩 搪 搫 搬 搭 搮 搯 搰 搱 搲 搳 搴 搵 搶 搷 搸 搹 携 搻 搼 搽 搾 搿 摀 摁 摂 摃 摄 摅 摆 摈 摉 摊 摋 摌 摍 摎 摏 摐 摒 摓 摔 摕 摖 摗 摘 摙 摚 摛 摜 摝 摞 摟 摠 摢 摣 摤 摥 摦 摧 摨 摩 摪 摫 摬 摭 摮 摯 摰 摱 摲 摳 摴 摵 摶 摷 摸 摹 摺 摻 摼 摽 摾 摿 撀 撁 撂 撃 撄 撅 撆 撇 撈 撉 撊 撋 撌 撍 撎 撏 撐 撑 撒 撓 撔 撕 撖 撗 撘 撙 撚 撛 撜 撝 撞 撟 撠 撡 撢 撣 撤 撥 撦 撧 撨 撩 撪 撫 撬 播 撮 撯 撰 撱 撲 撳 撴 撵 撶 撷 撸 撹 撺 撻 撼 撽 撾 撿 擀 擁 擂 擃 擄 擅 擆 擇 擈 擉 擊 擋 擌 操 擎 擏 擐 擑 擒 擓 擔 擕 擖 擗 擘 擙 據 擛 擜 擝 擞 擟 擠 擡 擢 擣 擤 擥 擦 擧 擨 擩 擪 擫 擬 擭 擮 擯 擰 擱 擳 擴 擵 擶 擷 擸 擹 擺 擻 擼 擽 擾 擿</t>
        </is>
      </c>
      <c r="S172" s="40" t="n"/>
      <c r="V172" s="14">
        <f>(LEN(O172)+1)/2</f>
        <v/>
      </c>
      <c r="W172" s="14">
        <f>ROUNDDOWN((LEN(P172)+1)/2,0)</f>
        <v/>
      </c>
      <c r="X172" s="14">
        <f>ROUNDDOWN((LEN(Q172)+1)/2,0)</f>
        <v/>
      </c>
      <c r="Y172" s="14">
        <f>ROUNDDOWN((LEN(R172)+1)/2,0)</f>
        <v/>
      </c>
      <c r="Z172" s="14">
        <f>ROUNDDOWN((LEN(S172)+1)/2,0)</f>
        <v/>
      </c>
      <c r="AA172" s="56" t="n">
        <v>46150.5584125489</v>
      </c>
    </row>
    <row r="173" ht="102" customHeight="1">
      <c r="B173" s="46" t="inlineStr">
        <is>
          <t>U+6500-U+65FF</t>
        </is>
      </c>
      <c r="C173" s="46" t="inlineStr">
        <is>
          <t>CJK Unified Ideographs</t>
        </is>
      </c>
      <c r="D173" s="54">
        <f>HEX2DEC(MID(B173,3,FIND("-",E173)-3))</f>
        <v/>
      </c>
      <c r="E173" s="46" t="inlineStr">
        <is>
          <t>U+4E00-U+9FFF</t>
        </is>
      </c>
      <c r="F173" s="12" t="n">
        <v>3</v>
      </c>
      <c r="J173" s="19">
        <f>ROUNDDOWN(W173,0)/$V173</f>
        <v/>
      </c>
      <c r="K173" s="19">
        <f>ROUNDDOWN(X173,0)/$V173</f>
        <v/>
      </c>
      <c r="L173" s="19">
        <f>ROUNDDOWN(Y173,0)/$V173</f>
        <v/>
      </c>
      <c r="M173" s="19">
        <f>ROUNDDOWN(Z173,0)/$V173</f>
        <v/>
      </c>
      <c r="O173" s="36" t="inlineStr">
        <is>
          <t>攀 攁 攂 攃 攄 攅 攆 攇 攈 攉 攊 攋 攌 攍 攎 攏 攐 攑 攒 攓 攔 攕 攖 攗 攘 攙 攚 攛 攜 攝 攞 攟 攠 攡 攢 攣 攤 攥 攦 攧 攨 攩 攪 攫 攬 攭 攮 支 攰 攱 攲 攳 攴 攵 收 攷 攸 改 攺 攻 攼 攽 放 政 敀 敁 敂 敃 敄 故 敆 敇 效 敉 敊 敋 敌 敍 敎 敏 敐 救 敒 敓 敔 敕 敖 敗 敘 教 敚 敛 敜 敝 敞 敟 敠 敡 敢 散 敤 敥 敦 敧 敨 敩 敪 敫 敬 敭 敮 敯 数 敱 敲 敳 整 敵 敶 敷 數 敹 敺 敻 敼 敽 敾 敿 斀 斁 斂 斃 斄 斅 斆 文 斈 斉 斊 斋 斌 斍 斎 斏 斐 斑 斒 斓 斔 斕 斖 斗 斘 料 斚 斛 斜 斝 斞 斟 斠 斡 斢 斣 斤 斥 斦 斧 斨 斩 斪 斫 斬 断 斮 斯 新 斱 斲 斳 斴 斵 斶 斷 斸 方 斺 斻 於 施 斾 斿 旀 旁 旂 旃 旄 旅 旆 旇 旈 旉 旊 旋 旌 旍 旎 族 旐 旑 旒 旓 旔 旕 旖 旗 旘 旙 旚 旛 旜 旝 旞 旟 无 旡 既 旣 旤 日 旦 旧 旨 早 旪 旫 旬 旭 旮 旯 旰 旱 旲 旳 旴 旵 时 旷 旸 旹 旺 旻 旼 旽 旾 旿</t>
        </is>
      </c>
      <c r="P173" s="37" t="inlineStr">
        <is>
          <t>攀 攁 攂 攃 攄 攅 攆 攇 攈 攉 攊 攋 攌 攍 攎 攏 攐 攑 攒 攓 攔 攕 攖 攗 攘 攙 攚 攛 攜 攝 攞 攟 攠 攡 攢 攣 攤 攥 攦 攧 攨 攩 攪 攫 攬 攭 攮 支 攰 攱 攲 攳 攴 攵 收 攷 攸 改 攺 攻 攼 攽 放 政 敀 敁 敂 敃 敄 故 敆 敇 效 敉 敊 敋 敌 敍 敎 敏 敐 救 敒 敓 敔 敕 敖 敗 敘 教 敚 敛 敜 敝 敞 敟 敠 敡 敢 散 敤 敥 敦 敧 敨 敩 敪 敫 敬 敭 敮 敯 数 敱 敲 敳 整 敵 敶 敷 數 敹 敺 敻 敼 敽 敾 敿 斀 斁 斂 斃 斄 斅 斆 文 斈 斉 斊 斋 斌 斍 斎 斏 斐 斑 斒 斓 斔 斕 斖 斗 斘 料 斚 斛 斜 斝 斞 斟 斠 斡 斢 斣 斤 斥 斦 斧 斨 斩 斪 斫 斬 断 斮 斯 新 斱 斲 斳 斴 斵 斶 斷 斸 方 斺 斻 於 施 斾 斿 旀 旁 旂 旃 旄 旅 旆 旇 旈 旉 旊 旋 旌 旍 旎 族 旐 旑 旒 旓 旔 旕 旖 旗 旘 旙 旚 旛 旜 旝 旞 旟 无 旡 既 旣 旤 日 旦 旧 旨 早 旪 旫 旬 旭 旮 旯 旰 旱 旲 旳 旴 旵 时 旷 旸 旹 旺 旻 旼 旽 旾 旿</t>
        </is>
      </c>
      <c r="Q173" s="38" t="inlineStr">
        <is>
          <t>攀 攁 攂 攃 攄 攅 攆 攇 攈 攉 攊 攋 攌 攍 攎 攏 攐 攑 攒 攓 攔 攕 攖 攗 攘 攙 攚 攛 攜 攝 攞 攟 攠 攡 攢 攣 攤 攥 攦 攧 攨 攩 攪 攫 攬 攭 攮 支 攰 攱 攲 攳 攴 攵 收 攷 攸 改 攺 攻 攼 攽 放 政 敀 敁 敂 敃 敄 故 敆 敇 效 敉 敊 敋 敌 敍 敎 敏 敐 救 敒 敓 敔 敕 敖 敗 敘 教 敚 敛 敜 敝 敞 敟 敠 敡 敢 散 敤 敥 敦 敧 敨 敩 敪 敫 敬 敭 敮 敯 数 敱 敲 敳 整 敵 敶 敷 數 敹 敺 敻 敼 敽 敾 敿 斀 斁 斂 斃 斄 斅 斆 文 斈 斉 斊 斋 斌 斍 斎 斏 斐 斑 斒 斓 斔 斕 斖 斗 斘 料 斚 斛 斜 斝 斞 斟 斠 斡 斢 斣 斤 斥 斦 斧 斨 斩 斪 斫 斬 断 斮 斯 新 斱 斲 斳 斴 斵 斶 斷 斸 方 斺 斻 於 施 斾 斿 旀 旁 旂 旃 旄 旅 旆 旇 旈 旉 旊 旋 旌 旍 旎 族 旐 旑 旒 旓 旔 旕 旖 旗 旘 旙 旚 旛 旜 旝 旞 旟 无 旡 既 旣 旤 日 旦 旧 旨 早 旪 旫 旬 旭 旮 旯 旰 旱 旲 旳 旴 旵 时 旷 旸 旹 旺 旻 旼 旽 旾 旿</t>
        </is>
      </c>
      <c r="R173" s="43" t="inlineStr">
        <is>
          <t>攀 攁 攂 攃 攄 攅 攆 攇 攈 攉 攊 攋 攌 攍 攎 攐 攑 攒 攓 攔 攕 攖 攗 攘 攙 攚 攛 攜 攝 攞 攟 攠 攡 攢 攣 攤 攥 攦 攨 攩 攪 攫 攬 攭 攮 支 攰 攱 攲 攳 攴 攵 攷 改 攺 攻 攼 攽 放 政 敀 敁 敂 敃 敄 故 敆 敇 效 敉 敊 敋 敌 敍 敎 敏 敐 救 敒 敓 敔 敕 敖 敗 敘 教 敚 敛 敜 敝 敞 敟 敠 敡 敢 散 敤 敥 敦 敧 敨 敩 敪 敫 敬 敭 敮 敯 数 敱 敲 敳 整 敵 敶 敷 數 敹 敺 敻 敼 敽 敾 敿 斀 斁 斂 斃 斄 斅 斆 文 斈 斉 斊 斋 斌 斍 斎 斐 斑 斒 斓 斔 斕 斖 斗 斘 斚 斝 斠 斡 斢 斣 斤 斥 斦 斧 斨 斩 斪 斫 斬 断 斮 斯 新 斱 斲 斳 斴 斵 斶 斷 斸 方 斺 斻 於 施 斾 斿 旀 旁 旂 旃 旄 旅 旆 旇 旈 旉 旊 旋 旌 旍 旎 族 旐 旑 旒 旓 旔 旕 旖 旗 旘 旙 旚 旛 旜 旝 旞 旟 无 旡 既 旣 旤 日 旨 早 旪 旫 旬 旭 旮 旯 旱 旲 旳 旴 旵 旷 旸 旹 旺 旻 旼 旾 旿</t>
        </is>
      </c>
      <c r="S173" s="40" t="n"/>
      <c r="V173" s="14">
        <f>(LEN(O173)+1)/2</f>
        <v/>
      </c>
      <c r="W173" s="14">
        <f>ROUNDDOWN((LEN(P173)+1)/2,0)</f>
        <v/>
      </c>
      <c r="X173" s="14">
        <f>ROUNDDOWN((LEN(Q173)+1)/2,0)</f>
        <v/>
      </c>
      <c r="Y173" s="14">
        <f>ROUNDDOWN((LEN(R173)+1)/2,0)</f>
        <v/>
      </c>
      <c r="Z173" s="14">
        <f>ROUNDDOWN((LEN(S173)+1)/2,0)</f>
        <v/>
      </c>
      <c r="AA173" s="56" t="n">
        <v>46150.55841529305</v>
      </c>
    </row>
    <row r="174" ht="102" customHeight="1">
      <c r="B174" s="46" t="inlineStr">
        <is>
          <t>U+6600-U+66FF</t>
        </is>
      </c>
      <c r="C174" s="46" t="inlineStr">
        <is>
          <t>CJK Unified Ideographs</t>
        </is>
      </c>
      <c r="D174" s="54">
        <f>HEX2DEC(MID(B174,3,FIND("-",E174)-3))</f>
        <v/>
      </c>
      <c r="E174" s="46" t="inlineStr">
        <is>
          <t>U+4E00-U+9FFF</t>
        </is>
      </c>
      <c r="F174" s="12" t="n">
        <v>3</v>
      </c>
      <c r="J174" s="19">
        <f>ROUNDDOWN(W174,0)/$V174</f>
        <v/>
      </c>
      <c r="K174" s="19">
        <f>ROUNDDOWN(X174,0)/$V174</f>
        <v/>
      </c>
      <c r="L174" s="19">
        <f>ROUNDDOWN(Y174,0)/$V174</f>
        <v/>
      </c>
      <c r="M174" s="19">
        <f>ROUNDDOWN(Z174,0)/$V174</f>
        <v/>
      </c>
      <c r="O174" s="36" t="inlineStr">
        <is>
          <t>昀 昁 昂 昃 昄 昅 昆 昇 昈 昉 昊 昋 昌 昍 明 昏 昐 昑 昒 易 昔 昕 昖 昗 昘 昙 昚 昛 昜 昝 昞 星 映 昡 昢 昣 昤 春 昦 昧 昨 昩 昪 昫 昬 昭 昮 是 昰 昱 昲 昳 昴 昵 昶 昷 昸 昹 昺 昻 昼 昽 显 昿 晀 晁 時 晃 晄 晅 晆 晇 晈 晉 晊 晋 晌 晍 晎 晏 晐 晑 晒 晓 晔 晕 晖 晗 晘 晙 晚 晛 晜 晝 晞 晟 晠 晡 晢 晣 晤 晥 晦 晧 晨 晩 晪 晫 晬 晭 普 景 晰 晱 晲 晳 晴 晵 晶 晷 晸 晹 智 晻 晼 晽 晾 晿 暀 暁 暂 暃 暄 暅 暆 暇 暈 暉 暊 暋 暌 暍 暎 暏 暐 暑 暒 暓 暔 暕 暖 暗 暘 暙 暚 暛 暜 暝 暞 暟 暠 暡 暢 暣 暤 暥 暦 暧 暨 暩 暪 暫 暬 暭 暮 暯 暰 暱 暲 暳 暴 暵 暶 暷 暸 暹 暺 暻 暼 暽 暾 暿 曀 曁 曂 曃 曄 曅 曆 曇 曈 曉 曊 曋 曌 曍 曎 曏 曐 曑 曒 曓 曔 曕 曖 曗 曘 曙 曚 曛 曜 曝 曞 曟 曠 曡 曢 曣 曤 曥 曦 曧 曨 曩 曪 曫 曬 曭 曮 曯 曰 曱 曲 曳 更 曵 曶 曷 書 曹 曺 曻 曼 曽 曾 替</t>
        </is>
      </c>
      <c r="P174" s="37" t="inlineStr">
        <is>
          <t>昀 昁 昂 昃 昄 昅 昆 昇 昈 昉 昊 昋 昌 昍 明 昏 昐 昑 昒 易 昔 昕 昖 昗 昘 昙 昚 昛 昜 昝 昞 星 映 昡 昢 昣 昤 春 昦 昧 昨 昩 昪 昫 昬 昭 昮 是 昰 昱 昲 昳 昴 昵 昶 昷 昸 昹 昺 昻 昼 昽 显 昿 晀 晁 時 晃 晄 晅 晆 晇 晈 晉 晊 晋 晌 晍 晎 晏 晐 晑 晒 晓 晔 晕 晖 晗 晘 晙 晚 晛 晜 晝 晞 晟 晠 晡 晢 晣 晤 晥 晦 晧 晨 晩 晪 晫 晬 晭 普 景 晰 晱 晲 晳 晴 晵 晶 晷 晸 晹 智 晻 晼 晽 晾 晿 暀 暁 暂 暃 暄 暅 暆 暇 暈 暉 暊 暋 暌 暍 暎 暏 暐 暑 暒 暓 暔 暕 暖 暗 暘 暙 暚 暛 暜 暝 暞 暟 暠 暡 暢 暣 暤 暥 暦 暧 暨 暩 暪 暫 暬 暭 暮 暯 暰 暱 暲 暳 暴 暵 暶 暷 暸 暹 暺 暻 暼 暽 暾 暿 曀 曁 曂 曃 曄 曅 曆 曇 曈 曉 曊 曋 曌 曍 曎 曏 曐 曑 曒 曓 曔 曕 曖 曗 曘 曙 曚 曛 曜 曝 曞 曟 曠 曡 曢 曣 曤 曥 曦 曧 曨 曩 曪 曫 曬 曭 曮 曯 曰 曱 曲 曳 更 曵 曶 曷 書 曹 曺 曻 曼 曽 曾 替</t>
        </is>
      </c>
      <c r="Q174" s="38" t="inlineStr">
        <is>
          <t>昀 昁 昂 昃 昄 昅 昆 昇 昈 昉 昊 昋 昌 昍 明 昏 昐 昑 昒 易 昔 昕 昖 昗 昘 昙 昚 昛 昜 昝 昞 星 映 昡 昢 昣 昤 春 昦 昧 昨 昩 昪 昫 昬 昭 昮 是 昰 昱 昲 昳 昴 昵 昶 昷 昸 昹 昺 昻 昼 昽 显 昿 晀 晁 時 晃 晄 晅 晆 晇 晈 晉 晊 晋 晌 晍 晎 晏 晐 晑 晒 晓 晔 晕 晖 晗 晘 晙 晚 晛 晜 晝 晞 晟 晠 晡 晢 晣 晤 晥 晦 晧 晨 晩 晪 晫 晬 晭 普 景 晰 晱 晲 晳 晴 晵 晶 晷 晸 晹 智 晻 晼 晽 晾 晿 暀 暁 暂 暃 暄 暅 暆 暇 暈 暉 暊 暋 暌 暍 暎 暏 暐 暑 暒 暓 暔 暕 暖 暗 暘 暙 暚 暛 暜 暝 暞 暟 暠 暡 暢 暣 暤 暥 暦 暧 暨 暩 暪 暫 暬 暭 暮 暯 暰 暱 暲 暳 暴 暵 暶 暷 暸 暹 暺 暻 暼 暽 暾 暿 曀 曁 曂 曃 曄 曅 曆 曇 曈 曉 曊 曋 曌 曍 曎 曏 曐 曑 曒 曓 曔 曕 曖 曗 曘 曙 曚 曛 曜 曝 曞 曟 曠 曡 曢 曣 曤 曥 曦 曧 曨 曩 曪 曫 曬 曭 曮 曯 曰 曱 曲 曳 更 曵 曶 曷 書 曹 曺 曻 曼 曽 曾 替</t>
        </is>
      </c>
      <c r="R174" s="43" t="inlineStr">
        <is>
          <t>昀 昂 昃 昄 昅 昆 昇 昈 昉 昋 昌 明 昏 昐 昑 昒 易 昕 昖 昗 昘 昚 昜 昝 星 昣 昤 春 昦 昨 昩 昪 昫 昬 昭 昮 是 昱 昲 昳 昴 昵 昶 昷 昸 昹 昺 昻 昼 昽 显 昿 晁 時 晃 晄 晆 晈 晉 晊 晋 晎 晏 晑 晒 晓 晔 晕 晖 晗 晘 晙 晚 晛 晜 晝 晞 晟 晠 晢 晣 晥 晦 晨 晩 晪 晫 晭 普 景 晰 晱 晲 晳 晵 晶 晷 晸 晹 智 晻 晼 晽 暀 暁 暂 暃 暄 暆 暈 暊 暋 暍 暏 暑 暓 暖 暗 暘 暛 暜 暠 暡 暢 暣 暤 暦 暧 暨 暩 暫 暬 暮 暰 暴 暶 暸 暹 暼 暽 曁 曃 曅 曆 曇 曉 曊 曌 曏 曐 曑 曒 曓 曔 曕 曗 曛 曜 曝 曞 曟 曠 曡 曣 曤 曥 曧 曩 曫 曬 曭 曮 曯 曰 曱 曲 曳 更 曵 曶 曷 書 曹 曺 曻 曼 曽 曾 替</t>
        </is>
      </c>
      <c r="S174" s="40" t="n"/>
      <c r="V174" s="14">
        <f>(LEN(O174)+1)/2</f>
        <v/>
      </c>
      <c r="W174" s="14">
        <f>ROUNDDOWN((LEN(P174)+1)/2,0)</f>
        <v/>
      </c>
      <c r="X174" s="14">
        <f>ROUNDDOWN((LEN(Q174)+1)/2,0)</f>
        <v/>
      </c>
      <c r="Y174" s="14">
        <f>ROUNDDOWN((LEN(R174)+1)/2,0)</f>
        <v/>
      </c>
      <c r="Z174" s="14">
        <f>ROUNDDOWN((LEN(S174)+1)/2,0)</f>
        <v/>
      </c>
      <c r="AA174" s="56" t="n">
        <v>46150.55841830034</v>
      </c>
    </row>
    <row r="175" ht="102" customHeight="1">
      <c r="B175" s="46" t="inlineStr">
        <is>
          <t>U+6700-U+67FF</t>
        </is>
      </c>
      <c r="C175" s="46" t="inlineStr">
        <is>
          <t>CJK Unified Ideographs</t>
        </is>
      </c>
      <c r="D175" s="54">
        <f>HEX2DEC(MID(B175,3,FIND("-",E175)-3))</f>
        <v/>
      </c>
      <c r="E175" s="46" t="inlineStr">
        <is>
          <t>U+4E00-U+9FFF</t>
        </is>
      </c>
      <c r="F175" s="12" t="n">
        <v>3</v>
      </c>
      <c r="J175" s="19">
        <f>ROUNDDOWN(W175,0)/$V175</f>
        <v/>
      </c>
      <c r="K175" s="19">
        <f>ROUNDDOWN(X175,0)/$V175</f>
        <v/>
      </c>
      <c r="L175" s="19">
        <f>ROUNDDOWN(Y175,0)/$V175</f>
        <v/>
      </c>
      <c r="M175" s="19">
        <f>ROUNDDOWN(Z175,0)/$V175</f>
        <v/>
      </c>
      <c r="O175" s="36" t="inlineStr">
        <is>
          <t>最 朁 朂 會 朄 朅 朆 朇 月 有 朊 朋 朌 服 朎 朏 朐 朑 朒 朓 朔 朕 朖 朗 朘 朙 朚 望 朜 朝 朞 期 朠 朡 朢 朣 朤 朥 朦 朧 木 朩 未 末 本 札 朮 术 朰 朱 朲 朳 朴 朵 朶 朷 朸 朹 机 朻 朼 朽 朾 朿 杀 杁 杂 权 杄 杅 杆 杇 杈 杉 杊 杋 杌 杍 李 杏 材 村 杒 杓 杔 杕 杖 杗 杘 杙 杚 杛 杜 杝 杞 束 杠 条 杢 杣 杤 来 杦 杧 杨 杩 杪 杫 杬 杭 杮 杯 杰 東 杲 杳 杴 杵 杶 杷 杸 杹 杺 杻 杼 杽 松 板 枀 极 枂 枃 构 枅 枆 枇 枈 枉 枊 枋 枌 枍 枎 枏 析 枑 枒 枓 枔 枕 枖 林 枘 枙 枚 枛 果 枝 枞 枟 枠 枡 枢 枣 枤 枥 枦 枧 枨 枩 枪 枫 枬 枭 枮 枯 枰 枱 枲 枳 枴 枵 架 枷 枸 枹 枺 枻 枼 枽 枾 枿 柀 柁 柂 柃 柄 柅 柆 柇 柈 柉 柊 柋 柌 柍 柎 柏 某 柑 柒 染 柔 柕 柖 柗 柘 柙 柚 柛 柜 柝 柞 柟 柠 柡 柢 柣 柤 查 柦 柧 柨 柩 柪 柫 柬 柭 柮 柯 柰 柱 柲 柳 柴 柵 柶 柷 柸 柹 柺 査 柼 柽 柾 柿</t>
        </is>
      </c>
      <c r="P175" s="37" t="inlineStr">
        <is>
          <t>最 朁 朂 會 朄 朅 朆 朇 月 有 朊 朋 朌 服 朎 朏 朐 朑 朒 朓 朔 朕 朖 朗 朘 朙 朚 望 朜 朝 朞 期 朠 朡 朢 朣 朤 朥 朦 朧 木 朩 未 末 本 札 朮 术 朰 朱 朲 朳 朴 朵 朶 朷 朸 朹 机 朻 朼 朽 朾 朿 杀 杁 杂 权 杄 杅 杆 杇 杈 杉 杊 杋 杌 杍 李 杏 材 村 杒 杓 杔 杕 杖 杗 杘 杙 杚 杛 杜 杝 杞 束 杠 条 杢 杣 杤 来 杦 杧 杨 杩 杪 杫 杬 杭 杮 杯 杰 東 杲 杳 杴 杵 杶 杷 杸 杹 杺 杻 杼 杽 松 板 枀 极 枂 枃 构 枅 枆 枇 枈 枉 枊 枋 枌 枍 枎 枏 析 枑 枒 枓 枔 枕 枖 林 枘 枙 枚 枛 果 枝 枞 枟 枠 枡 枢 枣 枤 枥 枦 枧 枨 枩 枪 枫 枬 枭 枮 枯 枰 枱 枲 枳 枴 枵 架 枷 枸 枹 枺 枻 枼 枽 枾 枿 柀 柁 柂 柃 柄 柅 柆 柇 柈 柉 柊 柋 柌 柍 柎 柏 某 柑 柒 染 柔 柕 柖 柗 柘 柙 柚 柛 柜 柝 柞 柟 柠 柡 柢 柣 柤 查 柦 柧 柨 柩 柪 柫 柬 柭 柮 柯 柰 柱 柲 柳 柴 柵 柶 柷 柸 柹 柺 査 柼 柽 柾 柿</t>
        </is>
      </c>
      <c r="Q175" s="38" t="inlineStr">
        <is>
          <t>最 朁 朂 會 朄 朅 朆 朇 月 有 朊 朋 朌 服 朎 朏 朐 朑 朒 朓 朔 朕 朖 朗 朘 朙 朚 望 朜 朝 朞 期 朠 朡 朢 朣 朤 朥 朦 朧 木 朩 未 末 本 札 朮 术 朰 朱 朲 朳 朴 朵 朶 朷 朸 朹 机 朻 朼 朽 朾 朿 杀 杁 杂 权 杄 杅 杆 杇 杈 杉 杊 杋 杌 杍 李 杏 材 村 杒 杓 杔 杕 杖 杗 杘 杙 杚 杛 杜 杝 杞 束 杠 条 杢 杣 杤 来 杦 杧 杨 杩 杪 杫 杬 杭 杮 杯 杰 東 杲 杳 杴 杵 杶 杷 杸 杹 杺 杻 杼 杽 松 板 枀 极 枂 枃 构 枅 枆 枇 枈 枉 枊 枋 枌 枍 枎 枏 析 枑 枒 枓 枔 枕 枖 林 枘 枙 枚 枛 果 枝 枞 枟 枠 枡 枢 枣 枤 枥 枦 枧 枨 枩 枪 枫 枬 枭 枮 枯 枰 枱 枲 枳 枴 枵 架 枷 枸 枹 枺 枻 枼 枽 枾 枿 柀 柁 柂 柃 柄 柅 柆 柇 柈 柉 柊 柋 柌 柍 柎 柏 某 柑 柒 染 柔 柕 柖 柗 柘 柙 柚 柛 柜 柝 柞 柟 柠 柡 柢 柣 柤 查 柦 柧 柨 柩 柪 柫 柬 柭 柮 柯 柰 柱 柲 柳 柴 柵 柶 柷 柸 柹 柺 査 柼 柽 柾 柿</t>
        </is>
      </c>
      <c r="R175" s="43" t="inlineStr">
        <is>
          <t>最 朁 朂 會 朄 朅 朆 朇 月 有 朋 朌 朎 朐 朑 朔 朕 朗 朘 朙 朚 望 朜 朝 朞 期 朢 朣 朤 朥 木 朩 未 末 本 朮 术 朰 朱 朲 朵 朶 朷 朸 朹 机 朽 朾 朿 杀 杁 杂 权 杄 杅 杆 杇 杈 杋 杌 杍 李 杏 杒 杓 杔 杕 杖 杗 杘 杙 杚 杜 杝 束 杠 条 杢 杤 来 杦 杨 杩 杪 杫 杬 杭 杮 杯 杰 東 杲 杳 杴 杵 杶 杸 杹 杻 杼 杽 松 板 枀 极 枂 枃 构 枅 枆 枈 枉 枋 枌 枍 枎 枏 析 枑 枒 枓 枔 枕 枖 林 枙 枚 枛 果 枝 枞 枟 枠 枡 枢 枣 枤 枥 枦 枧 枨 枩 枪 枫 枬 枭 枰 枱 枲 枳 枴 枵 架 枸 枹 枺 枻 枼 枽 枾 枿 柀 柁 柂 柃 柄 柅 柆 柇 柈 柉 柊 柋 柍 柎 某 柒 染 柔 柕 柖 柗 柘 柝 柞 柟 柠 柡 柢 柣 柤 查 柦 柧 柨 柩 柪 柫 柬 柭 柯 柱 柲 柴 柵 柶 柷 柸 柹 柺 査 柼 柽 柾 柿</t>
        </is>
      </c>
      <c r="S175" s="40" t="n"/>
      <c r="V175" s="14">
        <f>(LEN(O175)+1)/2</f>
        <v/>
      </c>
      <c r="W175" s="14">
        <f>ROUNDDOWN((LEN(P175)+1)/2,0)</f>
        <v/>
      </c>
      <c r="X175" s="14">
        <f>ROUNDDOWN((LEN(Q175)+1)/2,0)</f>
        <v/>
      </c>
      <c r="Y175" s="14">
        <f>ROUNDDOWN((LEN(R175)+1)/2,0)</f>
        <v/>
      </c>
      <c r="Z175" s="14">
        <f>ROUNDDOWN((LEN(S175)+1)/2,0)</f>
        <v/>
      </c>
      <c r="AA175" s="56" t="n">
        <v>46150.55842130348</v>
      </c>
    </row>
    <row r="176" ht="102" customHeight="1">
      <c r="B176" s="46" t="inlineStr">
        <is>
          <t>U+6800-U+68FF</t>
        </is>
      </c>
      <c r="C176" s="46" t="inlineStr">
        <is>
          <t>CJK Unified Ideographs</t>
        </is>
      </c>
      <c r="D176" s="54">
        <f>HEX2DEC(MID(B176,3,FIND("-",E176)-3))</f>
        <v/>
      </c>
      <c r="E176" s="46" t="inlineStr">
        <is>
          <t>U+4E00-U+9FFF</t>
        </is>
      </c>
      <c r="F176" s="12" t="n">
        <v>3</v>
      </c>
      <c r="J176" s="19">
        <f>ROUNDDOWN(W176,0)/$V176</f>
        <v/>
      </c>
      <c r="K176" s="19">
        <f>ROUNDDOWN(X176,0)/$V176</f>
        <v/>
      </c>
      <c r="L176" s="19">
        <f>ROUNDDOWN(Y176,0)/$V176</f>
        <v/>
      </c>
      <c r="M176" s="19">
        <f>ROUNDDOWN(Z176,0)/$V176</f>
        <v/>
      </c>
      <c r="O176" s="36" t="inlineStr">
        <is>
          <t>栀 栁 栂 栃 栄 栅 栆 标 栈 栉 栊 栋 栌 栍 栎 栏 栐 树 栒 栓 栔 栕 栖 栗 栘 栙 栚 栛 栜 栝 栞 栟 栠 校 栢 栣 栤 栥 栦 栧 栨 栩 株 栫 栬 栭 栮 栯 栰 栱 栲 栳 栴 栵 栶 样 核 根 栺 栻 格 栽 栾 栿 桀 桁 桂 桃 桄 桅 框 桇 案 桉 桊 桋 桌 桍 桎 桏 桐 桑 桒 桓 桔 桕 桖 桗 桘 桙 桚 桛 桜 桝 桞 桟 桠 桡 桢 档 桤 桥 桦 桧 桨 桩 桪 桫 桬 桭 桮 桯 桰 桱 桲 桳 桴 桵 桶 桷 桸 桹 桺 桻 桼 桽 桾 桿 梀 梁 梂 梃 梄 梅 梆 梇 梈 梉 梊 梋 梌 梍 梎 梏 梐 梑 梒 梓 梔 梕 梖 梗 梘 梙 梚 梛 梜 條 梞 梟 梠 梡 梢 梣 梤 梥 梦 梧 梨 梩 梪 梫 梬 梭 梮 梯 械 梱 梲 梳 梴 梵 梶 梷 梸 梹 梺 梻 梼 梽 梾 梿 检 棁 棂 棃 棄 棅 棆 棇 棈 棉 棊 棋 棌 棍 棎 棏 棐 棑 棒 棓 棔 棕 棖 棗 棘 棙 棚 棛 棜 棝 棞 棟 棠 棡 棢 棣 棤 棥 棦 棧 棨 棩 棪 棫 棬 棭 森 棯 棰 棱 棲 棳 棴 棵 棶 棷 棸 棹 棺 棻 棼 棽 棾 棿</t>
        </is>
      </c>
      <c r="P176" s="37" t="inlineStr">
        <is>
          <t>栀 栁 栂 栃 栄 栅 栆 标 栈 栉 栊 栋 栌 栍 栎 栏 栐 树 栒 栓 栔 栕 栖 栗 栘 栙 栚 栛 栜 栝 栞 栟 栠 校 栢 栣 栤 栥 栦 栧 栨 栩 株 栫 栬 栭 栮 栯 栰 栱 栲 栳 栴 栵 栶 样 核 根 栺 栻 格 栽 栾 栿 桀 桁 桂 桃 桄 桅 框 桇 案 桉 桊 桋 桌 桍 桎 桏 桐 桑 桒 桓 桔 桕 桖 桗 桘 桙 桚 桛 桜 桝 桞 桟 桠 桡 桢 档 桤 桥 桦 桧 桨 桩 桪 桫 桬 桭 桮 桯 桰 桱 桲 桳 桴 桵 桶 桷 桸 桹 桺 桻 桼 桽 桾 桿 梀 梁 梂 梃 梄 梅 梆 梇 梈 梉 梊 梋 梌 梍 梎 梏 梐 梑 梒 梓 梔 梕 梖 梗 梘 梙 梚 梛 梜 條 梞 梟 梠 梡 梢 梣 梤 梥 梦 梧 梨 梩 梪 梫 梬 梭 梮 梯 械 梱 梲 梳 梴 梵 梶 梷 梸 梹 梺 梻 梼 梽 梾 梿 检 棁 棂 棃 棄 棅 棆 棇 棈 棉 棊 棋 棌 棍 棎 棏 棐 棑 棒 棓 棔 棕 棖 棗 棘 棙 棚 棛 棜 棝 棞 棟 棠 棡 棢 棣 棤 棥 棦 棧 棨 棩 棪 棫 棬 棭 森 棯 棰 棱 棲 棳 棴 棵 棶 棷 棸 棹 棺 棻 棼 棽 棾 棿</t>
        </is>
      </c>
      <c r="Q176" s="38" t="inlineStr">
        <is>
          <t>栀 栁 栂 栃 栄 栅 栆 标 栈 栉 栊 栋 栌 栍 栎 栏 栐 树 栒 栓 栔 栕 栖 栗 栘 栙 栚 栛 栜 栝 栞 栟 栠 校 栢 栣 栤 栥 栦 栧 栨 栩 株 栫 栬 栭 栮 栯 栰 栱 栲 栳 栴 栵 栶 样 核 根 栺 栻 格 栽 栾 栿 桀 桁 桂 桃 桄 桅 框 桇 案 桉 桊 桋 桌 桍 桎 桏 桐 桑 桒 桓 桔 桕 桖 桗 桘 桙 桚 桛 桜 桝 桞 桟 桠 桡 桢 档 桤 桥 桦 桧 桨 桩 桪 桫 桬 桭 桮 桯 桰 桱 桲 桳 桴 桵 桶 桷 桸 桹 桺 桻 桼 桽 桾 桿 梀 梁 梂 梃 梄 梅 梆 梇 梈 梉 梊 梋 梌 梍 梎 梏 梐 梑 梒 梓 梔 梕 梖 梗 梘 梙 梚 梛 梜 條 梞 梟 梠 梡 梢 梣 梤 梥 梦 梧 梨 梩 梪 梫 梬 梭 梮 梯 械 梱 梲 梳 梴 梵 梶 梷 梸 梹 梺 梻 梼 梽 梾 梿 检 棁 棂 棃 棄 棅 棆 棇 棈 棉 棊 棋 棌 棍 棎 棏 棐 棑 棒 棓 棔 棕 棖 棗 棘 棙 棚 棛 棜 棝 棞 棟 棠 棡 棢 棣 棤 棥 棦 棧 棨 棩 棪 棫 棬 棭 森 棯 棰 棱 棲 棳 棴 棵 棶 棷 棸 棹 棺 棻 棼 棽 棾 棿</t>
        </is>
      </c>
      <c r="R176" s="43" t="inlineStr">
        <is>
          <t>栀 栂 栃 栄 栅 栆 标 栈 栉 栊 栋 栌 栍 栎 栏 栐 栒 栓 栔 栖 栗 栙 栚 栛 栜 栝 栞 栟 栠 校 栢 栣 栤 栥 栦 栧 栨 株 栫 栬 栭 栮 栯 栰 栱 栲 栳 栴 栶 样 核 根 栻 格 栽 栾 栿 桀 桁 桂 桄 桅 桇 案 桉 桊 桋 桌 桍 桎 桏 桐 桑 桒 桓 桔 桖 桗 桙 桚 桛 桜 桟 桠 桡 档 桥 桦 桧 桨 桩 桪 桫 桬 桭 桮 桯 桰 桱 桲 桳 桴 桵 桶 桷 桸 桺 桻 桼 桽 桾 桿 梀 梁 梂 梃 梄 梅 梇 梈 梉 梊 梋 梌 梍 梏 梐 梑 梒 梓 梔 梕 梖 梗 梘 梙 梚 梜 條 梞 梟 梠 梡 梣 梤 梥 梦 梧 梨 梩 梪 梫 梬 梭 梮 梯 械 梱 梲 梳 梴 梵 梶 梷 梹 梺 梻 梼 梽 梾 梿 检 棁 棂 棃 棄 棅 棆 棇 棈 棉 棊 棋 棌 棎 棏 棐 棒 棓 棔 棕 棖 棗 棙 棚 棛 棜 棞 棟 棠 棡 棢 棣 棤 棥 棦 棨 棩 棪 棫 棬 棭 森 棯 棰 棱 棲 棳 棵 棶 棷 棸 棹 棺 棻 棼 棽 棾 棿</t>
        </is>
      </c>
      <c r="S176" s="40" t="n"/>
      <c r="V176" s="14">
        <f>(LEN(O176)+1)/2</f>
        <v/>
      </c>
      <c r="W176" s="14">
        <f>ROUNDDOWN((LEN(P176)+1)/2,0)</f>
        <v/>
      </c>
      <c r="X176" s="14">
        <f>ROUNDDOWN((LEN(Q176)+1)/2,0)</f>
        <v/>
      </c>
      <c r="Y176" s="14">
        <f>ROUNDDOWN((LEN(R176)+1)/2,0)</f>
        <v/>
      </c>
      <c r="Z176" s="14">
        <f>ROUNDDOWN((LEN(S176)+1)/2,0)</f>
        <v/>
      </c>
      <c r="AA176" s="56" t="n">
        <v>46150.5584245087</v>
      </c>
    </row>
    <row r="177" ht="102" customHeight="1">
      <c r="B177" s="46" t="inlineStr">
        <is>
          <t>U+6900-U+69FF</t>
        </is>
      </c>
      <c r="C177" s="46" t="inlineStr">
        <is>
          <t>CJK Unified Ideographs</t>
        </is>
      </c>
      <c r="D177" s="54">
        <f>HEX2DEC(MID(B177,3,FIND("-",E177)-3))</f>
        <v/>
      </c>
      <c r="E177" s="46" t="inlineStr">
        <is>
          <t>U+4E00-U+9FFF</t>
        </is>
      </c>
      <c r="F177" s="12" t="n">
        <v>3</v>
      </c>
      <c r="J177" s="19">
        <f>ROUNDDOWN(W177,0)/$V177</f>
        <v/>
      </c>
      <c r="K177" s="19">
        <f>ROUNDDOWN(X177,0)/$V177</f>
        <v/>
      </c>
      <c r="L177" s="19">
        <f>ROUNDDOWN(Y177,0)/$V177</f>
        <v/>
      </c>
      <c r="M177" s="19">
        <f>ROUNDDOWN(Z177,0)/$V177</f>
        <v/>
      </c>
      <c r="O177" s="36" t="inlineStr">
        <is>
          <t>椀 椁 椂 椃 椄 椅 椆 椇 椈 椉 椊 椋 椌 植 椎 椏 椐 椑 椒 椓 椔 椕 椖 椗 椘 椙 椚 椛 検 椝 椞 椟 椠 椡 椢 椣 椤 椥 椦 椧 椨 椩 椪 椫 椬 椭 椮 椯 椰 椱 椲 椳 椴 椵 椶 椷 椸 椹 椺 椻 椼 椽 椾 椿 楀 楁 楂 楃 楄 楅 楆 楇 楈 楉 楊 楋 楌 楍 楎 楏 楐 楑 楒 楓 楔 楕 楖 楗 楘 楙 楚 楛 楜 楝 楞 楟 楠 楡 楢 楣 楤 楥 楦 楧 楨 楩 楪 楫 楬 業 楮 楯 楰 楱 楲 楳 楴 極 楶 楷 楸 楹 楺 楻 楼 楽 楾 楿 榀 榁 概 榃 榄 榅 榆 榇 榈 榉 榊 榋 榌 榍 榎 榏 榐 榑 榒 榓 榔 榕 榖 榗 榘 榙 榚 榛 榜 榝 榞 榟 榠 榡 榢 榣 榤 榥 榦 榧 榨 榩 榪 榫 榬 榭 榮 榯 榰 榱 榲 榳 榴 榵 榶 榷 榸 榹 榺 榻 榼 榽 榾 榿 槀 槁 槂 槃 槄 槅 槆 槇 槈 槉 槊 構 槌 槍 槎 槏 槐 槑 槒 槓 槔 槕 槖 槗 様 槙 槚 槛 槜 槝 槞 槟 槠 槡 槢 槣 槤 槥 槦 槧 槨 槩 槪 槫 槬 槭 槮 槯 槰 槱 槲 槳 槴 槵 槶 槷 槸 槹 槺 槻 槼 槽 槾 槿</t>
        </is>
      </c>
      <c r="P177" s="37" t="inlineStr">
        <is>
          <t>椀 椁 椂 椃 椄 椅 椆 椇 椈 椉 椊 椋 椌 植 椎 椏 椐 椑 椒 椓 椔 椕 椖 椗 椘 椙 椚 椛 検 椝 椞 椟 椠 椡 椢 椣 椤 椥 椦 椧 椨 椩 椪 椫 椬 椭 椮 椯 椰 椱 椲 椳 椴 椵 椶 椷 椸 椹 椺 椻 椼 椽 椾 椿 楀 楁 楂 楃 楄 楅 楆 楇 楈 楉 楊 楋 楌 楍 楎 楏 楐 楑 楒 楓 楔 楕 楖 楗 楘 楙 楚 楛 楜 楝 楞 楟 楠 楡 楢 楣 楤 楥 楦 楧 楨 楩 楪 楫 楬 業 楮 楯 楰 楱 楲 楳 楴 極 楶 楷 楸 楹 楺 楻 楼 楽 楾 楿 榀 榁 概 榃 榄 榅 榆 榇 榈 榉 榊 榋 榌 榍 榎 榏 榐 榑 榒 榓 榔 榕 榖 榗 榘 榙 榚 榛 榜 榝 榞 榟 榠 榡 榢 榣 榤 榥 榦 榧 榨 榩 榪 榫 榬 榭 榮 榯 榰 榱 榲 榳 榴 榵 榶 榷 榸 榹 榺 榻 榼 榽 榾 榿 槀 槁 槂 槃 槄 槅 槆 槇 槈 槉 槊 構 槌 槍 槎 槏 槐 槑 槒 槓 槔 槕 槖 槗 様 槙 槚 槛 槜 槝 槞 槟 槠 槡 槢 槣 槤 槥 槦 槧 槨 槩 槪 槫 槬 槭 槮 槯 槰 槱 槲 槳 槴 槵 槶 槷 槸 槹 槺 槻 槼 槽 槾 槿</t>
        </is>
      </c>
      <c r="Q177" s="38" t="inlineStr">
        <is>
          <t>椀 椁 椂 椃 椄 椅 椆 椇 椈 椉 椊 椋 椌 植 椎 椏 椐 椑 椒 椓 椔 椕 椖 椗 椘 椙 椚 椛 検 椝 椞 椟 椠 椡 椢 椣 椤 椥 椦 椧 椨 椩 椪 椫 椬 椭 椮 椯 椰 椱 椲 椳 椴 椵 椶 椷 椸 椹 椺 椻 椼 椽 椾 椿 楀 楁 楂 楃 楄 楅 楆 楇 楈 楉 楊 楋 楌 楍 楎 楏 楐 楑 楒 楓 楔 楕 楖 楗 楘 楙 楚 楛 楜 楝 楞 楟 楠 楡 楢 楣 楤 楥 楦 楧 楨 楩 楪 楫 楬 業 楮 楯 楰 楱 楲 楳 楴 極 楶 楷 楸 楹 楺 楻 楼 楽 楾 楿 榀 榁 概 榃 榄 榅 榆 榇 榈 榉 榊 榋 榌 榍 榎 榏 榐 榑 榒 榓 榔 榕 榖 榗 榘 榙 榚 榛 榜 榝 榞 榟 榠 榡 榢 榣 榤 榥 榦 榧 榨 榩 榪 榫 榬 榭 榮 榯 榰 榱 榲 榳 榴 榵 榶 榷 榸 榹 榺 榻 榼 榽 榾 榿 槀 槁 槂 槃 槄 槅 槆 槇 槈 槉 槊 構 槌 槍 槎 槏 槐 槑 槒 槓 槔 槕 槖 槗 様 槙 槚 槛 槜 槝 槞 槟 槠 槡 槢 槣 槤 槥 槦 槧 槨 槩 槪 槫 槬 槭 槮 槯 槰 槱 槲 槳 槴 槵 槶 槷 槸 槹 槺 槻 槼 槽 槾 槿</t>
        </is>
      </c>
      <c r="R177" s="43" t="inlineStr">
        <is>
          <t>椀 椁 椂 椃 椄 椅 椆 椇 椈 椉 椊 椋 椌 植 椎 椏 椐 椑 椒 椓 椔 椕 椖 椗 椘 椙 椛 検 椝 椞 椟 椠 椢 椣 椤 椥 椦 椧 椨 椩 椪 椫 椬 椭 椮 椯 椱 椲 椳 椴 椵 椶 椷 椸 椹 椺 椻 椼 椽 椾 椿 楀 楁 楂 楃 楄 楅 楆 楇 楈 楉 楊 楋 楌 楍 楎 楏 楐 楑 楒 楓 楔 楕 楖 楗 楘 楙 楚 楛 楜 楝 楞 楟 楠 楡 楢 楣 楤 楥 楦 楧 楨 楩 楪 楫 楬 業 楮 楯 楰 楱 楲 楳 楴 極 楶 楸 楹 楺 楻 楼 楽 楾 楿 榀 榁 概 榃 榄 榅 榆 榇 榈 榉 榊 榋 榌 榍 榎 榏 榐 榑 榓 榕 榖 榗 榘 榙 榚 榛 榜 榝 榞 榟 榠 榡 榢 榣 榤 榥 榦 榧 榨 榩 榪 榫 榬 榭 榮 榯 榰 榱 榲 榳 榴 榵 榶 榷 榸 榹 榺 榻 榼 榽 榾 榿 槀 槁 槂 槃 槄 槅 槆 槈 槉 槊 構 槌 槍 槎 槏 槐 槑 槒 槓 槔 槕 槖 槗 様 槙 槚 槛 槜 槝 槞 槟 槠 槡 槢 槣 槤 槥 槦 槧 槩 槪 槫 槬 槭 槮 槯 槰 槱 槲 槳 槴 槵 槶 槷 槸 槹 槺 槻 槼 槽 槾 槿</t>
        </is>
      </c>
      <c r="S177" s="40" t="n"/>
      <c r="V177" s="14">
        <f>(LEN(O177)+1)/2</f>
        <v/>
      </c>
      <c r="W177" s="14">
        <f>ROUNDDOWN((LEN(P177)+1)/2,0)</f>
        <v/>
      </c>
      <c r="X177" s="14">
        <f>ROUNDDOWN((LEN(Q177)+1)/2,0)</f>
        <v/>
      </c>
      <c r="Y177" s="14">
        <f>ROUNDDOWN((LEN(R177)+1)/2,0)</f>
        <v/>
      </c>
      <c r="Z177" s="14">
        <f>ROUNDDOWN((LEN(S177)+1)/2,0)</f>
        <v/>
      </c>
      <c r="AA177" s="56" t="n">
        <v>46150.55842752486</v>
      </c>
    </row>
    <row r="178" ht="102" customHeight="1">
      <c r="B178" s="46" t="inlineStr">
        <is>
          <t>U+6A00-U+6AFF</t>
        </is>
      </c>
      <c r="C178" s="46" t="inlineStr">
        <is>
          <t>CJK Unified Ideographs</t>
        </is>
      </c>
      <c r="D178" s="54">
        <f>HEX2DEC(MID(B178,3,FIND("-",E178)-3))</f>
        <v/>
      </c>
      <c r="E178" s="46" t="inlineStr">
        <is>
          <t>U+4E00-U+9FFF</t>
        </is>
      </c>
      <c r="F178" s="12" t="n">
        <v>3</v>
      </c>
      <c r="J178" s="19">
        <f>ROUNDDOWN(W178,0)/$V178</f>
        <v/>
      </c>
      <c r="K178" s="19">
        <f>ROUNDDOWN(X178,0)/$V178</f>
        <v/>
      </c>
      <c r="L178" s="19">
        <f>ROUNDDOWN(Y178,0)/$V178</f>
        <v/>
      </c>
      <c r="M178" s="19">
        <f>ROUNDDOWN(Z178,0)/$V178</f>
        <v/>
      </c>
      <c r="O178" s="36" t="inlineStr">
        <is>
          <t>樀 樁 樂 樃 樄 樅 樆 樇 樈 樉 樊 樋 樌 樍 樎 樏 樐 樑 樒 樓 樔 樕 樖 樗 樘 標 樚 樛 樜 樝 樞 樟 樠 模 樢 樣 樤 樥 樦 樧 樨 権 横 樫 樬 樭 樮 樯 樰 樱 樲 樳 樴 樵 樶 樷 樸 樹 樺 樻 樼 樽 樾 樿 橀 橁 橂 橃 橄 橅 橆 橇 橈 橉 橊 橋 橌 橍 橎 橏 橐 橑 橒 橓 橔 橕 橖 橗 橘 橙 橚 橛 橜 橝 橞 機 橠 橡 橢 橣 橤 橥 橦 橧 橨 橩 橪 橫 橬 橭 橮 橯 橰 橱 橲 橳 橴 橵 橶 橷 橸 橹 橺 橻 橼 橽 橾 橿 檀 檁 檂 檃 檄 檅 檆 檇 檈 檉 檊 檋 檌 檍 檎 檏 檐 檑 檒 檓 檔 檕 檖 檗 檘 檙 檚 檛 檜 檝 檞 檟 檠 檡 檢 檣 檤 檥 檦 檧 檨 檩 檪 檫 檬 檭 檮 檯 檰 檱 檲 檳 檴 檵 檶 檷 檸 檹 檺 檻 檼 檽 檾 檿 櫀 櫁 櫂 櫃 櫄 櫅 櫆 櫇 櫈 櫉 櫊 櫋 櫌 櫍 櫎 櫏 櫐 櫑 櫒 櫓 櫔 櫕 櫖 櫗 櫘 櫙 櫚 櫛 櫜 櫝 櫞 櫟 櫠 櫡 櫢 櫣 櫤 櫥 櫦 櫧 櫨 櫩 櫪 櫫 櫬 櫭 櫮 櫯 櫰 櫱 櫲 櫳 櫴 櫵 櫶 櫷 櫸 櫹 櫺 櫻 櫼 櫽 櫾 櫿</t>
        </is>
      </c>
      <c r="P178" s="37" t="inlineStr">
        <is>
          <t>樀 樁 樂 樃 樄 樅 樆 樇 樈 樉 樊 樋 樌 樍 樎 樏 樐 樑 樒 樓 樔 樕 樖 樗 樘 標 樚 樛 樜 樝 樞 樟 樠 模 樢 樣 樤 樥 樦 樧 樨 権 横 樫 樬 樭 樮 樯 樰 樱 樲 樳 樴 樵 樶 樷 樸 樹 樺 樻 樼 樽 樾 樿 橀 橁 橂 橃 橄 橅 橆 橇 橈 橉 橊 橋 橌 橍 橎 橏 橐 橑 橒 橓 橔 橕 橖 橗 橘 橙 橚 橛 橜 橝 橞 機 橠 橡 橢 橣 橤 橥 橦 橧 橨 橩 橪 橫 橬 橭 橮 橯 橰 橱 橲 橳 橴 橵 橶 橷 橸 橹 橺 橻 橼 橽 橾 橿 檀 檁 檂 檃 檄 檅 檆 檇 檈 檉 檊 檋 檌 檍 檎 檏 檐 檑 檒 檓 檔 檕 檖 檗 檘 檙 檚 檛 檜 檝 檞 檟 檠 檡 檢 檣 檤 檥 檦 檧 檨 檩 檪 檫 檬 檭 檮 檯 檰 檱 檲 檳 檴 檵 檶 檷 檸 檹 檺 檻 檼 檽 檾 檿 櫀 櫁 櫂 櫃 櫄 櫅 櫆 櫇 櫈 櫉 櫊 櫋 櫌 櫍 櫎 櫏 櫐 櫑 櫒 櫓 櫔 櫕 櫖 櫗 櫘 櫙 櫚 櫛 櫜 櫝 櫞 櫟 櫠 櫡 櫢 櫣 櫤 櫥 櫦 櫧 櫨 櫩 櫪 櫫 櫬 櫭 櫮 櫯 櫰 櫱 櫲 櫳 櫴 櫵 櫶 櫷 櫸 櫹 櫺 櫻 櫼 櫽 櫾 櫿</t>
        </is>
      </c>
      <c r="Q178" s="38" t="inlineStr">
        <is>
          <t>樀 樁 樂 樃 樄 樅 樆 樇 樈 樉 樊 樋 樌 樍 樎 樏 樐 樑 樒 樓 樔 樕 樖 樗 樘 標 樚 樛 樜 樝 樞 樟 樠 模 樢 樣 樤 樥 樦 樧 樨 権 横 樫 樬 樭 樮 樯 樰 樱 樲 樳 樴 樵 樶 樷 樸 樹 樺 樻 樼 樽 樾 樿 橀 橁 橂 橃 橄 橅 橆 橇 橈 橉 橊 橋 橌 橍 橎 橏 橐 橑 橒 橓 橔 橕 橖 橗 橘 橙 橚 橛 橜 橝 橞 機 橠 橡 橢 橣 橤 橥 橦 橧 橨 橩 橪 橫 橬 橭 橮 橯 橰 橱 橲 橳 橴 橵 橶 橷 橸 橹 橺 橻 橼 橽 橾 橿 檀 檁 檂 檃 檄 檅 檆 檇 檈 檉 檊 檋 檌 檍 檎 檏 檐 檑 檒 檓 檔 檕 檖 檗 檘 檙 檚 檛 檜 檝 檞 檟 檠 檡 檢 檣 檤 檥 檦 檧 檨 檩 檪 檫 檬 檭 檮 檯 檰 檱 檲 檳 檴 檵 檶 檷 檸 檹 檺 檻 檼 檽 檾 檿 櫀 櫁 櫂 櫃 櫄 櫅 櫆 櫇 櫈 櫉 櫊 櫋 櫌 櫍 櫎 櫏 櫐 櫑 櫒 櫓 櫔 櫕 櫖 櫗 櫘 櫙 櫚 櫛 櫜 櫝 櫞 櫟 櫠 櫡 櫢 櫣 櫤 櫥 櫦 櫧 櫨 櫩 櫪 櫫 櫬 櫭 櫮 櫯 櫰 櫱 櫲 櫳 櫴 櫵 櫶 櫷 櫸 櫹 櫺 櫻 櫼 櫽 櫾 櫿</t>
        </is>
      </c>
      <c r="R178" s="43" t="inlineStr">
        <is>
          <t>樀 樁 樂 樃 樄 樅 樆 樇 樈 樉 樊 樋 樌 樍 樎 樏 樐 樑 樒 樓 樔 樕 樖 樗 樘 標 樚 樛 樜 樝 樞 樟 樠 模 樢 樣 樤 樥 樦 樧 樨 権 横 樫 樬 樭 樮 樯 樰 樱 樲 樳 樴 樵 樶 樷 樸 樹 樺 樻 樼 樽 樾 樿 橀 橁 橂 橃 橄 橅 橆 橇 橈 橉 橊 橋 橌 橍 橎 橏 橐 橑 橒 橓 橔 橕 橖 橗 橘 橙 橚 橛 橜 橝 橞 機 橠 橡 橢 橣 橤 橥 橦 橧 橨 橩 橪 橫 橬 橭 橮 橯 橰 橱 橲 橳 橴 橵 橶 橷 橸 橹 橺 橻 橼 橽 橾 橿 檀 檁 檂 檃 檄 檅 檆 檇 檈 檉 檊 檋 檌 檍 檎 檏 檐 檑 檒 檓 檔 檕 檖 檗 檘 檙 檚 檛 檜 檝 檞 檟 檠 檡 檢 檣 檤 檥 檧 檨 檩 檪 檫 檬 檭 檮 檯 檰 檱 檲 檳 檴 檵 檶 檷 檸 檹 檺 檻 檼 檽 檾 檿 櫀 櫁 櫂 櫃 櫄 櫅 櫆 櫇 櫈 櫉 櫊 櫋 櫌 櫍 櫎 櫏 櫐 櫑 櫒 櫓 櫔 櫕 櫖 櫗 櫘 櫙 櫚 櫛 櫜 櫝 櫞 櫟 櫠 櫡 櫢 櫣 櫤 櫥 櫦 櫧 櫨 櫩 櫪 櫫 櫬 櫭 櫮 櫯 櫰 櫱 櫲 櫴 櫵 櫶 櫷 櫸 櫹 櫺 櫻 櫼 櫽 櫾 櫿</t>
        </is>
      </c>
      <c r="S178" s="40" t="n"/>
      <c r="V178" s="14">
        <f>(LEN(O178)+1)/2</f>
        <v/>
      </c>
      <c r="W178" s="14">
        <f>ROUNDDOWN((LEN(P178)+1)/2,0)</f>
        <v/>
      </c>
      <c r="X178" s="14">
        <f>ROUNDDOWN((LEN(Q178)+1)/2,0)</f>
        <v/>
      </c>
      <c r="Y178" s="14">
        <f>ROUNDDOWN((LEN(R178)+1)/2,0)</f>
        <v/>
      </c>
      <c r="Z178" s="14">
        <f>ROUNDDOWN((LEN(S178)+1)/2,0)</f>
        <v/>
      </c>
      <c r="AA178" s="56" t="n">
        <v>46150.55843071263</v>
      </c>
    </row>
    <row r="179" ht="102" customHeight="1">
      <c r="B179" s="46" t="inlineStr">
        <is>
          <t>U+6B00-U+6BFF</t>
        </is>
      </c>
      <c r="C179" s="46" t="inlineStr">
        <is>
          <t>CJK Unified Ideographs</t>
        </is>
      </c>
      <c r="D179" s="54">
        <f>HEX2DEC(MID(B179,3,FIND("-",E179)-3))</f>
        <v/>
      </c>
      <c r="E179" s="46" t="inlineStr">
        <is>
          <t>U+4E00-U+9FFF</t>
        </is>
      </c>
      <c r="F179" s="12" t="n">
        <v>3</v>
      </c>
      <c r="J179" s="19">
        <f>ROUNDDOWN(W179,0)/$V179</f>
        <v/>
      </c>
      <c r="K179" s="19">
        <f>ROUNDDOWN(X179,0)/$V179</f>
        <v/>
      </c>
      <c r="L179" s="19">
        <f>ROUNDDOWN(Y179,0)/$V179</f>
        <v/>
      </c>
      <c r="M179" s="19">
        <f>ROUNDDOWN(Z179,0)/$V179</f>
        <v/>
      </c>
      <c r="O179" s="36" t="inlineStr">
        <is>
          <t>欀 欁 欂 欃 欄 欅 欆 欇 欈 欉 權 欋 欌 欍 欎 欏 欐 欑 欒 欓 欔 欕 欖 欗 欘 欙 欚 欛 欜 欝 欞 欟 欠 次 欢 欣 欤 欥 欦 欧 欨 欩 欪 欫 欬 欭 欮 欯 欰 欱 欲 欳 欴 欵 欶 欷 欸 欹 欺 欻 欼 欽 款 欿 歀 歁 歂 歃 歄 歅 歆 歇 歈 歉 歊 歋 歌 歍 歎 歏 歐 歑 歒 歓 歔 歕 歖 歗 歘 歙 歚 歛 歜 歝 歞 歟 歠 歡 止 正 此 步 武 歧 歨 歩 歪 歫 歬 歭 歮 歯 歰 歱 歲 歳 歴 歵 歶 歷 歸 歹 歺 死 歼 歽 歾 歿 殀 殁 殂 殃 殄 殅 殆 殇 殈 殉 殊 残 殌 殍 殎 殏 殐 殑 殒 殓 殔 殕 殖 殗 殘 殙 殚 殛 殜 殝 殞 殟 殠 殡 殢 殣 殤 殥 殦 殧 殨 殩 殪 殫 殬 殭 殮 殯 殰 殱 殲 殳 殴 段 殶 殷 殸 殹 殺 殻 殼 殽 殾 殿 毀 毁 毂 毃 毄 毅 毆 毇 毈 毉 毊 毋 毌 母 毎 每 毐 毑 毒 毓 比 毕 毖 毗 毘 毙 毚 毛 毜 毝 毞 毟 毠 毡 毢 毣 毤 毥 毦 毧 毨 毩 毪 毫 毬 毭 毮 毯 毰 毱 毲 毳 毴 毵 毶 毷 毸 毹 毺 毻 毼 毽 毾 毿</t>
        </is>
      </c>
      <c r="P179" s="37" t="inlineStr">
        <is>
          <t>欀 欁 欂 欃 欄 欅 欆 欇 欈 欉 權 欋 欌 欍 欎 欏 欐 欑 欒 欓 欔 欕 欖 欗 欘 欙 欚 欛 欜 欝 欞 欟 欠 次 欢 欣 欤 欥 欦 欧 欨 欩 欪 欫 欬 欭 欮 欯 欰 欱 欲 欳 欴 欵 欶 欷 欸 欹 欺 欻 欼 欽 款 欿 歀 歁 歂 歃 歄 歅 歆 歇 歈 歉 歊 歋 歌 歍 歎 歏 歐 歑 歒 歓 歔 歕 歖 歗 歘 歙 歚 歛 歜 歝 歞 歟 歠 歡 止 正 此 步 武 歧 歨 歩 歪 歫 歬 歭 歮 歯 歰 歱 歲 歳 歴 歵 歶 歷 歸 歹 歺 死 歼 歽 歾 歿 殀 殁 殂 殃 殄 殅 殆 殇 殈 殉 殊 残 殌 殍 殎 殏 殐 殑 殒 殓 殔 殕 殖 殗 殘 殙 殚 殛 殜 殝 殞 殟 殠 殡 殢 殣 殤 殥 殦 殧 殨 殩 殪 殫 殬 殭 殮 殯 殰 殱 殲 殳 殴 段 殶 殷 殸 殹 殺 殻 殼 殽 殾 殿 毀 毁 毂 毃 毄 毅 毆 毇 毈 毉 毊 毋 毌 母 毎 每 毐 毑 毒 毓 比 毕 毖 毗 毘 毙 毚 毛 毜 毝 毞 毟 毠 毡 毢 毣 毤 毥 毦 毧 毨 毩 毪 毫 毬 毭 毮 毯 毰 毱 毲 毳 毴 毵 毶 毷 毸 毹 毺 毻 毼 毽 毾 毿</t>
        </is>
      </c>
      <c r="Q179" s="38" t="inlineStr">
        <is>
          <t>欀 欁 欂 欃 欄 欅 欆 欇 欈 欉 權 欋 欌 欍 欎 欏 欐 欑 欒 欓 欔 欕 欖 欗 欘 欙 欚 欛 欜 欝 欞 欟 欠 次 欢 欣 欤 欥 欦 欧 欨 欩 欪 欫 欬 欭 欮 欯 欰 欱 欲 欳 欴 欵 欶 欷 欸 欹 欺 欻 欼 欽 款 欿 歀 歁 歂 歃 歄 歅 歆 歇 歈 歉 歊 歋 歌 歍 歎 歏 歐 歑 歒 歓 歔 歕 歖 歗 歘 歙 歚 歛 歜 歝 歞 歟 歠 歡 止 正 此 步 武 歧 歨 歩 歪 歫 歬 歭 歮 歯 歰 歱 歲 歳 歴 歵 歶 歷 歸 歹 歺 死 歼 歽 歾 歿 殀 殁 殂 殃 殄 殅 殆 殇 殈 殉 殊 残 殌 殍 殎 殏 殐 殑 殒 殓 殔 殕 殖 殗 殘 殙 殚 殛 殜 殝 殞 殟 殠 殡 殢 殣 殤 殥 殦 殧 殨 殩 殪 殫 殬 殭 殮 殯 殰 殱 殲 殳 殴 段 殶 殷 殸 殹 殺 殻 殼 殽 殾 殿 毀 毁 毂 毃 毄 毅 毆 毇 毈 毉 毊 毋 毌 母 毎 每 毐 毑 毒 毓 比 毕 毖 毗 毘 毙 毚 毛 毜 毝 毞 毟 毠 毡 毢 毣 毤 毥 毦 毧 毨 毩 毪 毫 毬 毭 毮 毯 毰 毱 毲 毳 毴 毵 毶 毷 毸 毹 毺 毻 毼 毽 毾 毿</t>
        </is>
      </c>
      <c r="R179" s="43" t="inlineStr">
        <is>
          <t>欀 欁 欂 欃 欄 欅 欆 欇 欈 欉 權 欋 欌 欍 欎 欏 欐 欑 欒 欓 欔 欕 欖 欗 欘 欙 欚 欛 欜 欝 欞 欟 欠 次 欢 欣 欤 欥 欦 欧 欨 欩 欪 欫 欬 欭 欮 欯 欰 欱 欲 欳 欴 欵 欶 欷 欸 欹 欺 欻 欼 欽 款 欿 歀 歁 歃 歄 歅 歆 歇 歈 歉 歊 歋 歌 歍 歎 歏 歐 歑 歓 歔 歕 歖 歗 歘 歙 歚 歛 歜 歝 歞 歟 歠 歡 止 正 步 武 歧 歨 歩 歪 歬 歭 歮 歯 歰 歱 歲 歳 歴 歶 歷 歸 歹 歺 死 歼 歽 歾 歿 殀 殁 殂 殃 殄 殅 殇 殈 殉 殊 残 殌 殍 殎 殏 殐 殑 殒 殓 殕 殖 殗 殘 殚 殛 殜 殟 殠 殡 殢 殣 殤 殥 殦 殧 殨 殩 殬 殭 殮 殱 殲 殳 殴 段 殶 殷 殸 殹 殺 殻 殼 殽 殾 殿 毀 毁 毂 毃 毄 毅 毆 毇 毉 毊 毋 毌 母 毎 每 毐 毑 毒 毓 毕 毖 毘 毙 毚 毛 毜 毝 毞 毟 毠 毡 毢 毣 毤 毥 毦 毧 毨 毩 毪 毫 毬 毭 毮 毯 毰 毱 毳 毴 毵 毶 毸 毹 毺 毼 毽 毾 毿</t>
        </is>
      </c>
      <c r="S179" s="40" t="n"/>
      <c r="V179" s="14">
        <f>(LEN(O179)+1)/2</f>
        <v/>
      </c>
      <c r="W179" s="14">
        <f>ROUNDDOWN((LEN(P179)+1)/2,0)</f>
        <v/>
      </c>
      <c r="X179" s="14">
        <f>ROUNDDOWN((LEN(Q179)+1)/2,0)</f>
        <v/>
      </c>
      <c r="Y179" s="14">
        <f>ROUNDDOWN((LEN(R179)+1)/2,0)</f>
        <v/>
      </c>
      <c r="Z179" s="14">
        <f>ROUNDDOWN((LEN(S179)+1)/2,0)</f>
        <v/>
      </c>
      <c r="AA179" s="56" t="n">
        <v>46150.55843373991</v>
      </c>
    </row>
    <row r="180" ht="102" customHeight="1">
      <c r="B180" s="46" t="inlineStr">
        <is>
          <t>U+6C00-U+6CFF</t>
        </is>
      </c>
      <c r="C180" s="46" t="inlineStr">
        <is>
          <t>CJK Unified Ideographs</t>
        </is>
      </c>
      <c r="D180" s="54">
        <f>HEX2DEC(MID(B180,3,FIND("-",E180)-3))</f>
        <v/>
      </c>
      <c r="E180" s="46" t="inlineStr">
        <is>
          <t>U+4E00-U+9FFF</t>
        </is>
      </c>
      <c r="F180" s="12" t="n">
        <v>3</v>
      </c>
      <c r="J180" s="19">
        <f>ROUNDDOWN(W180,0)/$V180</f>
        <v/>
      </c>
      <c r="K180" s="19">
        <f>ROUNDDOWN(X180,0)/$V180</f>
        <v/>
      </c>
      <c r="L180" s="19">
        <f>ROUNDDOWN(Y180,0)/$V180</f>
        <v/>
      </c>
      <c r="M180" s="19">
        <f>ROUNDDOWN(Z180,0)/$V180</f>
        <v/>
      </c>
      <c r="O180" s="36" t="inlineStr">
        <is>
          <t>氀 氁 氂 氃 氄 氅 氆 氇 氈 氉 氊 氋 氌 氍 氎 氏 氐 民 氒 氓 气 氕 氖 気 氘 氙 氚 氛 氜 氝 氞 氟 氠 氡 氢 氣 氤 氥 氦 氧 氨 氩 氪 氫 氬 氭 氮 氯 氰 氱 氲 氳 水 氵 氶 氷 永 氹 氺 氻 氼 氽 氾 氿 汀 汁 求 汃 汄 汅 汆 汇 汈 汉 汊 汋 汌 汍 汎 汏 汐 汑 汒 汓 汔 汕 汖 汗 汘 汙 汚 汛 汜 汝 汞 江 池 污 汢 汣 汤 汥 汦 汧 汨 汩 汪 汫 汬 汭 汮 汯 汰 汱 汲 汳 汴 汵 汶 汷 汸 汹 決 汻 汼 汽 汾 汿 沀 沁 沂 沃 沄 沅 沆 沇 沈 沉 沊 沋 沌 沍 沎 沏 沐 沑 沒 沓 沔 沕 沖 沗 沘 沙 沚 沛 沜 沝 沞 沟 沠 没 沢 沣 沤 沥 沦 沧 沨 沩 沪 沫 沬 沭 沮 沯 沰 沱 沲 河 沴 沵 沶 沷 沸 油 沺 治 沼 沽 沾 沿 泀 況 泂 泃 泄 泅 泆 泇 泈 泉 泊 泋 泌 泍 泎 泏 泐 泑 泒 泓 泔 法 泖 泗 泘 泙 泚 泛 泜 泝 泞 泟 泠 泡 波 泣 泤 泥 泦 泧 注 泩 泪 泫 泬 泭 泮 泯 泰 泱 泲 泳 泴 泵 泶 泷 泸 泹 泺 泻 泼 泽 泾 泿</t>
        </is>
      </c>
      <c r="P180" s="37" t="inlineStr">
        <is>
          <t>氀 氁 氂 氃 氄 氅 氆 氇 氈 氉 氊 氋 氌 氍 氎 氏 氐 民 氒 氓 气 氕 氖 気 氘 氙 氚 氛 氜 氝 氞 氟 氠 氡 氢 氣 氤 氥 氦 氧 氨 氩 氪 氫 氬 氭 氮 氯 氰 氱 氲 氳 水 氵 氶 氷 永 氹 氺 氻 氼 氽 氾 氿 汀 汁 求 汃 汄 汅 汆 汇 汈 汉 汊 汋 汌 汍 汎 汏 汐 汑 汒 汓 汔 汕 汖 汗 汘 汙 汚 汛 汜 汝 汞 江 池 污 汢 汣 汤 汥 汦 汧 汨 汩 汪 汫 汬 汭 汮 汯 汰 汱 汲 汳 汴 汵 汶 汷 汸 汹 決 汻 汼 汽 汾 汿 沀 沁 沂 沃 沄 沅 沆 沇 沈 沉 沊 沋 沌 沍 沎 沏 沐 沑 沒 沓 沔 沕 沖 沗 沘 沙 沚 沛 沜 沝 沞 沟 沠 没 沢 沣 沤 沥 沦 沧 沨 沩 沪 沫 沬 沭 沮 沯 沰 沱 沲 河 沴 沵 沶 沷 沸 油 沺 治 沼 沽 沾 沿 泀 況 泂 泃 泄 泅 泆 泇 泈 泉 泊 泋 泌 泍 泎 泏 泐 泑 泒 泓 泔 法 泖 泗 泘 泙 泚 泛 泜 泝 泞 泟 泠 泡 波 泣 泤 泥 泦 泧 注 泩 泪 泫 泬 泭 泮 泯 泰 泱 泲 泳 泴 泵 泶 泷 泸 泹 泺 泻 泼 泽 泾 泿</t>
        </is>
      </c>
      <c r="Q180" s="38" t="inlineStr">
        <is>
          <t>氀 氁 氂 氃 氄 氅 氆 氇 氈 氉 氊 氋 氌 氍 氎 氏 氐 民 氒 氓 气 氕 氖 気 氘 氙 氚 氛 氜 氝 氞 氟 氠 氡 氢 氣 氤 氥 氦 氧 氨 氩 氪 氫 氬 氭 氮 氯 氰 氱 氲 氳 水 氵 氶 氷 永 氹 氺 氻 氼 氽 氾 氿 汀 汁 求 汃 汄 汅 汆 汇 汈 汉 汊 汋 汌 汍 汎 汏 汐 汑 汒 汓 汔 汕 汖 汗 汘 汙 汚 汛 汜 汝 汞 江 池 污 汢 汣 汤 汥 汦 汧 汨 汩 汪 汫 汬 汭 汮 汯 汰 汱 汲 汳 汴 汵 汶 汷 汸 汹 決 汻 汼 汽 汾 汿 沀 沁 沂 沃 沄 沅 沆 沇 沈 沉 沊 沋 沌 沍 沎 沏 沐 沑 沒 沓 沔 沕 沖 沗 沘 沙 沚 沛 沜 沝 沞 沟 沠 没 沢 沣 沤 沥 沦 沧 沨 沩 沪 沫 沬 沭 沮 沯 沰 沱 沲 河 沴 沵 沶 沷 沸 油 沺 治 沼 沽 沾 沿 泀 況 泂 泃 泄 泅 泆 泇 泈 泉 泊 泋 泌 泍 泎 泏 泐 泑 泒 泓 泔 法 泖 泗 泘 泙 泚 泛 泜 泝 泞 泟 泠 泡 波 泣 泤 泥 泦 泧 注 泩 泪 泫 泬 泭 泮 泯 泰 泱 泲 泳 泴 泵 泶 泷 泸 泹 泺 泻 泼 泽 泾 泿</t>
        </is>
      </c>
      <c r="R180" s="43" t="inlineStr">
        <is>
          <t>氀 氁 氂 氅 氆 氇 氉 氊 氋 氌 氍 氎 氏 氐 民 氒 气 氕 氖 気 氘 氙 氚 氛 氜 氝 氞 氟 氠 氡 氢 氣 氤 氥 氦 氧 氨 氩 氪 氫 氬 氭 氮 氯 氰 氱 氲 氳 水 氵 氶 氷 永 氹 氺 氻 氼 氽 氿 求 汄 汅 汆 汈 汉 汊 汋 汍 汎 汏 汑 汒 汓 汖 汗 汘 汚 汝 汞 江 池 汢 汣 汤 汥 汧 汪 汫 汬 汮 汯 汰 汱 汲 汳 汴 汵 汶 汷 汸 決 汻 汽 汾 沀 沂 沃 沅 沆 沇 沈 沉 沊 沋 沌 沍 沎 沏 沐 沑 沒 沓 沔 沗 沚 沛 沜 沝 沞 沠 没 沢 沣 沥 沧 沨 沩 沪 沫 沬 沭 沮 沯 沰 沱 沲 沶 沷 沸 沽 泀 況 泃 泄 泆 泈 泉 泋 泌 泍 泏 泑 泒 法 泙 泚 泛 泝 泞 泟 泡 波 泣 泥 泦 注 泩 泭 泮 泰 泱 泲 泳 泴 泵 泶 泷 泸 泹 泺 泻 泼</t>
        </is>
      </c>
      <c r="S180" s="40" t="n"/>
      <c r="V180" s="14">
        <f>(LEN(O180)+1)/2</f>
        <v/>
      </c>
      <c r="W180" s="14">
        <f>ROUNDDOWN((LEN(P180)+1)/2,0)</f>
        <v/>
      </c>
      <c r="X180" s="14">
        <f>ROUNDDOWN((LEN(Q180)+1)/2,0)</f>
        <v/>
      </c>
      <c r="Y180" s="14">
        <f>ROUNDDOWN((LEN(R180)+1)/2,0)</f>
        <v/>
      </c>
      <c r="Z180" s="14">
        <f>ROUNDDOWN((LEN(S180)+1)/2,0)</f>
        <v/>
      </c>
      <c r="AA180" s="56" t="n">
        <v>46150.55843678943</v>
      </c>
    </row>
    <row r="181" ht="102" customHeight="1">
      <c r="B181" s="46" t="inlineStr">
        <is>
          <t>U+6D00-U+6DFF</t>
        </is>
      </c>
      <c r="C181" s="46" t="inlineStr">
        <is>
          <t>CJK Unified Ideographs</t>
        </is>
      </c>
      <c r="D181" s="54">
        <f>HEX2DEC(MID(B181,3,FIND("-",E181)-3))</f>
        <v/>
      </c>
      <c r="E181" s="46" t="inlineStr">
        <is>
          <t>U+4E00-U+9FFF</t>
        </is>
      </c>
      <c r="F181" s="12" t="n">
        <v>3</v>
      </c>
      <c r="J181" s="19">
        <f>ROUNDDOWN(W181,0)/$V181</f>
        <v/>
      </c>
      <c r="K181" s="19">
        <f>ROUNDDOWN(X181,0)/$V181</f>
        <v/>
      </c>
      <c r="L181" s="19">
        <f>ROUNDDOWN(Y181,0)/$V181</f>
        <v/>
      </c>
      <c r="M181" s="19">
        <f>ROUNDDOWN(Z181,0)/$V181</f>
        <v/>
      </c>
      <c r="O181" s="36" t="inlineStr">
        <is>
          <t>洀 洁 洂 洃 洄 洅 洆 洇 洈 洉 洊 洋 洌 洍 洎 洏 洐 洑 洒 洓 洔 洕 洖 洗 洘 洙 洚 洛 洜 洝 洞 洟 洠 洡 洢 洣 洤 津 洦 洧 洨 洩 洪 洫 洬 洭 洮 洯 洰 洱 洲 洳 洴 洵 洶 洷 洸 洹 洺 活 洼 洽 派 洿 浀 流 浂 浃 浄 浅 浆 浇 浈 浉 浊 测 浌 浍 济 浏 浐 浑 浒 浓 浔 浕 浖 浗 浘 浙 浚 浛 浜 浝 浞 浟 浠 浡 浢 浣 浤 浥 浦 浧 浨 浩 浪 浫 浬 浭 浮 浯 浰 浱 浲 浳 浴 浵 浶 海 浸 浹 浺 浻 浼 浽 浾 浿 涀 涁 涂 涃 涄 涅 涆 涇 消 涉 涊 涋 涌 涍 涎 涏 涐 涑 涒 涓 涔 涕 涖 涗 涘 涙 涚 涛 涜 涝 涞 涟 涠 涡 涢 涣 涤 涥 润 涧 涨 涩 涪 涫 涬 涭 涮 涯 涰 涱 液 涳 涴 涵 涶 涷 涸 涹 涺 涻 涼 涽 涾 涿 淀 淁 淂 淃 淄 淅 淆 淇 淈 淉 淊 淋 淌 淍 淎 淏 淐 淑 淒 淓 淔 淕 淖 淗 淘 淙 淚 淛 淜 淝 淞 淟 淠 淡 淢 淣 淤 淥 淦 淧 淨 淩 淪 淫 淬 淭 淮 淯 淰 深 淲 淳 淴 淵 淶 混 淸 淹 淺 添 淼 淽 淾 淿</t>
        </is>
      </c>
      <c r="P181" s="37" t="inlineStr">
        <is>
          <t>洀 洁 洂 洃 洄 洅 洆 洇 洈 洉 洊 洋 洌 洍 洎 洏 洐 洑 洒 洓 洔 洕 洖 洗 洘 洙 洚 洛 洜 洝 洞 洟 洠 洡 洢 洣 洤 津 洦 洧 洨 洩 洪 洫 洬 洭 洮 洯 洰 洱 洲 洳 洴 洵 洶 洷 洸 洹 洺 活 洼 洽 派 洿 浀 流 浂 浃 浄 浅 浆 浇 浈 浉 浊 测 浌 浍 济 浏 浐 浑 浒 浓 浔 浕 浖 浗 浘 浙 浚 浛 浜 浝 浞 浟 浠 浡 浢 浣 浤 浥 浦 浧 浨 浩 浪 浫 浬 浭 浮 浯 浰 浱 浲 浳 浴 浵 浶 海 浸 浹 浺 浻 浼 浽 浾 浿 涀 涁 涂 涃 涄 涅 涆 涇 消 涉 涊 涋 涌 涍 涎 涏 涐 涑 涒 涓 涔 涕 涖 涗 涘 涙 涚 涛 涜 涝 涞 涟 涠 涡 涢 涣 涤 涥 润 涧 涨 涩 涪 涫 涬 涭 涮 涯 涰 涱 液 涳 涴 涵 涶 涷 涸 涹 涺 涻 涼 涽 涾 涿 淀 淁 淂 淃 淄 淅 淆 淇 淈 淉 淊 淋 淌 淍 淎 淏 淐 淑 淒 淓 淔 淕 淖 淗 淘 淙 淚 淛 淜 淝 淞 淟 淠 淡 淢 淣 淤 淥 淦 淧 淨 淩 淪 淫 淬 淭 淮 淯 淰 深 淲 淳 淴 淵 淶 混 淸 淹 淺 添 淼 淽 淾 淿</t>
        </is>
      </c>
      <c r="Q181" s="38" t="inlineStr">
        <is>
          <t>洀 洁 洂 洃 洄 洅 洆 洇 洈 洉 洊 洋 洌 洍 洎 洏 洐 洑 洒 洓 洔 洕 洖 洗 洘 洙 洚 洛 洜 洝 洞 洟 洠 洡 洢 洣 洤 津 洦 洧 洨 洩 洪 洫 洬 洭 洮 洯 洰 洱 洲 洳 洴 洵 洶 洷 洸 洹 洺 活 洼 洽 派 洿 浀 流 浂 浃 浄 浅 浆 浇 浈 浉 浊 测 浌 浍 济 浏 浐 浑 浒 浓 浔 浕 浖 浗 浘 浙 浚 浛 浜 浝 浞 浟 浠 浡 浢 浣 浤 浥 浦 浧 浨 浩 浪 浫 浬 浭 浮 浯 浰 浱 浲 浳 浴 浵 浶 海 浸 浹 浺 浻 浼 浽 浾 浿 涀 涁 涂 涃 涄 涅 涆 涇 消 涉 涊 涋 涌 涍 涎 涏 涐 涑 涒 涓 涔 涕 涖 涗 涘 涙 涚 涛 涜 涝 涞 涟 涠 涡 涢 涣 涤 涥 润 涧 涨 涩 涪 涫 涬 涭 涮 涯 涰 涱 液 涳 涴 涵 涶 涷 涸 涹 涺 涻 涼 涽 涾 涿 淀 淁 淂 淃 淄 淅 淆 淇 淈 淉 淊 淋 淌 淍 淎 淏 淐 淑 淒 淓 淔 淕 淖 淗 淘 淙 淚 淛 淜 淝 淞 淟 淠 淡 淢 淣 淤 淥 淦 淧 淨 淩 淪 淫 淬 淭 淮 淯 淰 深 淲 淳 淴 淵 淶 混 淸 淹 淺 添 淼 淽 淾 淿</t>
        </is>
      </c>
      <c r="R181" s="43" t="inlineStr">
        <is>
          <t>洀 洁 洂 洃 洅 洆 洈 洉 洊 洏 洐 洑 洒 洓 洕 洖 洗 洘 洙 洛 洜 洝 洟 洠 洡 洢 洣 津 洦 洧 洨 洩 洪 洫 洬 洯 洱 洲 洴 洶 洷 洸 洹 洺 派 洿 流 浂 浃 浄 浆 浇 浈 浉 浊 浌 浏 浐 浑 浒 浓 浔 浕 浗 浘 浙 浚 浜 浝 浞 浟 浠 浡 浢 浣 浤 浦 浧 浨 浩 浫 浬 浭 浮 浱 浳 浵 浶 海 浹 浼 浽 浾 浿 涀 涁 涂 涄 涅 涊 涍 涎 涏 涐 涑 涒 涔 涕 涖 涘 涙 涚 涛 涜 涝 涞 涟 涢 涣 涥 涨 涫 涬 涯 涰 涱 涴 涶 涷 涺 涼 涿 淀 淂 淃 淅 淆 淇 淈 淉 淊 淋 淍 淏 淑 淓 淔 淖 淙 淚 淛 淜 淞 淟 淠 淡 淢 淣 淤 淦 淧 淨 淩 淪 淫 淭 淮 淰 深 淲 淳 淴 淵 淶 淺 淼 淽 淾 淿</t>
        </is>
      </c>
      <c r="S181" s="40" t="n"/>
      <c r="V181" s="14">
        <f>(LEN(O181)+1)/2</f>
        <v/>
      </c>
      <c r="W181" s="14">
        <f>ROUNDDOWN((LEN(P181)+1)/2,0)</f>
        <v/>
      </c>
      <c r="X181" s="14">
        <f>ROUNDDOWN((LEN(Q181)+1)/2,0)</f>
        <v/>
      </c>
      <c r="Y181" s="14">
        <f>ROUNDDOWN((LEN(R181)+1)/2,0)</f>
        <v/>
      </c>
      <c r="Z181" s="14">
        <f>ROUNDDOWN((LEN(S181)+1)/2,0)</f>
        <v/>
      </c>
      <c r="AA181" s="56" t="n">
        <v>46150.55843965019</v>
      </c>
    </row>
    <row r="182" ht="102" customHeight="1">
      <c r="B182" s="46" t="inlineStr">
        <is>
          <t>U+6E00-U+6EFF</t>
        </is>
      </c>
      <c r="C182" s="46" t="inlineStr">
        <is>
          <t>CJK Unified Ideographs</t>
        </is>
      </c>
      <c r="D182" s="54">
        <f>HEX2DEC(MID(B182,3,FIND("-",E182)-3))</f>
        <v/>
      </c>
      <c r="E182" s="46" t="inlineStr">
        <is>
          <t>U+4E00-U+9FFF</t>
        </is>
      </c>
      <c r="F182" s="12" t="n">
        <v>3</v>
      </c>
      <c r="J182" s="19">
        <f>ROUNDDOWN(W182,0)/$V182</f>
        <v/>
      </c>
      <c r="K182" s="19">
        <f>ROUNDDOWN(X182,0)/$V182</f>
        <v/>
      </c>
      <c r="L182" s="19">
        <f>ROUNDDOWN(Y182,0)/$V182</f>
        <v/>
      </c>
      <c r="M182" s="19">
        <f>ROUNDDOWN(Z182,0)/$V182</f>
        <v/>
      </c>
      <c r="O182" s="36" t="inlineStr">
        <is>
          <t>渀 渁 渂 渃 渄 清 渆 渇 済 渉 渊 渋 渌 渍 渎 渏 渐 渑 渒 渓 渔 渕 渖 渗 渘 渙 渚 減 渜 渝 渞 渟 渠 渡 渢 渣 渤 渥 渦 渧 渨 温 渪 渫 測 渭 渮 港 渰 渱 渲 渳 渴 渵 渶 渷 游 渹 渺 渻 渼 渽 渾 渿 湀 湁 湂 湃 湄 湅 湆 湇 湈 湉 湊 湋 湌 湍 湎 湏 湐 湑 湒 湓 湔 湕 湖 湗 湘 湙 湚 湛 湜 湝 湞 湟 湠 湡 湢 湣 湤 湥 湦 湧 湨 湩 湪 湫 湬 湭 湮 湯 湰 湱 湲 湳 湴 湵 湶 湷 湸 湹 湺 湻 湼 湽 湾 湿 満 溁 溂 溃 溄 溅 溆 溇 溈 溉 溊 溋 溌 溍 溎 溏 源 溑 溒 溓 溔 溕 準 溗 溘 溙 溚 溛 溜 溝 溞 溟 溠 溡 溢 溣 溤 溥 溦 溧 溨 溩 溪 溫 溬 溭 溮 溯 溰 溱 溲 溳 溴 溵 溶 溷 溸 溹 溺 溻 溼 溽 溾 溿 滀 滁 滂 滃 滄 滅 滆 滇 滈 滉 滊 滋 滌 滍 滎 滏 滐 滑 滒 滓 滔 滕 滖 滗 滘 滙 滚 滛 滜 滝 滞 滟 滠 满 滢 滣 滤 滥 滦 滧 滨 滩 滪 滫 滬 滭 滮 滯 滰 滱 滲 滳 滴 滵 滶 滷 滸 滹 滺 滻 滼 滽 滾 滿</t>
        </is>
      </c>
      <c r="P182" s="37" t="inlineStr">
        <is>
          <t>渀 渁 渂 渃 渄 清 渆 渇 済 渉 渊 渋 渌 渍 渎 渏 渐 渑 渒 渓 渔 渕 渖 渗 渘 渙 渚 減 渜 渝 渞 渟 渠 渡 渢 渣 渤 渥 渦 渧 渨 温 渪 渫 測 渭 渮 港 渰 渱 渲 渳 渴 渵 渶 渷 游 渹 渺 渻 渼 渽 渾 渿 湀 湁 湂 湃 湄 湅 湆 湇 湈 湉 湊 湋 湌 湍 湎 湏 湐 湑 湒 湓 湔 湕 湖 湗 湘 湙 湚 湛 湜 湝 湞 湟 湠 湡 湢 湣 湤 湥 湦 湧 湨 湩 湪 湫 湬 湭 湮 湯 湰 湱 湲 湳 湴 湵 湶 湷 湸 湹 湺 湻 湼 湽 湾 湿 満 溁 溂 溃 溄 溅 溆 溇 溈 溉 溊 溋 溌 溍 溎 溏 源 溑 溒 溓 溔 溕 準 溗 溘 溙 溚 溛 溜 溝 溞 溟 溠 溡 溢 溣 溤 溥 溦 溧 溨 溩 溪 溫 溬 溭 溮 溯 溰 溱 溲 溳 溴 溵 溶 溷 溸 溹 溺 溻 溼 溽 溾 溿 滀 滁 滂 滃 滄 滅 滆 滇 滈 滉 滊 滋 滌 滍 滎 滏 滐 滑 滒 滓 滔 滕 滖 滗 滘 滙 滚 滛 滜 滝 滞 滟 滠 满 滢 滣 滤 滥 滦 滧 滨 滩 滪 滫 滬 滭 滮 滯 滰 滱 滲 滳 滴 滵 滶 滷 滸 滹 滺 滻 滼 滽 滾 滿</t>
        </is>
      </c>
      <c r="Q182" s="38" t="inlineStr">
        <is>
          <t>渀 渁 渂 渃 渄 清 渆 渇 済 渉 渊 渋 渌 渍 渎 渏 渐 渑 渒 渓 渔 渕 渖 渗 渘 渙 渚 減 渜 渝 渞 渟 渠 渡 渢 渣 渤 渥 渦 渧 渨 温 渪 渫 測 渭 渮 港 渰 渱 渲 渳 渴 渵 渶 渷 游 渹 渺 渻 渼 渽 渾 渿 湀 湁 湂 湃 湄 湅 湆 湇 湈 湉 湊 湋 湌 湍 湎 湏 湐 湑 湒 湓 湔 湕 湖 湗 湘 湙 湚 湛 湜 湝 湞 湟 湠 湡 湢 湣 湤 湥 湦 湧 湨 湩 湪 湫 湬 湭 湮 湯 湰 湱 湲 湳 湴 湵 湶 湷 湸 湹 湺 湻 湼 湽 湾 湿 満 溁 溂 溃 溄 溅 溆 溇 溈 溉 溊 溋 溌 溍 溎 溏 源 溑 溒 溓 溔 溕 準 溗 溘 溙 溚 溛 溜 溝 溞 溟 溠 溡 溢 溣 溤 溥 溦 溧 溨 溩 溪 溫 溬 溭 溮 溯 溰 溱 溲 溳 溴 溵 溶 溷 溸 溹 溺 溻 溼 溽 溾 溿 滀 滁 滂 滃 滄 滅 滆 滇 滈 滉 滊 滋 滌 滍 滎 滏 滐 滑 滒 滓 滔 滕 滖 滗 滘 滙 滚 滛 滜 滝 滞 滟 滠 满 滢 滣 滤 滥 滦 滧 滨 滩 滪 滫 滬 滭 滮 滯 滰 滱 滲 滳 滴 滵 滶 滷 滸 滹 滺 滻 滼 滽 滾 滿</t>
        </is>
      </c>
      <c r="R182" s="43" t="inlineStr">
        <is>
          <t>渁 渂 渃 渆 渇 渊 渐 渒 渓 渔 渕 渗 渘 渙 渚 減 渜 渝 渞 渟 渠 渡 渢 渣 渤 渥 渧 渨 温 渪 渫 港 渰 渱 渲 渴 渵 渶 渷 游 渹 渻 渼 渽 渾 渿 湁 湂 湃 湄 湅 湆 湇 湈 湋 湌 湍 湏 湐 湑 湒 湓 湔 湕 湗 湘 湙 湛 湜 湟 湠 湡 湤 湦 湨 湩 湫 湬 湭 湮 湯 湰 湱 湲 湳 湵 湶 湷 湸 湹 湺 湻 湼 湽 湾 湿 満 溂 溃 溄 溅 溆 溇 溈 溍 溎 溏 源 溒 溓 溔 溕 準 溗 溘 溚 溛 溝 溟 溠 溢 溣 溤 溥 溦 溧 溨 溩 溫 溬 溭 溯 溲 溴 溵 溶 溹 溼 溽 溾 溿 滀 滂 滃 滄 滅 滆 滇 滉 滊 滌 滍 滎 滏 滐 滑 滒 滔 滕 滖 滗 滘 滚 滛 滜 滝 滞 滟 滠 滢 滣 滤 滥 滦 滧 滨 滩 滪 滫 滬 滭 滮 滯 滰 滱 滲 滵 滶 滸 滹 滺 滻 滼 滽 滾</t>
        </is>
      </c>
      <c r="S182" s="40" t="n"/>
      <c r="V182" s="14">
        <f>(LEN(O182)+1)/2</f>
        <v/>
      </c>
      <c r="W182" s="14">
        <f>ROUNDDOWN((LEN(P182)+1)/2,0)</f>
        <v/>
      </c>
      <c r="X182" s="14">
        <f>ROUNDDOWN((LEN(Q182)+1)/2,0)</f>
        <v/>
      </c>
      <c r="Y182" s="14">
        <f>ROUNDDOWN((LEN(R182)+1)/2,0)</f>
        <v/>
      </c>
      <c r="Z182" s="14">
        <f>ROUNDDOWN((LEN(S182)+1)/2,0)</f>
        <v/>
      </c>
      <c r="AA182" s="56" t="n">
        <v>46150.5584424547</v>
      </c>
    </row>
    <row r="183" ht="102" customHeight="1">
      <c r="B183" s="46" t="inlineStr">
        <is>
          <t>U+6F00-U+6FFF</t>
        </is>
      </c>
      <c r="C183" s="46" t="inlineStr">
        <is>
          <t>CJK Unified Ideographs</t>
        </is>
      </c>
      <c r="D183" s="54">
        <f>HEX2DEC(MID(B183,3,FIND("-",E183)-3))</f>
        <v/>
      </c>
      <c r="E183" s="46" t="inlineStr">
        <is>
          <t>U+4E00-U+9FFF</t>
        </is>
      </c>
      <c r="F183" s="12" t="n">
        <v>3</v>
      </c>
      <c r="J183" s="19">
        <f>ROUNDDOWN(W183,0)/$V183</f>
        <v/>
      </c>
      <c r="K183" s="19">
        <f>ROUNDDOWN(X183,0)/$V183</f>
        <v/>
      </c>
      <c r="L183" s="19">
        <f>ROUNDDOWN(Y183,0)/$V183</f>
        <v/>
      </c>
      <c r="M183" s="19">
        <f>ROUNDDOWN(Z183,0)/$V183</f>
        <v/>
      </c>
      <c r="O183" s="36" t="inlineStr">
        <is>
          <t>漀 漁 漂 漃 漄 漅 漆 漇 漈 漉 漊 漋 漌 漍 漎 漏 漐 漑 漒 漓 演 漕 漖 漗 漘 漙 漚 漛 漜 漝 漞 漟 漠 漡 漢 漣 漤 漥 漦 漧 漨 漩 漪 漫 漬 漭 漮 漯 漰 漱 漲 漳 漴 漵 漶 漷 漸 漹 漺 漻 漼 漽 漾 漿 潀 潁 潂 潃 潄 潅 潆 潇 潈 潉 潊 潋 潌 潍 潎 潏 潐 潑 潒 潓 潔 潕 潖 潗 潘 潙 潚 潛 潜 潝 潞 潟 潠 潡 潢 潣 潤 潥 潦 潧 潨 潩 潪 潫 潬 潭 潮 潯 潰 潱 潲 潳 潴 潵 潶 潷 潸 潹 潺 潻 潼 潽 潾 潿 澀 澁 澂 澃 澄 澅 澆 澇 澈 澉 澊 澋 澌 澍 澎 澏 澐 澑 澒 澓 澔 澕 澖 澗 澘 澙 澚 澛 澜 澝 澞 澟 澠 澡 澢 澣 澤 澥 澦 澧 澨 澩 澪 澫 澬 澭 澮 澯 澰 澱 澲 澳 澴 澵 澶 澷 澸 澹 澺 澻 澼 澽 澾 澿 激 濁 濂 濃 濄 濅 濆 濇 濈 濉 濊 濋 濌 濍 濎 濏 濐 濑 濒 濓 濔 濕 濖 濗 濘 濙 濚 濛 濜 濝 濞 濟 濠 濡 濢 濣 濤 濥 濦 濧 濨 濩 濪 濫 濬 濭 濮 濯 濰 濱 濲 濳 濴 濵 濶 濷 濸 濹 濺 濻 濼 濽 濾 濿</t>
        </is>
      </c>
      <c r="P183" s="37" t="inlineStr">
        <is>
          <t>漀 漁 漂 漃 漄 漅 漆 漇 漈 漉 漊 漋 漌 漍 漎 漏 漐 漑 漒 漓 演 漕 漖 漗 漘 漙 漚 漛 漜 漝 漞 漟 漠 漡 漢 漣 漤 漥 漦 漧 漨 漩 漪 漫 漬 漭 漮 漯 漰 漱 漲 漳 漴 漵 漶 漷 漸 漹 漺 漻 漼 漽 漾 漿 潀 潁 潂 潃 潄 潅 潆 潇 潈 潉 潊 潋 潌 潍 潎 潏 潐 潑 潒 潓 潔 潕 潖 潗 潘 潙 潚 潛 潜 潝 潞 潟 潠 潡 潢 潣 潤 潥 潦 潧 潨 潩 潪 潫 潬 潭 潮 潯 潰 潱 潲 潳 潴 潵 潶 潷 潸 潹 潺 潻 潼 潽 潾 潿 澀 澁 澂 澃 澄 澅 澆 澇 澈 澉 澊 澋 澌 澍 澎 澏 澐 澑 澒 澓 澔 澕 澖 澗 澘 澙 澚 澛 澜 澝 澞 澟 澠 澡 澢 澣 澤 澥 澦 澧 澨 澩 澪 澫 澬 澭 澮 澯 澰 澱 澲 澳 澴 澵 澶 澷 澸 澹 澺 澻 澼 澽 澾 澿 激 濁 濂 濃 濄 濅 濆 濇 濈 濉 濊 濋 濌 濍 濎 濏 濐 濑 濒 濓 濔 濕 濖 濗 濘 濙 濚 濛 濜 濝 濞 濟 濠 濡 濢 濣 濤 濥 濦 濧 濨 濩 濪 濫 濬 濭 濮 濯 濰 濱 濲 濳 濴 濵 濶 濷 濸 濹 濺 濻 濼 濽 濾 濿</t>
        </is>
      </c>
      <c r="Q183" s="38" t="inlineStr">
        <is>
          <t>漀 漁 漂 漃 漄 漅 漆 漇 漈 漉 漊 漋 漌 漍 漎 漏 漐 漑 漒 漓 演 漕 漖 漗 漘 漙 漚 漛 漜 漝 漞 漟 漠 漡 漢 漣 漤 漥 漦 漧 漨 漩 漪 漫 漬 漭 漮 漯 漰 漱 漲 漳 漴 漵 漶 漷 漸 漹 漺 漻 漼 漽 漾 漿 潀 潁 潂 潃 潄 潅 潆 潇 潈 潉 潊 潋 潌 潍 潎 潏 潐 潑 潒 潓 潔 潕 潖 潗 潘 潙 潚 潛 潜 潝 潞 潟 潠 潡 潢 潣 潤 潥 潦 潧 潨 潩 潪 潫 潬 潭 潮 潯 潰 潱 潲 潳 潴 潵 潶 潷 潸 潹 潺 潻 潼 潽 潾 潿 澀 澁 澂 澃 澄 澅 澆 澇 澈 澉 澊 澋 澌 澍 澎 澏 澐 澑 澒 澓 澔 澕 澖 澗 澘 澙 澚 澛 澜 澝 澞 澟 澠 澡 澢 澣 澤 澥 澦 澧 澨 澩 澪 澫 澬 澭 澮 澯 澰 澱 澲 澳 澴 澵 澶 澷 澸 澹 澺 澻 澼 澽 澾 澿 激 濁 濂 濃 濄 濅 濆 濇 濈 濉 濊 濋 濌 濍 濎 濏 濐 濑 濒 濓 濔 濕 濖 濗 濘 濙 濚 濛 濜 濝 濞 濟 濠 濡 濢 濣 濤 濥 濦 濧 濨 濩 濪 濫 濬 濭 濮 濯 濰 濱 濲 濳 濴 濵 濶 濷 濸 濹 濺 濻 濼 濽 濾 濿</t>
        </is>
      </c>
      <c r="R183" s="43" t="inlineStr">
        <is>
          <t>漀 漁 漂 漃 漄 漅 漆 漇 漉 漊 漋 漌 漍 漎 漏 漐 漒 漖 漗 漘 漙 漛 漜 漞 漟 漠 漡 漢 漣 漤 漥 漦 漧 漨 漩 漪 漫 漬 漮 漯 漰 漱 漲 漳 漴 漵 漶 漸 漹 漺 漼 漽 漾 漿 潀 潁 潂 潃 潄 潅 潆 潇 潊 潋 潌 潍 潐 潑 潒 潓 潕 潖 潗 潙 潚 潛 潜 潝 潞 潟 潠 潡 潢 潥 潦 潨 潩 潪 潬 潮 潯 潰 潲 潳 潴 潵 潶 潸 潹 潺 潻 潼 潽 潾 澀 澁 澂 澃 澄 澆 澇 澈 澉 澊 澌 澍 澎 澐 澒 澓 澕 澘 澙 澚 澛 澝 澞 澟 澡 澢 澣 澤 澥 澧 澨 澩 澪 澫 澬 澭 澮 澯 澰 澱 澲 澳 澴 澵 澶 澸 澹 澺 澻 澼 澽 澾 澿 激 濁 濂 濃 濄 濅 濆 濇 濈 濉 濊 濋 濌 濍 濎 濏 濐 濑 濒 濓 濔 濕 濗 濘 濙 濚 濜 濞 濟 濠 濡 濢 濣 濥 濦 濧 濨 濩 濪 濫 濬 濭 濮 濯 濰 濱 濲 濳 濴 濵 濷 濸 濹 濺 濼 濽 濾 濿</t>
        </is>
      </c>
      <c r="S183" s="40" t="n"/>
      <c r="V183" s="14">
        <f>(LEN(O183)+1)/2</f>
        <v/>
      </c>
      <c r="W183" s="14">
        <f>ROUNDDOWN((LEN(P183)+1)/2,0)</f>
        <v/>
      </c>
      <c r="X183" s="14">
        <f>ROUNDDOWN((LEN(Q183)+1)/2,0)</f>
        <v/>
      </c>
      <c r="Y183" s="14">
        <f>ROUNDDOWN((LEN(R183)+1)/2,0)</f>
        <v/>
      </c>
      <c r="Z183" s="14">
        <f>ROUNDDOWN((LEN(S183)+1)/2,0)</f>
        <v/>
      </c>
      <c r="AA183" s="56" t="n">
        <v>46150.55844527946</v>
      </c>
    </row>
    <row r="184" ht="102" customHeight="1">
      <c r="B184" s="46" t="inlineStr">
        <is>
          <t>U+7000-U+70FF</t>
        </is>
      </c>
      <c r="C184" s="46" t="inlineStr">
        <is>
          <t>CJK Unified Ideographs</t>
        </is>
      </c>
      <c r="D184" s="54">
        <f>HEX2DEC(MID(B184,3,FIND("-",E184)-3))</f>
        <v/>
      </c>
      <c r="E184" s="46" t="inlineStr">
        <is>
          <t>U+4E00-U+9FFF</t>
        </is>
      </c>
      <c r="F184" s="12" t="n">
        <v>3</v>
      </c>
      <c r="J184" s="19">
        <f>ROUNDDOWN(W184,0)/$V184</f>
        <v/>
      </c>
      <c r="K184" s="19">
        <f>ROUNDDOWN(X184,0)/$V184</f>
        <v/>
      </c>
      <c r="L184" s="19">
        <f>ROUNDDOWN(Y184,0)/$V184</f>
        <v/>
      </c>
      <c r="M184" s="19">
        <f>ROUNDDOWN(Z184,0)/$V184</f>
        <v/>
      </c>
      <c r="O184" s="36" t="inlineStr">
        <is>
          <t>瀀 瀁 瀂 瀃 瀄 瀅 瀆 瀇 瀈 瀉 瀊 瀋 瀌 瀍 瀎 瀏 瀐 瀑 瀒 瀓 瀔 瀕 瀖 瀗 瀘 瀙 瀚 瀛 瀜 瀝 瀞 瀟 瀠 瀡 瀢 瀣 瀤 瀥 瀦 瀧 瀨 瀩 瀪 瀫 瀬 瀭 瀮 瀯 瀰 瀱 瀲 瀳 瀴 瀵 瀶 瀷 瀸 瀹 瀺 瀻 瀼 瀽 瀾 瀿 灀 灁 灂 灃 灄 灅 灆 灇 灈 灉 灊 灋 灌 灍 灎 灏 灐 灑 灒 灓 灔 灕 灖 灗 灘 灙 灚 灛 灜 灝 灞 灟 灠 灡 灢 灣 灤 灥 灦 灧 灨 灩 灪 火 灬 灭 灮 灯 灰 灱 灲 灳 灴 灵 灶 灷 灸 灹 灺 灻 灼 災 灾 灿 炀 炁 炂 炃 炄 炅 炆 炇 炈 炉 炊 炋 炌 炍 炎 炏 炐 炑 炒 炓 炔 炕 炖 炗 炘 炙 炚 炛 炜 炝 炞 炟 炠 炡 炢 炣 炤 炥 炦 炧 炨 炩 炪 炫 炬 炭 炮 炯 炰 炱 炲 炳 炴 炵 炶 炷 炸 点 為 炻 炼 炽 炾 炿 烀 烁 烂 烃 烄 烅 烆 烇 烈 烉 烊 烋 烌 烍 烎 烏 烐 烑 烒 烓 烔 烕 烖 烗 烘 烙 烚 烛 烜 烝 烞 烟 烠 烡 烢 烣 烤 烥 烦 烧 烨 烩 烪 烫 烬 热 烮 烯 烰 烱 烲 烳 烴 烵 烶 烷 烸 烹 烺 烻 烼 烽 烾 烿</t>
        </is>
      </c>
      <c r="P184" s="37" t="inlineStr">
        <is>
          <t>瀀 瀁 瀂 瀃 瀄 瀅 瀆 瀇 瀈 瀉 瀊 瀋 瀌 瀍 瀎 瀏 瀐 瀑 瀒 瀓 瀔 瀕 瀖 瀗 瀘 瀙 瀚 瀛 瀜 瀝 瀞 瀟 瀠 瀡 瀢 瀣 瀤 瀥 瀦 瀧 瀨 瀩 瀪 瀫 瀬 瀭 瀮 瀯 瀰 瀱 瀲 瀳 瀴 瀵 瀶 瀷 瀸 瀹 瀺 瀻 瀼 瀽 瀾 瀿 灀 灁 灂 灃 灄 灅 灆 灇 灈 灉 灊 灋 灌 灍 灎 灏 灐 灑 灒 灓 灔 灕 灖 灗 灘 灙 灚 灛 灜 灝 灞 灟 灠 灡 灢 灣 灤 灥 灦 灧 灨 灩 灪 火 灬 灭 灮 灯 灰 灱 灲 灳 灴 灵 灶 灷 灸 灹 灺 灻 灼 災 灾 灿 炀 炁 炂 炃 炄 炅 炆 炇 炈 炉 炊 炋 炌 炍 炎 炏 炐 炑 炒 炓 炔 炕 炖 炗 炘 炙 炚 炛 炜 炝 炞 炟 炠 炡 炢 炣 炤 炥 炦 炧 炨 炩 炪 炫 炬 炭 炮 炯 炰 炱 炲 炳 炴 炵 炶 炷 炸 点 為 炻 炼 炽 炾 炿 烀 烁 烂 烃 烄 烅 烆 烇 烈 烉 烊 烋 烌 烍 烎 烏 烐 烑 烒 烓 烔 烕 烖 烗 烘 烙 烚 烛 烜 烝 烞 烟 烠 烡 烢 烣 烤 烥 烦 烧 烨 烩 烪 烫 烬 热 烮 烯 烰 烱 烲 烳 烴 烵 烶 烷 烸 烹 烺 烻 烼 烽 烾 烿</t>
        </is>
      </c>
      <c r="Q184" s="38" t="inlineStr">
        <is>
          <t>瀀 瀁 瀂 瀃 瀄 瀅 瀆 瀇 瀈 瀉 瀊 瀋 瀌 瀍 瀎 瀏 瀐 瀑 瀒 瀓 瀔 瀕 瀖 瀗 瀘 瀙 瀚 瀛 瀜 瀝 瀞 瀟 瀠 瀡 瀢 瀣 瀤 瀥 瀦 瀧 瀨 瀩 瀪 瀫 瀬 瀭 瀮 瀯 瀰 瀱 瀲 瀳 瀴 瀵 瀶 瀷 瀸 瀹 瀺 瀻 瀼 瀽 瀾 瀿 灀 灁 灂 灃 灄 灅 灆 灇 灈 灉 灊 灋 灌 灍 灎 灏 灐 灑 灒 灓 灔 灕 灖 灗 灘 灙 灚 灛 灜 灝 灞 灟 灠 灡 灢 灣 灤 灥 灦 灧 灨 灩 灪 火 灬 灭 灮 灯 灰 灱 灲 灳 灴 灵 灶 灷 灸 灹 灺 灻 灼 災 灾 灿 炀 炁 炂 炃 炄 炅 炆 炇 炈 炉 炊 炋 炌 炍 炎 炏 炐 炑 炒 炓 炔 炕 炖 炗 炘 炙 炚 炛 炜 炝 炞 炟 炠 炡 炢 炣 炤 炥 炦 炧 炨 炩 炪 炫 炬 炭 炮 炯 炰 炱 炲 炳 炴 炵 炶 炷 炸 点 為 炻 炼 炽 炾 炿 烀 烁 烂 烃 烄 烅 烆 烇 烈 烉 烊 烋 烌 烍 烎 烏 烐 烑 烒 烓 烔 烕 烖 烗 烘 烙 烚 烛 烜 烝 烞 烟 烠 烡 烢 烣 烤 烥 烦 烧 烨 烩 烪 烫 烬 热 烮 烯 烰 烱 烲 烳 烴 烵 烶 烷 烸 烹 烺 烻 烼 烽 烾 烿</t>
        </is>
      </c>
      <c r="R184" s="43" t="inlineStr">
        <is>
          <t>瀀 瀁 瀂 瀃 瀅 瀆 瀇 瀈 瀉 瀋 瀌 瀍 瀎 瀐 瀑 瀒 瀓 瀔 瀕 瀖 瀗 瀘 瀙 瀚 瀛 瀝 瀞 瀟 瀠 瀡 瀢 瀣 瀤 瀦 瀨 瀩 瀪 瀫 瀭 瀮 瀱 瀲 瀳 瀴 瀵 瀶 瀷 瀸 瀺 瀻 瀼 瀽 瀿 灀 灃 灅 灆 灇 灈 灉 灊 灋 灌 灍 灎 灏 灐 灑 灒 灓 灔 灕 灖 灘 灙 灚 灜 灝 灞 灟 灢 灥 灧 灩 灪 火 灭 灮 灯 灰 灱 灳 灴 灵 灶 灷 灸 灹 灺 灻 灼 災 灾 炀 炁 炂 炃 炄 炅 炆 炇 炈 炉 炊 炋 炌 炍 炎 炏 炐 炑 炒 炓 炔 炕 炗 炘 炙 炚 炛 炜 炝 炞 炟 炡 炢 炣 炤 炥 炦 炧 炨 炩 炭 炮 炰 炱 炲 炳 炴 炵 炷 炸 点 為 炻 炼 炽 炾 炿 烀 烁 烂 烃 烄 烅 烆 烇 烈 烉 烊 烋 烌 烍 烎 烏 烐 烒 烓 烕 烖 烗 烘 烙 烚 烜 烝 烟 烠 烡 烢 烣 烤 烦 烧 烨 烩 烪 烫 烬 热 烮 烯 烰 烱 烲 烳 烴 烵 烶 烷 烸 烹 烻 烼 烽 烾 烿</t>
        </is>
      </c>
      <c r="S184" s="40" t="n"/>
      <c r="V184" s="14">
        <f>(LEN(O184)+1)/2</f>
        <v/>
      </c>
      <c r="W184" s="14">
        <f>ROUNDDOWN((LEN(P184)+1)/2,0)</f>
        <v/>
      </c>
      <c r="X184" s="14">
        <f>ROUNDDOWN((LEN(Q184)+1)/2,0)</f>
        <v/>
      </c>
      <c r="Y184" s="14">
        <f>ROUNDDOWN((LEN(R184)+1)/2,0)</f>
        <v/>
      </c>
      <c r="Z184" s="14">
        <f>ROUNDDOWN((LEN(S184)+1)/2,0)</f>
        <v/>
      </c>
      <c r="AA184" s="56" t="n">
        <v>46150.55844809392</v>
      </c>
    </row>
    <row r="185" ht="102" customHeight="1">
      <c r="B185" s="46" t="inlineStr">
        <is>
          <t>U+7100-U+71FF</t>
        </is>
      </c>
      <c r="C185" s="46" t="inlineStr">
        <is>
          <t>CJK Unified Ideographs</t>
        </is>
      </c>
      <c r="D185" s="54">
        <f>HEX2DEC(MID(B185,3,FIND("-",E185)-3))</f>
        <v/>
      </c>
      <c r="E185" s="46" t="inlineStr">
        <is>
          <t>U+4E00-U+9FFF</t>
        </is>
      </c>
      <c r="F185" s="12" t="n">
        <v>3</v>
      </c>
      <c r="J185" s="19">
        <f>ROUNDDOWN(W185,0)/$V185</f>
        <v/>
      </c>
      <c r="K185" s="19">
        <f>ROUNDDOWN(X185,0)/$V185</f>
        <v/>
      </c>
      <c r="L185" s="19">
        <f>ROUNDDOWN(Y185,0)/$V185</f>
        <v/>
      </c>
      <c r="M185" s="19">
        <f>ROUNDDOWN(Z185,0)/$V185</f>
        <v/>
      </c>
      <c r="O185" s="36" t="inlineStr">
        <is>
          <t>焀 焁 焂 焃 焄 焅 焆 焇 焈 焉 焊 焋 焌 焍 焎 焏 焐 焑 焒 焓 焔 焕 焖 焗 焘 焙 焚 焛 焜 焝 焞 焟 焠 無 焢 焣 焤 焥 焦 焧 焨 焩 焪 焫 焬 焭 焮 焯 焰 焱 焲 焳 焴 焵 然 焷 焸 焹 焺 焻 焼 焽 焾 焿 煀 煁 煂 煃 煄 煅 煆 煇 煈 煉 煊 煋 煌 煍 煎 煏 煐 煑 煒 煓 煔 煕 煖 煗 煘 煙 煚 煛 煜 煝 煞 煟 煠 煡 煢 煣 煤 煥 煦 照 煨 煩 煪 煫 煬 煭 煮 煯 煰 煱 煲 煳 煴 煵 煶 煷 煸 煹 煺 煻 煼 煽 煾 煿 熀 熁 熂 熃 熄 熅 熆 熇 熈 熉 熊 熋 熌 熍 熎 熏 熐 熑 熒 熓 熔 熕 熖 熗 熘 熙 熚 熛 熜 熝 熞 熟 熠 熡 熢 熣 熤 熥 熦 熧 熨 熩 熪 熫 熬 熭 熮 熯 熰 熱 熲 熳 熴 熵 熶 熷 熸 熹 熺 熻 熼 熽 熾 熿 燀 燁 燂 燃 燄 燅 燆 燇 燈 燉 燊 燋 燌 燍 燎 燏 燐 燑 燒 燓 燔 燕 燖 燗 燘 燙 燚 燛 燜 燝 燞 營 燠 燡 燢 燣 燤 燥 燦 燧 燨 燩 燪 燫 燬 燭 燮 燯 燰 燱 燲 燳 燴 燵 燶 燷 燸 燹 燺 燻 燼 燽 燾 燿</t>
        </is>
      </c>
      <c r="P185" s="37" t="inlineStr">
        <is>
          <t>焀 焁 焂 焃 焄 焅 焆 焇 焈 焉 焊 焋 焌 焍 焎 焏 焐 焑 焒 焓 焔 焕 焖 焗 焘 焙 焚 焛 焜 焝 焞 焟 焠 無 焢 焣 焤 焥 焦 焧 焨 焩 焪 焫 焬 焭 焮 焯 焰 焱 焲 焳 焴 焵 然 焷 焸 焹 焺 焻 焼 焽 焾 焿 煀 煁 煂 煃 煄 煅 煆 煇 煈 煉 煊 煋 煌 煍 煎 煏 煐 煑 煒 煓 煔 煕 煖 煗 煘 煙 煚 煛 煜 煝 煞 煟 煠 煡 煢 煣 煤 煥 煦 照 煨 煩 煪 煫 煬 煭 煮 煯 煰 煱 煲 煳 煴 煵 煶 煷 煸 煹 煺 煻 煼 煽 煾 煿 熀 熁 熂 熃 熄 熅 熆 熇 熈 熉 熊 熋 熌 熍 熎 熏 熐 熑 熒 熓 熔 熕 熖 熗 熘 熙 熚 熛 熜 熝 熞 熟 熠 熡 熢 熣 熤 熥 熦 熧 熨 熩 熪 熫 熬 熭 熮 熯 熰 熱 熲 熳 熴 熵 熶 熷 熸 熹 熺 熻 熼 熽 熾 熿 燀 燁 燂 燃 燄 燅 燆 燇 燈 燉 燊 燋 燌 燍 燎 燏 燐 燑 燒 燓 燔 燕 燖 燗 燘 燙 燚 燛 燜 燝 燞 營 燠 燡 燢 燣 燤 燥 燦 燧 燨 燩 燪 燫 燬 燭 燮 燯 燰 燱 燲 燳 燴 燵 燶 燷 燸 燹 燺 燻 燼 燽 燾 燿</t>
        </is>
      </c>
      <c r="Q185" s="38" t="inlineStr">
        <is>
          <t>焀 焁 焂 焃 焄 焅 焆 焇 焈 焉 焊 焋 焌 焍 焎 焏 焐 焑 焒 焓 焔 焕 焖 焗 焘 焙 焚 焛 焜 焝 焞 焟 焠 無 焢 焣 焤 焥 焦 焧 焨 焩 焪 焫 焬 焭 焮 焯 焰 焱 焲 焳 焴 焵 然 焷 焸 焹 焺 焻 焼 焽 焾 焿 煀 煁 煂 煃 煄 煅 煆 煇 煈 煉 煊 煋 煌 煍 煎 煏 煐 煑 煒 煓 煔 煕 煖 煗 煘 煙 煚 煛 煜 煝 煞 煟 煠 煡 煢 煣 煤 煥 煦 照 煨 煩 煪 煫 煬 煭 煮 煯 煰 煱 煲 煳 煴 煵 煶 煷 煸 煹 煺 煻 煼 煽 煾 煿 熀 熁 熂 熃 熄 熅 熆 熇 熈 熉 熊 熋 熌 熍 熎 熏 熐 熑 熒 熓 熔 熕 熖 熗 熘 熙 熚 熛 熜 熝 熞 熟 熠 熡 熢 熣 熤 熥 熦 熧 熨 熩 熪 熫 熬 熭 熮 熯 熰 熱 熲 熳 熴 熵 熶 熷 熸 熹 熺 熻 熼 熽 熾 熿 燀 燁 燂 燃 燄 燅 燆 燇 燈 燉 燊 燋 燌 燍 燎 燏 燐 燑 燒 燓 燔 燕 燖 燗 燘 燙 燚 燛 燜 燝 燞 營 燠 燡 燢 燣 燤 燥 燦 燧 燨 燩 燪 燫 燬 燭 燮 燯 燰 燱 燲 燳 燴 燵 燶 燷 燸 燹 燺 燻 燼 燽 燾 燿</t>
        </is>
      </c>
      <c r="R185" s="43" t="inlineStr">
        <is>
          <t>焀 焁 焂 焃 焄 焅 焈 焉 焊 焋 焌 焍 焎 焏 焐 焑 焓 焔 焕 焖 焗 焘 焙 焚 焛 焝 焞 焟 焠 無 焢 焣 焤 焥 焦 焧 焨 焩 焪 焫 焬 焭 焮 焯 焰 焱 焲 焳 焴 焵 然 焷 焸 焹 焺 焻 焼 焽 焾 焿 煀 煁 煂 煃 煄 煅 煆 煇 煈 煉 煊 煋 煌 煍 煎 煏 煐 煑 煓 煕 煖 煗 煘 煙 煚 煛 煜 煝 煞 煟 煠 煡 煢 煣 煤 煥 煦 煨 煩 煪 煫 煬 煭 煮 煰 煱 煲 煳 煴 煵 煶 煷 煸 煹 煺 煻 煼 煽 煾 煿 熀 熁 熂 熃 熄 熅 熆 熇 熋 熌 熎 熏 熐 熑 熒 熓 熔 熕 熗 熘 熙 熚 熛 熜 熝 熞 熟 熠 熡 熢 熣 熤 熥 熦 熧 熨 熩 熪 熫 熬 熭 熮 熯 熰 熱 熲 熳 熴 熵 熶 熷 熸 熹 熺 熻 熼 熽 熾 熿 燀 燁 燂 燃 燅 燆 燇 燈 燉 燊 燋 燌 燍 燎 燏 燐 燑 燒 燓 燔 燕 燖 燗 燘 燙 燛 燜 燝 燞 營 燠 燡 燢 燣 燤 燥 燦 燧 燨 燩 燪 燫 燬 燭 燮 燯 燰 燱 燲 燳 燴 燵 燶 燷 燸 燹 燺 燻 燼 燽 燾 燿</t>
        </is>
      </c>
      <c r="S185" s="40" t="n"/>
      <c r="V185" s="14">
        <f>(LEN(O185)+1)/2</f>
        <v/>
      </c>
      <c r="W185" s="14">
        <f>ROUNDDOWN((LEN(P185)+1)/2,0)</f>
        <v/>
      </c>
      <c r="X185" s="14">
        <f>ROUNDDOWN((LEN(Q185)+1)/2,0)</f>
        <v/>
      </c>
      <c r="Y185" s="14">
        <f>ROUNDDOWN((LEN(R185)+1)/2,0)</f>
        <v/>
      </c>
      <c r="Z185" s="14">
        <f>ROUNDDOWN((LEN(S185)+1)/2,0)</f>
        <v/>
      </c>
      <c r="AA185" s="56" t="n">
        <v>46150.55845094768</v>
      </c>
    </row>
    <row r="186" ht="102" customHeight="1">
      <c r="B186" s="46" t="inlineStr">
        <is>
          <t>U+7200-U+72FF</t>
        </is>
      </c>
      <c r="C186" s="46" t="inlineStr">
        <is>
          <t>CJK Unified Ideographs</t>
        </is>
      </c>
      <c r="D186" s="54">
        <f>HEX2DEC(MID(B186,3,FIND("-",E186)-3))</f>
        <v/>
      </c>
      <c r="E186" s="46" t="inlineStr">
        <is>
          <t>U+4E00-U+9FFF</t>
        </is>
      </c>
      <c r="F186" s="12" t="n">
        <v>3</v>
      </c>
      <c r="J186" s="19">
        <f>ROUNDDOWN(W186,0)/$V186</f>
        <v/>
      </c>
      <c r="K186" s="19">
        <f>ROUNDDOWN(X186,0)/$V186</f>
        <v/>
      </c>
      <c r="L186" s="19">
        <f>ROUNDDOWN(Y186,0)/$V186</f>
        <v/>
      </c>
      <c r="M186" s="19">
        <f>ROUNDDOWN(Z186,0)/$V186</f>
        <v/>
      </c>
      <c r="O186" s="36" t="inlineStr">
        <is>
          <t>爀 爁 爂 爃 爄 爅 爆 爇 爈 爉 爊 爋 爌 爍 爎 爏 爐 爑 爒 爓 爔 爕 爖 爗 爘 爙 爚 爛 爜 爝 爞 爟 爠 爡 爢 爣 爤 爥 爦 爧 爨 爩 爪 爫 爬 爭 爮 爯 爰 爱 爲 爳 爴 爵 父 爷 爸 爹 爺 爻 爼 爽 爾 爿 牀 牁 牂 牃 牄 牅 牆 片 版 牉 牊 牋 牌 牍 牎 牏 牐 牑 牒 牓 牔 牕 牖 牗 牘 牙 牚 牛 牜 牝 牞 牟 牠 牡 牢 牣 牤 牥 牦 牧 牨 物 牪 牫 牬 牭 牮 牯 牰 牱 牲 牳 牴 牵 牶 牷 牸 特 牺 牻 牼 牽 牾 牿 犀 犁 犂 犃 犄 犅 犆 犇 犈 犉 犊 犋 犌 犍 犎 犏 犐 犑 犒 犓 犔 犕 犖 犗 犘 犙 犚 犛 犜 犝 犞 犟 犠 犡 犢 犣 犤 犥 犦 犧 犨 犩 犪 犫 犬 犭 犮 犯 犰 犱 犲 犳 犴 犵 状 犷 犸 犹 犺 犻 犼 犽 犾 犿 狀 狁 狂 狃 狄 狅 狆 狇 狈 狉 狊 狋 狌 狍 狎 狏 狐 狑 狒 狓 狔 狕 狖 狗 狘 狙 狚 狛 狜 狝 狞 狟 狠 狡 狢 狣 狤 狥 狦 狧 狨 狩 狪 狫 独 狭 狮 狯 狰 狱 狲 狳 狴 狵 狶 狷 狸 狹 狺 狻 狼 狽 狾 狿</t>
        </is>
      </c>
      <c r="P186" s="37" t="inlineStr">
        <is>
          <t>爀 爁 爂 爃 爄 爅 爆 爇 爈 爉 爊 爋 爌 爍 爎 爏 爐 爑 爒 爓 爔 爕 爖 爗 爘 爙 爚 爛 爜 爝 爞 爟 爠 爡 爢 爣 爤 爥 爦 爧 爨 爩 爪 爫 爬 爭 爮 爯 爰 爱 爲 爳 爴 爵 父 爷 爸 爹 爺 爻 爼 爽 爾 爿 牀 牁 牂 牃 牄 牅 牆 片 版 牉 牊 牋 牌 牍 牎 牏 牐 牑 牒 牓 牔 牕 牖 牗 牘 牙 牚 牛 牜 牝 牞 牟 牠 牡 牢 牣 牤 牥 牦 牧 牨 物 牪 牫 牬 牭 牮 牯 牰 牱 牲 牳 牴 牵 牶 牷 牸 特 牺 牻 牼 牽 牾 牿 犀 犁 犂 犃 犄 犅 犆 犇 犈 犉 犊 犋 犌 犍 犎 犏 犐 犑 犒 犓 犔 犕 犖 犗 犘 犙 犚 犛 犜 犝 犞 犟 犠 犡 犢 犣 犤 犥 犦 犧 犨 犩 犪 犫 犬 犭 犮 犯 犰 犱 犲 犳 犴 犵 状 犷 犸 犹 犺 犻 犼 犽 犾 犿 狀 狁 狂 狃 狄 狅 狆 狇 狈 狉 狊 狋 狌 狍 狎 狏 狐 狑 狒 狓 狔 狕 狖 狗 狘 狙 狚 狛 狜 狝 狞 狟 狠 狡 狢 狣 狤 狥 狦 狧 狨 狩 狪 狫 独 狭 狮 狯 狰 狱 狲 狳 狴 狵 狶 狷 狸 狹 狺 狻 狼 狽 狾 狿</t>
        </is>
      </c>
      <c r="Q186" s="38" t="inlineStr">
        <is>
          <t>爀 爁 爂 爃 爄 爅 爆 爇 爈 爉 爊 爋 爌 爍 爎 爏 爐 爑 爒 爓 爔 爕 爖 爗 爘 爙 爚 爛 爜 爝 爞 爟 爠 爡 爢 爣 爤 爥 爦 爧 爨 爩 爪 爫 爬 爭 爮 爯 爰 爱 爲 爳 爴 爵 父 爷 爸 爹 爺 爻 爼 爽 爾 爿 牀 牁 牂 牃 牄 牅 牆 片 版 牉 牊 牋 牌 牍 牎 牏 牐 牑 牒 牓 牔 牕 牖 牗 牘 牙 牚 牛 牜 牝 牞 牟 牠 牡 牢 牣 牤 牥 牦 牧 牨 物 牪 牫 牬 牭 牮 牯 牰 牱 牲 牳 牴 牵 牶 牷 牸 特 牺 牻 牼 牽 牾 牿 犀 犁 犂 犃 犄 犅 犆 犇 犈 犉 犊 犋 犌 犍 犎 犏 犐 犑 犒 犓 犔 犕 犖 犗 犘 犙 犚 犛 犜 犝 犞 犟 犠 犡 犢 犣 犤 犥 犦 犧 犨 犩 犪 犫 犬 犭 犮 犯 犰 犱 犲 犳 犴 犵 状 犷 犸 犹 犺 犻 犼 犽 犾 犿 狀 狁 狂 狃 狄 狅 狆 狇 狈 狉 狊 狋 狌 狍 狎 狏 狐 狑 狒 狓 狔 狕 狖 狗 狘 狙 狚 狛 狜 狝 狞 狟 狠 狡 狢 狣 狤 狥 狦 狧 狨 狩 狪 狫 独 狭 狮 狯 狰 狱 狲 狳 狴 狵 狶 狷 狸 狹 狺 狻 狼 狽 狾 狿</t>
        </is>
      </c>
      <c r="R186" s="43" t="inlineStr">
        <is>
          <t>爀 爁 爂 爃 爄 爅 爆 爇 爈 爉 爊 爋 爌 爍 爎 爏 爐 爑 爓 爔 爕 爗 爘 爙 爚 爛 爜 爝 爞 爟 爠 爡 爢 爣 爤 爥 爦 爧 爨 爩 爪 爫 爬 爭 爮 爯 爰 爱 爲 爳 爴 爵 父 爷 爸 爹 爺 爻 爼 爽 爾 爿 牀 牃 牄 牅 牆 片 版 牉 牊 牋 牌 牎 牏 牑 牒 牓 牔 牕 牖 牗 牘 牙 牚 牛 牜 牞 牟 牠 牡 牢 牣 牥 牦 牧 牨 物 牪 牫 牬 牭 牮 牱 牲 牳 牵 牶 牷 牸 特 牺 牻 牼 牽 牾 牿 犀 犁 犂 犃 犄 犅 犆 犇 犈 犉 犊 犋 犍 犎 犏 犐 犑 犒 犓 犔 犕 犖 犗 犘 犙 犚 犛 犝 犞 犟 犠 犡 犢 犥 犦 犧 犨 犩 犪 犫 犬 犭 犮 犰 犱 犲 犳 犴 犵 状 犷 犸 犹 犺 犻 犽 犾 犿 狀 狁 狂 狃 狄 狅 狇 狈 狉 狊 狋 狌 狍 狏 狐 狑 狒 狓 狔 狕 狖 狗 狘 狙 狚 狜 狝 狞 狟 狡 狢 狤 狥 狦 狧 狨 狩 狫 独 狭 狮 狯 狰 狱 狲 狳 狴 狵 狶 狷 狸 狹 狺 狻 狽 狾 狿</t>
        </is>
      </c>
      <c r="S186" s="40" t="n"/>
      <c r="V186" s="14">
        <f>(LEN(O186)+1)/2</f>
        <v/>
      </c>
      <c r="W186" s="14">
        <f>ROUNDDOWN((LEN(P186)+1)/2,0)</f>
        <v/>
      </c>
      <c r="X186" s="14">
        <f>ROUNDDOWN((LEN(Q186)+1)/2,0)</f>
        <v/>
      </c>
      <c r="Y186" s="14">
        <f>ROUNDDOWN((LEN(R186)+1)/2,0)</f>
        <v/>
      </c>
      <c r="Z186" s="14">
        <f>ROUNDDOWN((LEN(S186)+1)/2,0)</f>
        <v/>
      </c>
      <c r="AA186" s="56" t="n">
        <v>46150.55845373071</v>
      </c>
    </row>
    <row r="187" ht="102" customHeight="1">
      <c r="B187" s="46" t="inlineStr">
        <is>
          <t>U+7300-U+73FF</t>
        </is>
      </c>
      <c r="C187" s="46" t="inlineStr">
        <is>
          <t>CJK Unified Ideographs</t>
        </is>
      </c>
      <c r="D187" s="54">
        <f>HEX2DEC(MID(B187,3,FIND("-",E187)-3))</f>
        <v/>
      </c>
      <c r="E187" s="46" t="inlineStr">
        <is>
          <t>U+4E00-U+9FFF</t>
        </is>
      </c>
      <c r="F187" s="12" t="n">
        <v>3</v>
      </c>
      <c r="J187" s="19">
        <f>ROUNDDOWN(W187,0)/$V187</f>
        <v/>
      </c>
      <c r="K187" s="19">
        <f>ROUNDDOWN(X187,0)/$V187</f>
        <v/>
      </c>
      <c r="L187" s="19">
        <f>ROUNDDOWN(Y187,0)/$V187</f>
        <v/>
      </c>
      <c r="M187" s="19">
        <f>ROUNDDOWN(Z187,0)/$V187</f>
        <v/>
      </c>
      <c r="O187" s="36" t="inlineStr">
        <is>
          <t>猀 猁 猂 猃 猄 猅 猆 猇 猈 猉 猊 猋 猌 猍 猎 猏 猐 猑 猒 猓 猔 猕 猖 猗 猘 猙 猚 猛 猜 猝 猞 猟 猠 猡 猢 猣 猤 猥 猦 猧 猨 猩 猪 猫 猬 猭 献 猯 猰 猱 猲 猳 猴 猵 猶 猷 猸 猹 猺 猻 猼 猽 猾 猿 獀 獁 獂 獃 獄 獅 獆 獇 獈 獉 獊 獋 獌 獍 獎 獏 獐 獑 獒 獓 獔 獕 獖 獗 獘 獙 獚 獛 獜 獝 獞 獟 獠 獡 獢 獣 獤 獥 獦 獧 獨 獩 獪 獫 獬 獭 獮 獯 獰 獱 獲 獳 獴 獵 獶 獷 獸 獹 獺 獻 獼 獽 獾 獿 玀 玁 玂 玃 玄 玅 玆 率 玈 玉 玊 王 玌 玍 玎 玏 玐 玑 玒 玓 玔 玕 玖 玗 玘 玙 玚 玛 玜 玝 玞 玟 玠 玡 玢 玣 玤 玥 玦 玧 玨 玩 玪 玫 玬 玭 玮 环 现 玱 玲 玳 玴 玵 玶 玷 玸 玹 玺 玻 玼 玽 玾 玿 珀 珁 珂 珃 珄 珅 珆 珇 珈 珉 珊 珋 珌 珍 珎 珏 珐 珑 珒 珓 珔 珕 珖 珗 珘 珙 珚 珛 珜 珝 珞 珟 珠 珡 珢 珣 珤 珥 珦 珧 珨 珩 珪 珫 珬 班 珮 珯 珰 珱 珲 珳 珴 珵 珶 珷 珸 珹 珺 珻 珼 珽 現 珿</t>
        </is>
      </c>
      <c r="P187" s="37" t="inlineStr">
        <is>
          <t>猀 猁 猂 猃 猄 猅 猆 猇 猈 猉 猊 猋 猌 猍 猎 猏 猐 猑 猒 猓 猔 猕 猖 猗 猘 猙 猚 猛 猜 猝 猞 猟 猠 猡 猢 猣 猤 猥 猦 猧 猨 猩 猪 猫 猬 猭 献 猯 猰 猱 猲 猳 猴 猵 猶 猷 猸 猹 猺 猻 猼 猽 猾 猿 獀 獁 獂 獃 獄 獅 獆 獇 獈 獉 獊 獋 獌 獍 獎 獏 獐 獑 獒 獓 獔 獕 獖 獗 獘 獙 獚 獛 獜 獝 獞 獟 獠 獡 獢 獣 獤 獥 獦 獧 獨 獩 獪 獫 獬 獭 獮 獯 獰 獱 獲 獳 獴 獵 獶 獷 獸 獹 獺 獻 獼 獽 獾 獿 玀 玁 玂 玃 玄 玅 玆 率 玈 玉 玊 王 玌 玍 玎 玏 玐 玑 玒 玓 玔 玕 玖 玗 玘 玙 玚 玛 玜 玝 玞 玟 玠 玡 玢 玣 玤 玥 玦 玧 玨 玩 玪 玫 玬 玭 玮 环 现 玱 玲 玳 玴 玵 玶 玷 玸 玹 玺 玻 玼 玽 玾 玿 珀 珁 珂 珃 珄 珅 珆 珇 珈 珉 珊 珋 珌 珍 珎 珏 珐 珑 珒 珓 珔 珕 珖 珗 珘 珙 珚 珛 珜 珝 珞 珟 珠 珡 珢 珣 珤 珥 珦 珧 珨 珩 珪 珫 珬 班 珮 珯 珰 珱 珲 珳 珴 珵 珶 珷 珸 珹 珺 珻 珼 珽 現 珿</t>
        </is>
      </c>
      <c r="Q187" s="38" t="inlineStr">
        <is>
          <t>猀 猁 猂 猃 猄 猅 猆 猇 猈 猉 猊 猋 猌 猍 猎 猏 猐 猑 猒 猓 猔 猕 猖 猗 猘 猙 猚 猛 猜 猝 猞 猟 猠 猡 猢 猣 猤 猥 猦 猧 猨 猩 猪 猫 猬 猭 献 猯 猰 猱 猲 猳 猴 猵 猶 猷 猸 猹 猺 猻 猼 猽 猾 猿 獀 獁 獂 獃 獄 獅 獆 獇 獈 獉 獊 獋 獌 獍 獎 獏 獐 獑 獒 獓 獔 獕 獖 獗 獘 獙 獚 獛 獜 獝 獞 獟 獠 獡 獢 獣 獤 獥 獦 獧 獨 獩 獪 獫 獬 獭 獮 獯 獰 獱 獲 獳 獴 獵 獶 獷 獸 獹 獺 獻 獼 獽 獾 獿 玀 玁 玂 玃 玄 玅 玆 率 玈 玉 玊 王 玌 玍 玎 玏 玐 玑 玒 玓 玔 玕 玖 玗 玘 玙 玚 玛 玜 玝 玞 玟 玠 玡 玢 玣 玤 玥 玦 玧 玨 玩 玪 玫 玬 玭 玮 环 现 玱 玲 玳 玴 玵 玶 玷 玸 玹 玺 玻 玼 玽 玾 玿 珀 珁 珂 珃 珄 珅 珆 珇 珈 珉 珊 珋 珌 珍 珎 珏 珐 珑 珒 珓 珔 珕 珖 珗 珘 珙 珚 珛 珜 珝 珞 珟 珠 珡 珢 珣 珤 珥 珦 珧 珨 珩 珪 珫 珬 班 珮 珯 珰 珱 珲 珳 珴 珵 珶 珷 珸 珹 珺 珻 珼 珽 現 珿</t>
        </is>
      </c>
      <c r="R187" s="43" t="inlineStr">
        <is>
          <t>猀 猂 猃 猄 猆 猇 猈 猉 猋 猌 猍 猎 猏 猐 猒 猓 猔 猖 猗 猘 猙 猚 猛 猜 猝 猞 猟 猠 猡 猢 猣 猤 猥 猦 猧 猨 猩 猪 猫 猭 献 猯 猰 猱 猲 猴 猵 猶 猷 猸 猺 猻 猼 猽 猾 猿 獁 獂 獃 獆 獇 獈 獉 獊 獋 獌 獍 獎 獏 獐 獑 獒 獓 獔 獕 獖 獗 獘 獙 獚 獛 獜 獝 獞 獟 獠 獡 獢 獣 獤 獥 獦 獧 獨 獩 獪 獫 獬 獭 獮 獯 獰 獱 獲 獳 獶 獷 獸 獹 獺 獻 獽 獾 獿 玀 玁 玂 玃 玄 率 玈 玉 玊 王 玍 玏 玑 玒 玓 玕 玖 玗 玙 玚 玛 玜 玝 玞 玟 玠 玡 玢 玣 玤 玥 玦 玧 玨 玩 玪 玫 玬 玮 环 现 玱 玲 玳 玴 玵 玶 玸 玹 玺 玻 玽 玿 珃 珄 珆 珇 珊 珌 珍 珎 珏 珑 珒 珓 珔 珕 珖 珗 珘 珙 珛 珜 珞 珟 珠 珡 珣 珤 珥 珨 珩 珪 珫 珬 珮 珯 珱 珲 珳 珵 珶 珷 珹 珺 珻 珼 珽 現 珿</t>
        </is>
      </c>
      <c r="S187" s="40" t="n"/>
      <c r="V187" s="14">
        <f>(LEN(O187)+1)/2</f>
        <v/>
      </c>
      <c r="W187" s="14">
        <f>ROUNDDOWN((LEN(P187)+1)/2,0)</f>
        <v/>
      </c>
      <c r="X187" s="14">
        <f>ROUNDDOWN((LEN(Q187)+1)/2,0)</f>
        <v/>
      </c>
      <c r="Y187" s="14">
        <f>ROUNDDOWN((LEN(R187)+1)/2,0)</f>
        <v/>
      </c>
      <c r="Z187" s="14">
        <f>ROUNDDOWN((LEN(S187)+1)/2,0)</f>
        <v/>
      </c>
      <c r="AA187" s="56" t="n">
        <v>46150.55845652075</v>
      </c>
    </row>
    <row r="188" ht="102" customHeight="1">
      <c r="B188" s="46" t="inlineStr">
        <is>
          <t>U+7400-U+74FF</t>
        </is>
      </c>
      <c r="C188" s="46" t="inlineStr">
        <is>
          <t>CJK Unified Ideographs</t>
        </is>
      </c>
      <c r="D188" s="54">
        <f>HEX2DEC(MID(B188,3,FIND("-",E188)-3))</f>
        <v/>
      </c>
      <c r="E188" s="46" t="inlineStr">
        <is>
          <t>U+4E00-U+9FFF</t>
        </is>
      </c>
      <c r="F188" s="12" t="n">
        <v>3</v>
      </c>
      <c r="J188" s="19">
        <f>ROUNDDOWN(W188,0)/$V188</f>
        <v/>
      </c>
      <c r="K188" s="19">
        <f>ROUNDDOWN(X188,0)/$V188</f>
        <v/>
      </c>
      <c r="L188" s="19">
        <f>ROUNDDOWN(Y188,0)/$V188</f>
        <v/>
      </c>
      <c r="M188" s="19">
        <f>ROUNDDOWN(Z188,0)/$V188</f>
        <v/>
      </c>
      <c r="O188" s="36" t="inlineStr">
        <is>
          <t>琀 琁 琂 球 琄 琅 理 琇 琈 琉 琊 琋 琌 琍 琎 琏 琐 琑 琒 琓 琔 琕 琖 琗 琘 琙 琚 琛 琜 琝 琞 琟 琠 琡 琢 琣 琤 琥 琦 琧 琨 琩 琪 琫 琬 琭 琮 琯 琰 琱 琲 琳 琴 琵 琶 琷 琸 琹 琺 琻 琼 琽 琾 琿 瑀 瑁 瑂 瑃 瑄 瑅 瑆 瑇 瑈 瑉 瑊 瑋 瑌 瑍 瑎 瑏 瑐 瑑 瑒 瑓 瑔 瑕 瑖 瑗 瑘 瑙 瑚 瑛 瑜 瑝 瑞 瑟 瑠 瑡 瑢 瑣 瑤 瑥 瑦 瑧 瑨 瑩 瑪 瑫 瑬 瑭 瑮 瑯 瑰 瑱 瑲 瑳 瑴 瑵 瑶 瑷 瑸 瑹 瑺 瑻 瑼 瑽 瑾 瑿 璀 璁 璂 璃 璄 璅 璆 璇 璈 璉 璊 璋 璌 璍 璎 璏 璐 璑 璒 璓 璔 璕 璖 璗 璘 璙 璚 璛 璜 璝 璞 璟 璠 璡 璢 璣 璤 璥 璦 璧 璨 璩 璪 璫 璬 璭 璮 璯 環 璱 璲 璳 璴 璵 璶 璷 璸 璹 璺 璻 璼 璽 璾 璿 瓀 瓁 瓂 瓃 瓄 瓅 瓆 瓇 瓈 瓉 瓊 瓋 瓌 瓍 瓎 瓏 瓐 瓑 瓒 瓓 瓔 瓕 瓖 瓗 瓘 瓙 瓚 瓛 瓜 瓝 瓞 瓟 瓠 瓡 瓢 瓣 瓤 瓥 瓦 瓧 瓨 瓩 瓪 瓫 瓬 瓭 瓮 瓯 瓰 瓱 瓲 瓳 瓴 瓵 瓶 瓷 瓸 瓹 瓺 瓻 瓼 瓽 瓾 瓿</t>
        </is>
      </c>
      <c r="P188" s="37" t="inlineStr">
        <is>
          <t>琀 琁 琂 球 琄 琅 理 琇 琈 琉 琊 琋 琌 琍 琎 琏 琐 琑 琒 琓 琔 琕 琖 琗 琘 琙 琚 琛 琜 琝 琞 琟 琠 琡 琢 琣 琤 琥 琦 琧 琨 琩 琪 琫 琬 琭 琮 琯 琰 琱 琲 琳 琴 琵 琶 琷 琸 琹 琺 琻 琼 琽 琾 琿 瑀 瑁 瑂 瑃 瑄 瑅 瑆 瑇 瑈 瑉 瑊 瑋 瑌 瑍 瑎 瑏 瑐 瑑 瑒 瑓 瑔 瑕 瑖 瑗 瑘 瑙 瑚 瑛 瑜 瑝 瑞 瑟 瑠 瑡 瑢 瑣 瑤 瑥 瑦 瑧 瑨 瑩 瑪 瑫 瑬 瑭 瑮 瑯 瑰 瑱 瑲 瑳 瑴 瑵 瑶 瑷 瑸 瑹 瑺 瑻 瑼 瑽 瑾 瑿 璀 璁 璂 璃 璄 璅 璆 璇 璈 璉 璊 璋 璌 璍 璎 璏 璐 璑 璒 璓 璔 璕 璖 璗 璘 璙 璚 璛 璜 璝 璞 璟 璠 璡 璢 璣 璤 璥 璦 璧 璨 璩 璪 璫 璬 璭 璮 璯 環 璱 璲 璳 璴 璵 璶 璷 璸 璹 璺 璻 璼 璽 璾 璿 瓀 瓁 瓂 瓃 瓄 瓅 瓆 瓇 瓈 瓉 瓊 瓋 瓌 瓍 瓎 瓏 瓐 瓑 瓒 瓓 瓔 瓕 瓖 瓗 瓘 瓙 瓚 瓛 瓜 瓝 瓞 瓟 瓠 瓡 瓢 瓣 瓤 瓥 瓦 瓧 瓨 瓩 瓪 瓫 瓬 瓭 瓮 瓯 瓰 瓱 瓲 瓳 瓴 瓵 瓶 瓷 瓸 瓹 瓺 瓻 瓼 瓽 瓾 瓿</t>
        </is>
      </c>
      <c r="Q188" s="38" t="inlineStr">
        <is>
          <t>琀 琁 琂 球 琄 琅 理 琇 琈 琉 琊 琋 琌 琍 琎 琏 琐 琑 琒 琓 琔 琕 琖 琗 琘 琙 琚 琛 琜 琝 琞 琟 琠 琡 琢 琣 琤 琥 琦 琧 琨 琩 琪 琫 琬 琭 琮 琯 琰 琱 琲 琳 琴 琵 琶 琷 琸 琹 琺 琻 琼 琽 琾 琿 瑀 瑁 瑂 瑃 瑄 瑅 瑆 瑇 瑈 瑉 瑊 瑋 瑌 瑍 瑎 瑏 瑐 瑑 瑒 瑓 瑔 瑕 瑖 瑗 瑘 瑙 瑚 瑛 瑜 瑝 瑞 瑟 瑠 瑡 瑢 瑣 瑤 瑥 瑦 瑧 瑨 瑩 瑪 瑫 瑬 瑭 瑮 瑯 瑰 瑱 瑲 瑳 瑴 瑵 瑶 瑷 瑸 瑹 瑺 瑻 瑼 瑽 瑾 瑿 璀 璁 璂 璃 璄 璅 璆 璇 璈 璉 璊 璋 璌 璍 璎 璏 璐 璑 璒 璓 璔 璕 璖 璗 璘 璙 璚 璛 璜 璝 璞 璟 璠 璡 璢 璣 璤 璥 璦 璧 璨 璩 璪 璫 璬 璭 璮 璯 環 璱 璲 璳 璴 璵 璶 璷 璸 璹 璺 璻 璼 璽 璾 璿 瓀 瓁 瓂 瓃 瓄 瓅 瓆 瓇 瓈 瓉 瓊 瓋 瓌 瓍 瓎 瓏 瓐 瓑 瓒 瓓 瓔 瓕 瓖 瓗 瓘 瓙 瓚 瓛 瓜 瓝 瓞 瓟 瓠 瓡 瓢 瓣 瓤 瓥 瓦 瓧 瓨 瓩 瓪 瓫 瓬 瓭 瓮 瓯 瓰 瓱 瓲 瓳 瓴 瓵 瓶 瓷 瓸 瓹 瓺 瓻 瓼 瓽 瓾 瓿</t>
        </is>
      </c>
      <c r="R188" s="43" t="inlineStr">
        <is>
          <t>琀 琁 球 理 琇 琈 琉 琋 琌 琎 琏 琐 琒 琓 琔 琕 琗 琙 琚 琛 琜 琝 琞 琟 琠 琡 琤 琥 琦 琧 琫 琬 琭 琮 琯 琰 琱 琳 琴 琶 琷 琸 琹 琺 琻 琼 琽 琾 瑂 瑃 瑄 瑅 瑆 瑈 瑊 瑋 瑌 瑍 瑏 瑐 瑑 瑒 瑔 瑖 瑗 瑚 瑜 瑝 瑞 瑟 瑢 瑤 瑥 瑦 瑨 瑩 瑪 瑬 瑭 瑮 瑰 瑲 瑳 瑴 瑵 瑷 瑸 瑺 瑻 瑼 瑽 瑿 璀 璁 璄 璅 璆 璇 璈 璉 璋 璎 璏 璐 璑 璒 璓 璕 璖 璗 璘 璙 璛 璜 璝 璞 璟 璠 璡 璣 璤 璥 璦 璧 璨 璩 璪 璫 璬 璭 璮 璯 環 璱 璲 璳 璴 璵 璶 璷 璹 璺 璻 璼 璽 璾 璿 瓀 瓁 瓂 瓃 瓄 瓅 瓆 瓇 瓈 瓉 瓊 瓋 瓌 瓎 瓐 瓑 瓒 瓔 瓕 瓖 瓗 瓘 瓙 瓚 瓛 瓜 瓝 瓞 瓟 瓠 瓡 瓢 瓣 瓤 瓥 瓦 瓧 瓩 瓪 瓫 瓬 瓭 瓰 瓱 瓲 瓳 瓴 瓵 瓷 瓸 瓻 瓼 瓽 瓾 瓿</t>
        </is>
      </c>
      <c r="S188" s="40" t="n"/>
      <c r="V188" s="14">
        <f>(LEN(O188)+1)/2</f>
        <v/>
      </c>
      <c r="W188" s="14">
        <f>ROUNDDOWN((LEN(P188)+1)/2,0)</f>
        <v/>
      </c>
      <c r="X188" s="14">
        <f>ROUNDDOWN((LEN(Q188)+1)/2,0)</f>
        <v/>
      </c>
      <c r="Y188" s="14">
        <f>ROUNDDOWN((LEN(R188)+1)/2,0)</f>
        <v/>
      </c>
      <c r="Z188" s="14">
        <f>ROUNDDOWN((LEN(S188)+1)/2,0)</f>
        <v/>
      </c>
      <c r="AA188" s="56" t="n">
        <v>46150.55845934847</v>
      </c>
    </row>
    <row r="189" ht="102" customHeight="1">
      <c r="B189" s="46" t="inlineStr">
        <is>
          <t>U+7500-U+75FF</t>
        </is>
      </c>
      <c r="C189" s="46" t="inlineStr">
        <is>
          <t>CJK Unified Ideographs</t>
        </is>
      </c>
      <c r="D189" s="54">
        <f>HEX2DEC(MID(B189,3,FIND("-",E189)-3))</f>
        <v/>
      </c>
      <c r="E189" s="46" t="inlineStr">
        <is>
          <t>U+4E00-U+9FFF</t>
        </is>
      </c>
      <c r="F189" s="12" t="n">
        <v>3</v>
      </c>
      <c r="J189" s="19">
        <f>ROUNDDOWN(W189,0)/$V189</f>
        <v/>
      </c>
      <c r="K189" s="19">
        <f>ROUNDDOWN(X189,0)/$V189</f>
        <v/>
      </c>
      <c r="L189" s="19">
        <f>ROUNDDOWN(Y189,0)/$V189</f>
        <v/>
      </c>
      <c r="M189" s="19">
        <f>ROUNDDOWN(Z189,0)/$V189</f>
        <v/>
      </c>
      <c r="O189" s="36" t="inlineStr">
        <is>
          <t>甀 甁 甂 甃 甄 甅 甆 甇 甈 甉 甊 甋 甌 甍 甎 甏 甐 甑 甒 甓 甔 甕 甖 甗 甘 甙 甚 甛 甜 甝 甞 生 甠 甡 產 産 甤 甥 甦 甧 用 甩 甪 甫 甬 甭 甮 甯 田 由 甲 申 甴 电 甶 男 甸 甹 町 画 甼 甽 甾 甿 畀 畁 畂 畃 畄 畅 畆 畇 畈 畉 畊 畋 界 畍 畎 畏 畐 畑 畒 畓 畔 畕 畖 畗 畘 留 畚 畛 畜 畝 畞 畟 畠 畡 畢 畣 畤 略 畦 畧 畨 畩 番 畫 畬 畭 畮 畯 異 畱 畲 畳 畴 畵 當 畷 畸 畹 畺 畻 畼 畽 畾 畿 疀 疁 疂 疃 疄 疅 疆 疇 疈 疉 疊 疋 疌 疍 疎 疏 疐 疑 疒 疓 疔 疕 疖 疗 疘 疙 疚 疛 疜 疝 疞 疟 疠 疡 疢 疣 疤 疥 疦 疧 疨 疩 疪 疫 疬 疭 疮 疯 疰 疱 疲 疳 疴 疵 疶 疷 疸 疹 疺 疻 疼 疽 疾 疿 痀 痁 痂 痃 痄 病 痆 症 痈 痉 痊 痋 痌 痍 痎 痏 痐 痑 痒 痓 痔 痕 痖 痗 痘 痙 痚 痛 痜 痝 痞 痟 痠 痡 痢 痣 痤 痥 痦 痧 痨 痩 痪 痫 痬 痭 痮 痯 痰 痱 痲 痳 痴 痵 痶 痷 痸 痹 痺 痻 痼 痽 痾 痿</t>
        </is>
      </c>
      <c r="P189" s="37" t="inlineStr">
        <is>
          <t>甀 甁 甂 甃 甄 甅 甆 甇 甈 甉 甊 甋 甌 甍 甎 甏 甐 甑 甒 甓 甔 甕 甖 甗 甘 甙 甚 甛 甜 甝 甞 生 甠 甡 產 産 甤 甥 甦 甧 用 甩 甪 甫 甬 甭 甮 甯 田 由 甲 申 甴 电 甶 男 甸 甹 町 画 甼 甽 甾 甿 畀 畁 畂 畃 畄 畅 畆 畇 畈 畉 畊 畋 界 畍 畎 畏 畐 畑 畒 畓 畔 畕 畖 畗 畘 留 畚 畛 畜 畝 畞 畟 畠 畡 畢 畣 畤 略 畦 畧 畨 畩 番 畫 畬 畭 畮 畯 異 畱 畲 畳 畴 畵 當 畷 畸 畹 畺 畻 畼 畽 畾 畿 疀 疁 疂 疃 疄 疅 疆 疇 疈 疉 疊 疋 疌 疍 疎 疏 疐 疑 疒 疓 疔 疕 疖 疗 疘 疙 疚 疛 疜 疝 疞 疟 疠 疡 疢 疣 疤 疥 疦 疧 疨 疩 疪 疫 疬 疭 疮 疯 疰 疱 疲 疳 疴 疵 疶 疷 疸 疹 疺 疻 疼 疽 疾 疿 痀 痁 痂 痃 痄 病 痆 症 痈 痉 痊 痋 痌 痍 痎 痏 痐 痑 痒 痓 痔 痕 痖 痗 痘 痙 痚 痛 痜 痝 痞 痟 痠 痡 痢 痣 痤 痥 痦 痧 痨 痩 痪 痫 痬 痭 痮 痯 痰 痱 痲 痳 痴 痵 痶 痷 痸 痹 痺 痻 痼 痽 痾 痿</t>
        </is>
      </c>
      <c r="Q189" s="38" t="inlineStr">
        <is>
          <t>甀 甁 甂 甃 甄 甅 甆 甇 甈 甉 甊 甋 甌 甍 甎 甏 甐 甑 甒 甓 甔 甕 甖 甗 甘 甙 甚 甛 甜 甝 甞 生 甠 甡 產 産 甤 甥 甦 甧 用 甩 甪 甫 甬 甭 甮 甯 田 由 甲 申 甴 电 甶 男 甸 甹 町 画 甼 甽 甾 甿 畀 畁 畂 畃 畄 畅 畆 畇 畈 畉 畊 畋 界 畍 畎 畏 畐 畑 畒 畓 畔 畕 畖 畗 畘 留 畚 畛 畜 畝 畞 畟 畠 畡 畢 畣 畤 略 畦 畧 畨 畩 番 畫 畬 畭 畮 畯 異 畱 畲 畳 畴 畵 當 畷 畸 畹 畺 畻 畼 畽 畾 畿 疀 疁 疂 疃 疄 疅 疆 疇 疈 疉 疊 疋 疌 疍 疎 疏 疐 疑 疒 疓 疔 疕 疖 疗 疘 疙 疚 疛 疜 疝 疞 疟 疠 疡 疢 疣 疤 疥 疦 疧 疨 疩 疪 疫 疬 疭 疮 疯 疰 疱 疲 疳 疴 疵 疶 疷 疸 疹 疺 疻 疼 疽 疾 疿 痀 痁 痂 痃 痄 病 痆 症 痈 痉 痊 痋 痌 痍 痎 痏 痐 痑 痒 痓 痔 痕 痖 痗 痘 痙 痚 痛 痜 痝 痞 痟 痠 痡 痢 痣 痤 痥 痦 痧 痨 痩 痪 痫 痬 痭 痮 痯 痰 痱 痲 痳 痴 痵 痶 痷 痸 痹 痺 痻 痼 痽 痾 痿</t>
        </is>
      </c>
      <c r="R189" s="43" t="inlineStr">
        <is>
          <t>甀 甃 甅 甆 甇 甈 甉 甊 甍 甏 甒 甓 甔 甕 甖 甘 甙 甚 甝 甞 生 甠 甡 產 産 甤 甥 甦 甧 用 甩 甪 甫 甬 甭 甮 甯 田 由 甲 申 甴 电 甶 男 甸 甹 甾 畁 畂 畃 畄 畆 畇 畈 畉 畊 畋 界 畍 畎 畏 畐 畒 畓 畔 畕 畖 畗 畘 留 畚 畛 畜 畝 畞 畟 畠 畢 畣 畤 略 畦 畧 畨 畩 番 畫 畬 畭 畮 畯 異 畱 畲 畳 畴 畵 當 畷 畸 畹 畺 畻 畼 畽 畾 畿 疀 疁 疂 疃 疄 疉 疊 疋 疌 疍 疎 疏 疐 疑 疒 疓 疔 疕 疖 疗 疘 疙 疚 疛 疜 疝 疞 疟 疠 疡 疢 疣 疤 疥 疦 疧 疨 疩 疪 疫 疬 疭 疮 疯 疰 疱 疲 疳 疴 疵 疶 疷 疸 疹 疺 疻 疼 疽 疾 疿 痀 痁 痂 痃 痄 病 痆 症 痈 痉 痊 痋 痌 痍 痎 痏 痐 痑 痒 痓 痔 痕 痖 痗 痘 痙 痚 痛 痜 痝 痞 痟 痠 痡 痢 痣 痤 痥 痦 痧 痨 痩 痪 痫 痬 痭 痮 痯 痰 痱 痲 痳 痴 痵 痶 痷 痸 痹 痺 痻 痼 痽 痾 痿</t>
        </is>
      </c>
      <c r="S189" s="40" t="n"/>
      <c r="V189" s="14">
        <f>(LEN(O189)+1)/2</f>
        <v/>
      </c>
      <c r="W189" s="14">
        <f>ROUNDDOWN((LEN(P189)+1)/2,0)</f>
        <v/>
      </c>
      <c r="X189" s="14">
        <f>ROUNDDOWN((LEN(Q189)+1)/2,0)</f>
        <v/>
      </c>
      <c r="Y189" s="14">
        <f>ROUNDDOWN((LEN(R189)+1)/2,0)</f>
        <v/>
      </c>
      <c r="Z189" s="14">
        <f>ROUNDDOWN((LEN(S189)+1)/2,0)</f>
        <v/>
      </c>
      <c r="AA189" s="56" t="n">
        <v>46150.55846213298</v>
      </c>
    </row>
    <row r="190" ht="102" customHeight="1">
      <c r="B190" s="46" t="inlineStr">
        <is>
          <t>U+7600-U+76FF</t>
        </is>
      </c>
      <c r="C190" s="46" t="inlineStr">
        <is>
          <t>CJK Unified Ideographs</t>
        </is>
      </c>
      <c r="D190" s="54">
        <f>HEX2DEC(MID(B190,3,FIND("-",E190)-3))</f>
        <v/>
      </c>
      <c r="E190" s="46" t="inlineStr">
        <is>
          <t>U+4E00-U+9FFF</t>
        </is>
      </c>
      <c r="F190" s="12" t="n">
        <v>3</v>
      </c>
      <c r="J190" s="19">
        <f>ROUNDDOWN(W190,0)/$V190</f>
        <v/>
      </c>
      <c r="K190" s="19">
        <f>ROUNDDOWN(X190,0)/$V190</f>
        <v/>
      </c>
      <c r="L190" s="19">
        <f>ROUNDDOWN(Y190,0)/$V190</f>
        <v/>
      </c>
      <c r="M190" s="19">
        <f>ROUNDDOWN(Z190,0)/$V190</f>
        <v/>
      </c>
      <c r="O190" s="36" t="inlineStr">
        <is>
          <t>瘀 瘁 瘂 瘃 瘄 瘅 瘆 瘇 瘈 瘉 瘊 瘋 瘌 瘍 瘎 瘏 瘐 瘑 瘒 瘓 瘔 瘕 瘖 瘗 瘘 瘙 瘚 瘛 瘜 瘝 瘞 瘟 瘠 瘡 瘢 瘣 瘤 瘥 瘦 瘧 瘨 瘩 瘪 瘫 瘬 瘭 瘮 瘯 瘰 瘱 瘲 瘳 瘴 瘵 瘶 瘷 瘸 瘹 瘺 瘻 瘼 瘽 瘾 瘿 癀 癁 療 癃 癄 癅 癆 癇 癈 癉 癊 癋 癌 癍 癎 癏 癐 癑 癒 癓 癔 癕 癖 癗 癘 癙 癚 癛 癜 癝 癞 癟 癠 癡 癢 癣 癤 癥 癦 癧 癨 癩 癪 癫 癬 癭 癮 癯 癰 癱 癲 癳 癴 癵 癶 癷 癸 癹 発 登 發 白 百 癿 皀 皁 皂 皃 的 皅 皆 皇 皈 皉 皊 皋 皌 皍 皎 皏 皐 皑 皒 皓 皔 皕 皖 皗 皘 皙 皚 皛 皜 皝 皞 皟 皠 皡 皢 皣 皤 皥 皦 皧 皨 皩 皪 皫 皬 皭 皮 皯 皰 皱 皲 皳 皴 皵 皶 皷 皸 皹 皺 皻 皼 皽 皾 皿 盀 盁 盂 盃 盄 盅 盆 盇 盈 盉 益 盋 盌 盍 盎 盏 盐 监 盒 盓 盔 盕 盖 盗 盘 盙 盚 盛 盜 盝 盞 盟 盠 盡 盢 監 盤 盥 盦 盧 盨 盩 盪 盫 盬 盭 目 盯 盰 盱 盲 盳 直 盵 盶 盷 相 盹 盺 盻 盼 盽 盾 盿</t>
        </is>
      </c>
      <c r="P190" s="37" t="inlineStr">
        <is>
          <t>瘀 瘁 瘂 瘃 瘄 瘅 瘆 瘇 瘈 瘉 瘊 瘋 瘌 瘍 瘎 瘏 瘐 瘑 瘒 瘓 瘔 瘕 瘖 瘗 瘘 瘙 瘚 瘛 瘜 瘝 瘞 瘟 瘠 瘡 瘢 瘣 瘤 瘥 瘦 瘧 瘨 瘩 瘪 瘫 瘬 瘭 瘮 瘯 瘰 瘱 瘲 瘳 瘴 瘵 瘶 瘷 瘸 瘹 瘺 瘻 瘼 瘽 瘾 瘿 癀 癁 療 癃 癄 癅 癆 癇 癈 癉 癊 癋 癌 癍 癎 癏 癐 癑 癒 癓 癔 癕 癖 癗 癘 癙 癚 癛 癜 癝 癞 癟 癠 癡 癢 癣 癤 癥 癦 癧 癨 癩 癪 癫 癬 癭 癮 癯 癰 癱 癲 癳 癴 癵 癶 癷 癸 癹 発 登 發 白 百 癿 皀 皁 皂 皃 的 皅 皆 皇 皈 皉 皊 皋 皌 皍 皎 皏 皐 皑 皒 皓 皔 皕 皖 皗 皘 皙 皚 皛 皜 皝 皞 皟 皠 皡 皢 皣 皤 皥 皦 皧 皨 皩 皪 皫 皬 皭 皮 皯 皰 皱 皲 皳 皴 皵 皶 皷 皸 皹 皺 皻 皼 皽 皾 皿 盀 盁 盂 盃 盄 盅 盆 盇 盈 盉 益 盋 盌 盍 盎 盏 盐 监 盒 盓 盔 盕 盖 盗 盘 盙 盚 盛 盜 盝 盞 盟 盠 盡 盢 監 盤 盥 盦 盧 盨 盩 盪 盫 盬 盭 目 盯 盰 盱 盲 盳 直 盵 盶 盷 相 盹 盺 盻 盼 盽 盾 盿</t>
        </is>
      </c>
      <c r="Q190" s="38" t="inlineStr">
        <is>
          <t>瘀 瘁 瘂 瘃 瘄 瘅 瘆 瘇 瘈 瘉 瘊 瘋 瘌 瘍 瘎 瘏 瘐 瘑 瘒 瘓 瘔 瘕 瘖 瘗 瘘 瘙 瘚 瘛 瘜 瘝 瘞 瘟 瘠 瘡 瘢 瘣 瘤 瘥 瘦 瘧 瘨 瘩 瘪 瘫 瘬 瘭 瘮 瘯 瘰 瘱 瘲 瘳 瘴 瘵 瘶 瘷 瘸 瘹 瘺 瘻 瘼 瘽 瘾 瘿 癀 癁 療 癃 癄 癅 癆 癇 癈 癉 癊 癋 癌 癍 癎 癏 癐 癑 癒 癓 癔 癕 癖 癗 癘 癙 癚 癛 癜 癝 癞 癟 癠 癡 癢 癣 癤 癥 癦 癧 癨 癩 癪 癫 癬 癭 癮 癯 癰 癱 癲 癳 癴 癵 癶 癷 癸 癹 発 登 發 白 百 癿 皀 皁 皂 皃 的 皅 皆 皇 皈 皉 皊 皋 皌 皍 皎 皏 皐 皑 皒 皓 皔 皕 皖 皗 皘 皙 皚 皛 皜 皝 皞 皟 皠 皡 皢 皣 皤 皥 皦 皧 皨 皩 皪 皫 皬 皭 皮 皯 皰 皱 皲 皳 皴 皵 皶 皷 皸 皹 皺 皻 皼 皽 皾 皿 盀 盁 盂 盃 盄 盅 盆 盇 盈 盉 益 盋 盌 盍 盎 盏 盐 监 盒 盓 盔 盕 盖 盗 盘 盙 盚 盛 盜 盝 盞 盟 盠 盡 盢 監 盤 盥 盦 盧 盨 盩 盪 盫 盬 盭 目 盯 盰 盱 盲 盳 直 盵 盶 盷 相 盹 盺 盻 盼 盽 盾 盿</t>
        </is>
      </c>
      <c r="R190" s="43" t="inlineStr">
        <is>
          <t>瘀 瘁 瘂 瘃 瘄 瘅 瘆 瘇 瘈 瘉 瘊 瘋 瘌 瘍 瘎 瘏 瘐 瘑 瘒 瘓 瘔 瘕 瘖 瘗 瘘 瘙 瘚 瘛 瘜 瘝 瘞 瘟 瘠 瘡 瘢 瘣 瘤 瘥 瘦 瘧 瘨 瘩 瘪 瘫 瘬 瘭 瘮 瘯 瘰 瘱 瘲 瘳 瘴 瘵 瘶 瘷 瘸 瘹 瘺 瘻 瘼 瘽 瘾 瘿 癀 癁 療 癃 癄 癅 癆 癇 癈 癉 癊 癋 癌 癍 癎 癏 癐 癑 癒 癓 癔 癕 癖 癗 癘 癙 癚 癛 癜 癝 癞 癟 癠 癡 癢 癣 癤 癥 癦 癧 癨 癩 癪 癫 癬 癭 癮 癯 癰 癱 癲 癳 癴 癵 癷 癸 癹 発 登 發 白 百 皀 皁 皂 皃 的 皆 皇 皈 皊 皋 皌 皍 皎 皐 皓 皔 皖 皗 皘 皙 皛 皝 皞 皟 皠 皡 皢 皦 皧 皨 皩 皫 皬 皮 皯 皰 皱 皲 皳 皴 皵 皶 皷 皸 皹 皺 皻 皼 皽 皾 皿 盀 盁 盂 盃 盄 盅 盆 盇 盈 盉 益 盋 盌 盍 盎 盏 盐 监 盒 盓 盔 盕 盗 盘 盙 盚 盛 盜 盝 盞 盟 盠 盡 盢 監 盤 盥 盦 盧 盨 盩 盪 盫 盬 盭 目 盰 盱 盲 直 盵 盶 盷 盺 盻 盼 盽 盾 盿</t>
        </is>
      </c>
      <c r="S190" s="40" t="n"/>
      <c r="V190" s="14">
        <f>(LEN(O190)+1)/2</f>
        <v/>
      </c>
      <c r="W190" s="14">
        <f>ROUNDDOWN((LEN(P190)+1)/2,0)</f>
        <v/>
      </c>
      <c r="X190" s="14">
        <f>ROUNDDOWN((LEN(Q190)+1)/2,0)</f>
        <v/>
      </c>
      <c r="Y190" s="14">
        <f>ROUNDDOWN((LEN(R190)+1)/2,0)</f>
        <v/>
      </c>
      <c r="Z190" s="14">
        <f>ROUNDDOWN((LEN(S190)+1)/2,0)</f>
        <v/>
      </c>
      <c r="AA190" s="56" t="n">
        <v>46150.55846498764</v>
      </c>
    </row>
    <row r="191" ht="102" customHeight="1">
      <c r="B191" s="46" t="inlineStr">
        <is>
          <t>U+7700-U+77FF</t>
        </is>
      </c>
      <c r="C191" s="46" t="inlineStr">
        <is>
          <t>CJK Unified Ideographs</t>
        </is>
      </c>
      <c r="D191" s="54">
        <f>HEX2DEC(MID(B191,3,FIND("-",E191)-3))</f>
        <v/>
      </c>
      <c r="E191" s="46" t="inlineStr">
        <is>
          <t>U+4E00-U+9FFF</t>
        </is>
      </c>
      <c r="F191" s="12" t="n">
        <v>3</v>
      </c>
      <c r="J191" s="19">
        <f>ROUNDDOWN(W191,0)/$V191</f>
        <v/>
      </c>
      <c r="K191" s="19">
        <f>ROUNDDOWN(X191,0)/$V191</f>
        <v/>
      </c>
      <c r="L191" s="19">
        <f>ROUNDDOWN(Y191,0)/$V191</f>
        <v/>
      </c>
      <c r="M191" s="19">
        <f>ROUNDDOWN(Z191,0)/$V191</f>
        <v/>
      </c>
      <c r="O191" s="36" t="inlineStr">
        <is>
          <t>眀 省 眂 眃 眄 眅 眆 眇 眈 眉 眊 看 県 眍 眎 眏 眐 眑 眒 眓 眔 眕 眖 眗 眘 眙 眚 眛 眜 眝 眞 真 眠 眡 眢 眣 眤 眥 眦 眧 眨 眩 眪 眫 眬 眭 眮 眯 眰 眱 眲 眳 眴 眵 眶 眷 眸 眹 眺 眻 眼 眽 眾 眿 着 睁 睂 睃 睄 睅 睆 睇 睈 睉 睊 睋 睌 睍 睎 睏 睐 睑 睒 睓 睔 睕 睖 睗 睘 睙 睚 睛 睜 睝 睞 睟 睠 睡 睢 督 睤 睥 睦 睧 睨 睩 睪 睫 睬 睭 睮 睯 睰 睱 睲 睳 睴 睵 睶 睷 睸 睹 睺 睻 睼 睽 睾 睿 瞀 瞁 瞂 瞃 瞄 瞅 瞆 瞇 瞈 瞉 瞊 瞋 瞌 瞍 瞎 瞏 瞐 瞑 瞒 瞓 瞔 瞕 瞖 瞗 瞘 瞙 瞚 瞛 瞜 瞝 瞞 瞟 瞠 瞡 瞢 瞣 瞤 瞥 瞦 瞧 瞨 瞩 瞪 瞫 瞬 瞭 瞮 瞯 瞰 瞱 瞲 瞳 瞴 瞵 瞶 瞷 瞸 瞹 瞺 瞻 瞼 瞽 瞾 瞿 矀 矁 矂 矃 矄 矅 矆 矇 矈 矉 矊 矋 矌 矍 矎 矏 矐 矑 矒 矓 矔 矕 矖 矗 矘 矙 矚 矛 矜 矝 矞 矟 矠 矡 矢 矣 矤 知 矦 矧 矨 矩 矪 矫 矬 短 矮 矯 矰 矱 矲 石 矴 矵 矶 矷 矸 矹 矺 矻 矼 矽 矾 矿</t>
        </is>
      </c>
      <c r="P191" s="37" t="inlineStr">
        <is>
          <t>眀 省 眂 眃 眄 眅 眆 眇 眈 眉 眊 看 県 眍 眎 眏 眐 眑 眒 眓 眔 眕 眖 眗 眘 眙 眚 眛 眜 眝 眞 真 眠 眡 眢 眣 眤 眥 眦 眧 眨 眩 眪 眫 眬 眭 眮 眯 眰 眱 眲 眳 眴 眵 眶 眷 眸 眹 眺 眻 眼 眽 眾 眿 着 睁 睂 睃 睄 睅 睆 睇 睈 睉 睊 睋 睌 睍 睎 睏 睐 睑 睒 睓 睔 睕 睖 睗 睘 睙 睚 睛 睜 睝 睞 睟 睠 睡 睢 督 睤 睥 睦 睧 睨 睩 睪 睫 睬 睭 睮 睯 睰 睱 睲 睳 睴 睵 睶 睷 睸 睹 睺 睻 睼 睽 睾 睿 瞀 瞁 瞂 瞃 瞄 瞅 瞆 瞇 瞈 瞉 瞊 瞋 瞌 瞍 瞎 瞏 瞐 瞑 瞒 瞓 瞔 瞕 瞖 瞗 瞘 瞙 瞚 瞛 瞜 瞝 瞞 瞟 瞠 瞡 瞢 瞣 瞤 瞥 瞦 瞧 瞨 瞩 瞪 瞫 瞬 瞭 瞮 瞯 瞰 瞱 瞲 瞳 瞴 瞵 瞶 瞷 瞸 瞹 瞺 瞻 瞼 瞽 瞾 瞿 矀 矁 矂 矃 矄 矅 矆 矇 矈 矉 矊 矋 矌 矍 矎 矏 矐 矑 矒 矓 矔 矕 矖 矗 矘 矙 矚 矛 矜 矝 矞 矟 矠 矡 矢 矣 矤 知 矦 矧 矨 矩 矪 矫 矬 短 矮 矯 矰 矱 矲 石 矴 矵 矶 矷 矸 矹 矺 矻 矼 矽 矾 矿</t>
        </is>
      </c>
      <c r="Q191" s="38" t="inlineStr">
        <is>
          <t>眀 省 眂 眃 眄 眅 眆 眇 眈 眉 眊 看 県 眍 眎 眏 眐 眑 眒 眓 眔 眕 眖 眗 眘 眙 眚 眛 眜 眝 眞 真 眠 眡 眢 眣 眤 眥 眦 眧 眨 眩 眪 眫 眬 眭 眮 眯 眰 眱 眲 眳 眴 眵 眶 眷 眸 眹 眺 眻 眼 眽 眾 眿 着 睁 睂 睃 睄 睅 睆 睇 睈 睉 睊 睋 睌 睍 睎 睏 睐 睑 睒 睓 睔 睕 睖 睗 睘 睙 睚 睛 睜 睝 睞 睟 睠 睡 睢 督 睤 睥 睦 睧 睨 睩 睪 睫 睬 睭 睮 睯 睰 睱 睲 睳 睴 睵 睶 睷 睸 睹 睺 睻 睼 睽 睾 睿 瞀 瞁 瞂 瞃 瞄 瞅 瞆 瞇 瞈 瞉 瞊 瞋 瞌 瞍 瞎 瞏 瞐 瞑 瞒 瞓 瞔 瞕 瞖 瞗 瞘 瞙 瞚 瞛 瞜 瞝 瞞 瞟 瞠 瞡 瞢 瞣 瞤 瞥 瞦 瞧 瞨 瞩 瞪 瞫 瞬 瞭 瞮 瞯 瞰 瞱 瞲 瞳 瞴 瞵 瞶 瞷 瞸 瞹 瞺 瞻 瞼 瞽 瞾 瞿 矀 矁 矂 矃 矄 矅 矆 矇 矈 矉 矊 矋 矌 矍 矎 矏 矐 矑 矒 矓 矔 矕 矖 矗 矘 矙 矚 矛 矜 矝 矞 矟 矠 矡 矢 矣 矤 知 矦 矧 矨 矩 矪 矫 矬 短 矮 矯 矰 矱 矲 石 矴 矵 矶 矷 矸 矹 矺 矻 矼 矽 矾 矿</t>
        </is>
      </c>
      <c r="R191" s="43" t="inlineStr">
        <is>
          <t>眀 省 眄 眅 眆 眇 眈 眉 眊 看 県 眎 眏 眐 眔 眕 眖 眗 眘 眚 眛 眜 眝 眞 真 眢 眣 眤 眥 眨 眫 眬 眭 眰 眲 眳 眷 眸 眹 眻 眽 眾 眿 着 睁 睂 睃 睅 睆 睇 睈 睉 睌 睍 睎 睐 睑 睒 睓 睕 睖 睗 睘 睙 睚 睜 睝 睞 睠 睢 督 睥 睨 睪 睫 睬 睭 睮 睯 睵 睶 睷 睸 睹 睺 睻 睼 睾 睿 瞀 瞁 瞂 瞃 瞅 瞆 瞇 瞈 瞉 瞊 瞌 瞍 瞎 瞏 瞐 瞖 瞛 瞡 瞢 瞣 瞥 瞧 瞨 瞩 瞪 瞬 瞭 瞮 瞰 瞴 瞵 瞺 瞻 瞼 瞽 瞾 瞿 矀 矁 矂 矅 矋 矌 矍 矎 矐 矑 矒 矔 矕 矖 矗 矘 矚 矛 矜 矝 矞 矠 矡 矢 矣 矤 矦 矨 矩 矪 矫 矬 短 矮 矯 矰 矱 石 矶 矷 矸 矹 矻 矼 矽 矾 矿</t>
        </is>
      </c>
      <c r="S191" s="40" t="n"/>
      <c r="V191" s="14">
        <f>(LEN(O191)+1)/2</f>
        <v/>
      </c>
      <c r="W191" s="14">
        <f>ROUNDDOWN((LEN(P191)+1)/2,0)</f>
        <v/>
      </c>
      <c r="X191" s="14">
        <f>ROUNDDOWN((LEN(Q191)+1)/2,0)</f>
        <v/>
      </c>
      <c r="Y191" s="14">
        <f>ROUNDDOWN((LEN(R191)+1)/2,0)</f>
        <v/>
      </c>
      <c r="Z191" s="14">
        <f>ROUNDDOWN((LEN(S191)+1)/2,0)</f>
        <v/>
      </c>
      <c r="AA191" s="56" t="n">
        <v>46150.55846784237</v>
      </c>
    </row>
    <row r="192" ht="102" customHeight="1">
      <c r="B192" s="46" t="inlineStr">
        <is>
          <t>U+7800-U+78FF</t>
        </is>
      </c>
      <c r="C192" s="46" t="inlineStr">
        <is>
          <t>CJK Unified Ideographs</t>
        </is>
      </c>
      <c r="D192" s="54">
        <f>HEX2DEC(MID(B192,3,FIND("-",E192)-3))</f>
        <v/>
      </c>
      <c r="E192" s="46" t="inlineStr">
        <is>
          <t>U+4E00-U+9FFF</t>
        </is>
      </c>
      <c r="F192" s="12" t="n">
        <v>3</v>
      </c>
      <c r="J192" s="19">
        <f>ROUNDDOWN(W192,0)/$V192</f>
        <v/>
      </c>
      <c r="K192" s="19">
        <f>ROUNDDOWN(X192,0)/$V192</f>
        <v/>
      </c>
      <c r="L192" s="19">
        <f>ROUNDDOWN(Y192,0)/$V192</f>
        <v/>
      </c>
      <c r="M192" s="19">
        <f>ROUNDDOWN(Z192,0)/$V192</f>
        <v/>
      </c>
      <c r="O192" s="36" t="inlineStr">
        <is>
          <t>砀 码 砂 砃 砄 砅 砆 砇 砈 砉 砊 砋 砌 砍 砎 砏 砐 砑 砒 砓 研 砕 砖 砗 砘 砙 砚 砛 砜 砝 砞 砟 砠 砡 砢 砣 砤 砥 砦 砧 砨 砩 砪 砫 砬 砭 砮 砯 砰 砱 砲 砳 破 砵 砶 砷 砸 砹 砺 砻 砼 砽 砾 砿 础 硁 硂 硃 硄 硅 硆 硇 硈 硉 硊 硋 硌 硍 硎 硏 硐 硑 硒 硓 硔 硕 硖 硗 硘 硙 硚 硛 硜 硝 硞 硟 硠 硡 硢 硣 硤 硥 硦 硧 硨 硩 硪 硫 硬 硭 确 硯 硰 硱 硲 硳 硴 硵 硶 硷 硸 硹 硺 硻 硼 硽 硾 硿 碀 碁 碂 碃 碄 碅 碆 碇 碈 碉 碊 碋 碌 碍 碎 碏 碐 碑 碒 碓 碔 碕 碖 碗 碘 碙 碚 碛 碜 碝 碞 碟 碠 碡 碢 碣 碤 碥 碦 碧 碨 碩 碪 碫 碬 碭 碮 碯 碰 碱 碲 碳 碴 碵 碶 碷 碸 碹 確 碻 碼 碽 碾 碿 磀 磁 磂 磃 磄 磅 磆 磇 磈 磉 磊 磋 磌 磍 磎 磏 磐 磑 磒 磓 磔 磕 磖 磗 磘 磙 磚 磛 磜 磝 磞 磟 磠 磡 磢 磣 磤 磥 磦 磧 磨 磩 磪 磫 磬 磭 磮 磯 磰 磱 磲 磳 磴 磵 磶 磷 磸 磹 磺 磻 磼 磽 磾 磿</t>
        </is>
      </c>
      <c r="P192" s="37" t="inlineStr">
        <is>
          <t>砀 码 砂 砃 砄 砅 砆 砇 砈 砉 砊 砋 砌 砍 砎 砏 砐 砑 砒 砓 研 砕 砖 砗 砘 砙 砚 砛 砜 砝 砞 砟 砠 砡 砢 砣 砤 砥 砦 砧 砨 砩 砪 砫 砬 砭 砮 砯 砰 砱 砲 砳 破 砵 砶 砷 砸 砹 砺 砻 砼 砽 砾 砿 础 硁 硂 硃 硄 硅 硆 硇 硈 硉 硊 硋 硌 硍 硎 硏 硐 硑 硒 硓 硔 硕 硖 硗 硘 硙 硚 硛 硜 硝 硞 硟 硠 硡 硢 硣 硤 硥 硦 硧 硨 硩 硪 硫 硬 硭 确 硯 硰 硱 硲 硳 硴 硵 硶 硷 硸 硹 硺 硻 硼 硽 硾 硿 碀 碁 碂 碃 碄 碅 碆 碇 碈 碉 碊 碋 碌 碍 碎 碏 碐 碑 碒 碓 碔 碕 碖 碗 碘 碙 碚 碛 碜 碝 碞 碟 碠 碡 碢 碣 碤 碥 碦 碧 碨 碩 碪 碫 碬 碭 碮 碯 碰 碱 碲 碳 碴 碵 碶 碷 碸 碹 確 碻 碼 碽 碾 碿 磀 磁 磂 磃 磄 磅 磆 磇 磈 磉 磊 磋 磌 磍 磎 磏 磐 磑 磒 磓 磔 磕 磖 磗 磘 磙 磚 磛 磜 磝 磞 磟 磠 磡 磢 磣 磤 磥 磦 磧 磨 磩 磪 磫 磬 磭 磮 磯 磰 磱 磲 磳 磴 磵 磶 磷 磸 磹 磺 磻 磼 磽 磾 磿</t>
        </is>
      </c>
      <c r="Q192" s="38" t="inlineStr">
        <is>
          <t>砀 码 砂 砃 砄 砅 砆 砇 砈 砉 砊 砋 砌 砍 砎 砏 砐 砑 砒 砓 研 砕 砖 砗 砘 砙 砚 砛 砜 砝 砞 砟 砠 砡 砢 砣 砤 砥 砦 砧 砨 砩 砪 砫 砬 砭 砮 砯 砰 砱 砲 砳 破 砵 砶 砷 砸 砹 砺 砻 砼 砽 砾 砿 础 硁 硂 硃 硄 硅 硆 硇 硈 硉 硊 硋 硌 硍 硎 硏 硐 硑 硒 硓 硔 硕 硖 硗 硘 硙 硚 硛 硜 硝 硞 硟 硠 硡 硢 硣 硤 硥 硦 硧 硨 硩 硪 硫 硬 硭 确 硯 硰 硱 硲 硳 硴 硵 硶 硷 硸 硹 硺 硻 硼 硽 硾 硿 碀 碁 碂 碃 碄 碅 碆 碇 碈 碉 碊 碋 碌 碍 碎 碏 碐 碑 碒 碓 碔 碕 碖 碗 碘 碙 碚 碛 碜 碝 碞 碟 碠 碡 碢 碣 碤 碥 碦 碧 碨 碩 碪 碫 碬 碭 碮 碯 碰 碱 碲 碳 碴 碵 碶 碷 碸 碹 確 碻 碼 碽 碾 碿 磀 磁 磂 磃 磄 磅 磆 磇 磈 磉 磊 磋 磌 磍 磎 磏 磐 磑 磒 磓 磔 磕 磖 磗 磘 磙 磚 磛 磜 磝 磞 磟 磠 磡 磢 磣 磤 磥 磦 磧 磨 磩 磪 磫 磬 磭 磮 磯 磰 磱 磲 磳 磴 磵 磶 磷 磸 磹 磺 磻 磼 磽 磾 磿</t>
        </is>
      </c>
      <c r="R192" s="43" t="inlineStr">
        <is>
          <t>砀 砂 砃 砄 砅 砆 砇 砈 砉 砊 砋 砌 砍 砎 砏 砐 砑 砓 研 砕 砗 砘 砚 砛 砜 砞 砟 砠 砡 砣 砤 砦 砨 砩 砪 砫 砬 砭 砮 砯 砰 砱 砲 砳 破 砵 砹 砺 砻 砼 砽 砾 砿 硁 硂 硃 硄 硆 硈 硉 硊 硋 硑 硒 硓 硔 硕 硖 硗 硚 硛 硜 硞 硟 硡 硢 硣 硤 硥 硦 硩 硫 硬 确 硯 硰 硲 硴 硶 硷 硸 硹 硻 硼 硽 硾 硿 碀 碁 碂 碄 碆 碇 碉 碍 碎 碐 碑 碒 碓 碔 碕 碖 碗 碘 碚 碜 碝 碞 碟 碣 碥 碦 碧 碨 碩 碫 碭 碮 碰 碱 碲 碳 碵 碶 碷 碸 碹 確 碽 碾 碿 磀 磃 磄 磅 磆 磈 磉 磊 磋 磍 磎 磏 磐 磑 磓 磔 磕 磙 磚 磛 磜 磝 磞 磟 磡 磢 磣 磤 磥 磦 磧 磨 磩 磪 磫 磬 磭 磮 磯 磱 磲 磴 磶 磷 磹 磺 磻 磼 磽 磿</t>
        </is>
      </c>
      <c r="S192" s="40" t="n"/>
      <c r="V192" s="14">
        <f>(LEN(O192)+1)/2</f>
        <v/>
      </c>
      <c r="W192" s="14">
        <f>ROUNDDOWN((LEN(P192)+1)/2,0)</f>
        <v/>
      </c>
      <c r="X192" s="14">
        <f>ROUNDDOWN((LEN(Q192)+1)/2,0)</f>
        <v/>
      </c>
      <c r="Y192" s="14">
        <f>ROUNDDOWN((LEN(R192)+1)/2,0)</f>
        <v/>
      </c>
      <c r="Z192" s="14">
        <f>ROUNDDOWN((LEN(S192)+1)/2,0)</f>
        <v/>
      </c>
      <c r="AA192" s="56" t="n">
        <v>46150.55847066492</v>
      </c>
    </row>
    <row r="193" ht="102" customHeight="1">
      <c r="B193" s="46" t="inlineStr">
        <is>
          <t>U+7900-U+79FF</t>
        </is>
      </c>
      <c r="C193" s="46" t="inlineStr">
        <is>
          <t>CJK Unified Ideographs</t>
        </is>
      </c>
      <c r="D193" s="54">
        <f>HEX2DEC(MID(B193,3,FIND("-",E193)-3))</f>
        <v/>
      </c>
      <c r="E193" s="46" t="inlineStr">
        <is>
          <t>U+4E00-U+9FFF</t>
        </is>
      </c>
      <c r="F193" s="12" t="n">
        <v>3</v>
      </c>
      <c r="J193" s="19">
        <f>ROUNDDOWN(W193,0)/$V193</f>
        <v/>
      </c>
      <c r="K193" s="19">
        <f>ROUNDDOWN(X193,0)/$V193</f>
        <v/>
      </c>
      <c r="L193" s="19">
        <f>ROUNDDOWN(Y193,0)/$V193</f>
        <v/>
      </c>
      <c r="M193" s="19">
        <f>ROUNDDOWN(Z193,0)/$V193</f>
        <v/>
      </c>
      <c r="O193" s="36" t="inlineStr">
        <is>
          <t>礀 礁 礂 礃 礄 礅 礆 礇 礈 礉 礊 礋 礌 礍 礎 礏 礐 礑 礒 礓 礔 礕 礖 礗 礘 礙 礚 礛 礜 礝 礞 礟 礠 礡 礢 礣 礤 礥 礦 礧 礨 礩 礪 礫 礬 礭 礮 礯 礰 礱 礲 礳 礴 礵 礶 礷 礸 礹 示 礻 礼 礽 社 礿 祀 祁 祂 祃 祄 祅 祆 祇 祈 祉 祊 祋 祌 祍 祎 祏 祐 祑 祒 祓 祔 祕 祖 祗 祘 祙 祚 祛 祜 祝 神 祟 祠 祡 祢 祣 祤 祥 祦 祧 票 祩 祪 祫 祬 祭 祮 祯 祰 祱 祲 祳 祴 祵 祶 祷 祸 祹 祺 祻 祼 祽 祾 祿 禀 禁 禂 禃 禄 禅 禆 禇 禈 禉 禊 禋 禌 禍 禎 福 禐 禑 禒 禓 禔 禕 禖 禗 禘 禙 禚 禛 禜 禝 禞 禟 禠 禡 禢 禣 禤 禥 禦 禧 禨 禩 禪 禫 禬 禭 禮 禯 禰 禱 禲 禳 禴 禵 禶 禷 禸 禹 禺 离 禼 禽 禾 禿 秀 私 秂 秃 秄 秅 秆 秇 秈 秉 秊 秋 秌 种 秎 秏 秐 科 秒 秓 秔 秕 秖 秗 秘 秙 秚 秛 秜 秝 秞 租 秠 秡 秢 秣 秤 秥 秦 秧 秨 秩 秪 秫 秬 秭 秮 积 称 秱 秲 秳 秴 秵 秶 秷 秸 秹 秺 移 秼 秽 秾 秿</t>
        </is>
      </c>
      <c r="P193" s="37" t="inlineStr">
        <is>
          <t>礀 礁 礂 礃 礄 礅 礆 礇 礈 礉 礊 礋 礌 礍 礎 礏 礐 礑 礒 礓 礔 礕 礖 礗 礘 礙 礚 礛 礜 礝 礞 礟 礠 礡 礢 礣 礤 礥 礦 礧 礨 礩 礪 礫 礬 礭 礮 礯 礰 礱 礲 礳 礴 礵 礶 礷 礸 礹 示 礻 礼 礽 社 礿 祀 祁 祂 祃 祄 祅 祆 祇 祈 祉 祊 祋 祌 祍 祎 祏 祐 祑 祒 祓 祔 祕 祖 祗 祘 祙 祚 祛 祜 祝 神 祟 祠 祡 祢 祣 祤 祥 祦 祧 票 祩 祪 祫 祬 祭 祮 祯 祰 祱 祲 祳 祴 祵 祶 祷 祸 祹 祺 祻 祼 祽 祾 祿 禀 禁 禂 禃 禄 禅 禆 禇 禈 禉 禊 禋 禌 禍 禎 福 禐 禑 禒 禓 禔 禕 禖 禗 禘 禙 禚 禛 禜 禝 禞 禟 禠 禡 禢 禣 禤 禥 禦 禧 禨 禩 禪 禫 禬 禭 禮 禯 禰 禱 禲 禳 禴 禵 禶 禷 禸 禹 禺 离 禼 禽 禾 禿 秀 私 秂 秃 秄 秅 秆 秇 秈 秉 秊 秋 秌 种 秎 秏 秐 科 秒 秓 秔 秕 秖 秗 秘 秙 秚 秛 秜 秝 秞 租 秠 秡 秢 秣 秤 秥 秦 秧 秨 秩 秪 秫 秬 秭 秮 积 称 秱 秲 秳 秴 秵 秶 秷 秸 秹 秺 移 秼 秽 秾 秿</t>
        </is>
      </c>
      <c r="Q193" s="38" t="inlineStr">
        <is>
          <t>礀 礁 礂 礃 礄 礅 礆 礇 礈 礉 礊 礋 礌 礍 礎 礏 礐 礑 礒 礓 礔 礕 礖 礗 礘 礙 礚 礛 礜 礝 礞 礟 礠 礡 礢 礣 礤 礥 礦 礧 礨 礩 礪 礫 礬 礭 礮 礯 礰 礱 礲 礳 礴 礵 礶 礷 礸 礹 示 礻 礼 礽 社 礿 祀 祁 祂 祃 祄 祅 祆 祇 祈 祉 祊 祋 祌 祍 祎 祏 祐 祑 祒 祓 祔 祕 祖 祗 祘 祙 祚 祛 祜 祝 神 祟 祠 祡 祢 祣 祤 祥 祦 祧 票 祩 祪 祫 祬 祭 祮 祯 祰 祱 祲 祳 祴 祵 祶 祷 祸 祹 祺 祻 祼 祽 祾 祿 禀 禁 禂 禃 禄 禅 禆 禇 禈 禉 禊 禋 禌 禍 禎 福 禐 禑 禒 禓 禔 禕 禖 禗 禘 禙 禚 禛 禜 禝 禞 禟 禠 禡 禢 禣 禤 禥 禦 禧 禨 禩 禪 禫 禬 禭 禮 禯 禰 禱 禲 禳 禴 禵 禶 禷 禸 禹 禺 离 禼 禽 禾 禿 秀 私 秂 秃 秄 秅 秆 秇 秈 秉 秊 秋 秌 种 秎 秏 秐 科 秒 秓 秔 秕 秖 秗 秘 秙 秚 秛 秜 秝 秞 租 秠 秡 秢 秣 秤 秥 秦 秧 秨 秩 秪 秫 秬 秭 秮 积 称 秱 秲 秳 秴 秵 秶 秷 秸 秹 秺 移 秼 秽 秾 秿</t>
        </is>
      </c>
      <c r="R193" s="43" t="inlineStr">
        <is>
          <t>礁 礂 礄 礆 礇 礈 礉 礊 礋 礌 礍 礎 礏 礐 礑 礓 礔 礕 礖 礘 礙 礚 礛 礜 礝 礠 礡 礢 礣 礤 礦 礨 礩 礪 礬 礭 礯 礰 礱 礳 礵 礶 礷 礸 礹 礻 礽 社 礿 祂 祃 祄 祅 祆 祈 祉 祊 祋 祍 祎 祏 祐 祑 祒 祓 祔 祕 祖 祙 祚 祛 祜 祝 祟 祠 祡 祢 祣 祥 祦 票 祩 祪 祫 祬 祭 祮 祰 祱 祲 祳 祴 祶 祷 祸 祹 祺 祼 祽 祾 祿 禀 禂 禃 禅 禆 禇 禈 禉 禊 禋 禍 禎 禐 禑 禒 禓 禔 禕 禖 禗 禘 禙 禚 禛 禜 禝 禞 禟 禠 禡 禢 禣 禤 禥 禦 禧 禨 禩 禪 禫 禬 禭 禮 禯 禰 禱 禲 禳 禴 禵 禶 禷 禸 禹 禺 离 禼 禽 禾 禿 秀 私 秂 秃 秄 秅 秆 秇 秉 秊 秋 秌 秎 秏 秐 科 秒 秓 秔 秗 秘 秙 秚 秛 秜 秝 租 秠 秡 秢 秣 秤 秦 秧 秨 秩 秫 秭 秮 积 称 秲 秴 秶 秷 秸 秹 秺 秼 秽 秾 秿</t>
        </is>
      </c>
      <c r="S193" s="40" t="n"/>
      <c r="V193" s="14">
        <f>(LEN(O193)+1)/2</f>
        <v/>
      </c>
      <c r="W193" s="14">
        <f>ROUNDDOWN((LEN(P193)+1)/2,0)</f>
        <v/>
      </c>
      <c r="X193" s="14">
        <f>ROUNDDOWN((LEN(Q193)+1)/2,0)</f>
        <v/>
      </c>
      <c r="Y193" s="14">
        <f>ROUNDDOWN((LEN(R193)+1)/2,0)</f>
        <v/>
      </c>
      <c r="Z193" s="14">
        <f>ROUNDDOWN((LEN(S193)+1)/2,0)</f>
        <v/>
      </c>
      <c r="AA193" s="56" t="n">
        <v>46150.55847344678</v>
      </c>
    </row>
    <row r="194" ht="102" customHeight="1">
      <c r="B194" s="46" t="inlineStr">
        <is>
          <t>U+7A00-U+7AFF</t>
        </is>
      </c>
      <c r="C194" s="46" t="inlineStr">
        <is>
          <t>CJK Unified Ideographs</t>
        </is>
      </c>
      <c r="D194" s="54">
        <f>HEX2DEC(MID(B194,3,FIND("-",E194)-3))</f>
        <v/>
      </c>
      <c r="E194" s="46" t="inlineStr">
        <is>
          <t>U+4E00-U+9FFF</t>
        </is>
      </c>
      <c r="F194" s="12" t="n">
        <v>3</v>
      </c>
      <c r="J194" s="19">
        <f>ROUNDDOWN(W194,0)/$V194</f>
        <v/>
      </c>
      <c r="K194" s="19">
        <f>ROUNDDOWN(X194,0)/$V194</f>
        <v/>
      </c>
      <c r="L194" s="19">
        <f>ROUNDDOWN(Y194,0)/$V194</f>
        <v/>
      </c>
      <c r="M194" s="19">
        <f>ROUNDDOWN(Z194,0)/$V194</f>
        <v/>
      </c>
      <c r="O194" s="36" t="inlineStr">
        <is>
          <t>稀 稁 稂 稃 稄 稅 稆 稇 稈 稉 稊 程 稌 稍 税 稏 稐 稑 稒 稓 稔 稕 稖 稗 稘 稙 稚 稛 稜 稝 稞 稟 稠 稡 稢 稣 稤 稥 稦 稧 稨 稩 稪 稫 稬 稭 種 稯 稰 稱 稲 稳 稴 稵 稶 稷 稸 稹 稺 稻 稼 稽 稾 稿 穀 穁 穂 穃 穄 穅 穆 穇 穈 穉 穊 穋 穌 積 穎 穏 穐 穑 穒 穓 穔 穕 穖 穗 穘 穙 穚 穛 穜 穝 穞 穟 穠 穡 穢 穣 穤 穥 穦 穧 穨 穩 穪 穫 穬 穭 穮 穯 穰 穱 穲 穳 穴 穵 究 穷 穸 穹 空 穻 穼 穽 穾 穿 窀 突 窂 窃 窄 窅 窆 窇 窈 窉 窊 窋 窌 窍 窎 窏 窐 窑 窒 窓 窔 窕 窖 窗 窘 窙 窚 窛 窜 窝 窞 窟 窠 窡 窢 窣 窤 窥 窦 窧 窨 窩 窪 窫 窬 窭 窮 窯 窰 窱 窲 窳 窴 窵 窶 窷 窸 窹 窺 窻 窼 窽 窾 窿 竀 竁 竂 竃 竄 竅 竆 竇 竈 竉 竊 立 竌 竍 竎 竏 竐 竑 竒 竓 竔 竕 竖 竗 竘 站 竚 竛 竜 竝 竞 竟 章 竡 竢 竣 竤 童 竦 竧 竨 竩 竪 竫 竬 竭 竮 端 竰 竱 竲 竳 竴 竵 競 竷 竸 竹 竺 竻 竼 竽 竾 竿</t>
        </is>
      </c>
      <c r="P194" s="37" t="inlineStr">
        <is>
          <t>稀 稁 稂 稃 稄 稅 稆 稇 稈 稉 稊 程 稌 稍 税 稏 稐 稑 稒 稓 稔 稕 稖 稗 稘 稙 稚 稛 稜 稝 稞 稟 稠 稡 稢 稣 稤 稥 稦 稧 稨 稩 稪 稫 稬 稭 種 稯 稰 稱 稲 稳 稴 稵 稶 稷 稸 稹 稺 稻 稼 稽 稾 稿 穀 穁 穂 穃 穄 穅 穆 穇 穈 穉 穊 穋 穌 積 穎 穏 穐 穑 穒 穓 穔 穕 穖 穗 穘 穙 穚 穛 穜 穝 穞 穟 穠 穡 穢 穣 穤 穥 穦 穧 穨 穩 穪 穫 穬 穭 穮 穯 穰 穱 穲 穳 穴 穵 究 穷 穸 穹 空 穻 穼 穽 穾 穿 窀 突 窂 窃 窄 窅 窆 窇 窈 窉 窊 窋 窌 窍 窎 窏 窐 窑 窒 窓 窔 窕 窖 窗 窘 窙 窚 窛 窜 窝 窞 窟 窠 窡 窢 窣 窤 窥 窦 窧 窨 窩 窪 窫 窬 窭 窮 窯 窰 窱 窲 窳 窴 窵 窶 窷 窸 窹 窺 窻 窼 窽 窾 窿 竀 竁 竂 竃 竄 竅 竆 竇 竈 竉 竊 立 竌 竍 竎 竏 竐 竑 竒 竓 竔 竕 竖 竗 竘 站 竚 竛 竜 竝 竞 竟 章 竡 竢 竣 竤 童 竦 竧 竨 竩 竪 竫 竬 竭 竮 端 竰 竱 竲 竳 竴 竵 競 竷 竸 竹 竺 竻 竼 竽 竾 竿</t>
        </is>
      </c>
      <c r="Q194" s="38" t="inlineStr">
        <is>
          <t>稀 稁 稂 稃 稄 稅 稆 稇 稈 稉 稊 程 稌 稍 税 稏 稐 稑 稒 稓 稔 稕 稖 稗 稘 稙 稚 稛 稜 稝 稞 稟 稠 稡 稢 稣 稤 稥 稦 稧 稨 稩 稪 稫 稬 稭 種 稯 稰 稱 稲 稳 稴 稵 稶 稷 稸 稹 稺 稻 稼 稽 稾 稿 穀 穁 穂 穃 穄 穅 穆 穇 穈 穉 穊 穋 穌 積 穎 穏 穐 穑 穒 穓 穔 穕 穖 穗 穘 穙 穚 穛 穜 穝 穞 穟 穠 穡 穢 穣 穤 穥 穦 穧 穨 穩 穪 穫 穬 穭 穮 穯 穰 穱 穲 穳 穴 穵 究 穷 穸 穹 空 穻 穼 穽 穾 穿 窀 突 窂 窃 窄 窅 窆 窇 窈 窉 窊 窋 窌 窍 窎 窏 窐 窑 窒 窓 窔 窕 窖 窗 窘 窙 窚 窛 窜 窝 窞 窟 窠 窡 窢 窣 窤 窥 窦 窧 窨 窩 窪 窫 窬 窭 窮 窯 窰 窱 窲 窳 窴 窵 窶 窷 窸 窹 窺 窻 窼 窽 窾 窿 竀 竁 竂 竃 竄 竅 竆 竇 竈 竉 竊 立 竌 竍 竎 竏 竐 竑 竒 竓 竔 竕 竖 竗 竘 站 竚 竛 竜 竝 竞 竟 章 竡 竢 竣 竤 童 竦 竧 竨 竩 竪 竫 竬 竭 竮 端 竰 竱 竲 竳 竴 竵 競 竷 竸 竹 竺 竻 竼 竽 竾 竿</t>
        </is>
      </c>
      <c r="R194" s="43" t="inlineStr">
        <is>
          <t>稀 稁 稃 稄 稅 稈 稉 稊 程 稌 税 稏 稐 稑 稓 稔 稕 稖 稗 稘 稙 稚 稜 稝 稞 稟 稠 稡 稢 稤 稥 稦 稧 稨 稪 稬 種 稯 稰 稱 稳 稴 稵 稶 稷 稸 稹 稺 稼 稽 稾 稿 穀 穂 穃 穄 穅 穆 穇 穈 穉 穊 穌 穎 穏 穐 穑 穒 穓 穔 穕 穖 穗 穘 穙 穚 穛 穜 穝 穞 穟 穠 穡 穢 穣 穤 穥 穦 穧 穨 穩 穪 穫 穬 穭 穮 穯 穰 穱 穲 穳 穴 穵 究 穷 穸 穹 空 穻 穼 穽 穾 穿 窀 突 窂 窃 窄 窅 窆 窇 窈 窉 窊 窋 窌 窍 窎 窏 窐 窑 窒 窓 窔 窕 窖 窗 窘 窙 窚 窛 窜 窝 窞 窟 窠 窡 窢 窣 窤 窥 窦 窧 窨 窩 窪 窫 窬 窭 窮 窯 窰 窱 窲 窳 窴 窵 窶 窷 窸 窹 窺 窻 窼 窽 窾 窿 竀 竁 竂 竃 竄 竅 竆 竇 竈 竉 竊 立 竌 竍 竎 竏 竐 竑 竒 竓 竔 竕 竖 竗 竘 站 竚 竛 竜 竝 竞 竟 章 竡 竢 竣 竤 童 竦 竧 竨 竩 竪 竫 竬 竭 竮 端 竰 竱 竳 竴 競 竷 竹 竻 竼 竽 竾 竿</t>
        </is>
      </c>
      <c r="S194" s="40" t="n"/>
      <c r="V194" s="14">
        <f>(LEN(O194)+1)/2</f>
        <v/>
      </c>
      <c r="W194" s="14">
        <f>ROUNDDOWN((LEN(P194)+1)/2,0)</f>
        <v/>
      </c>
      <c r="X194" s="14">
        <f>ROUNDDOWN((LEN(Q194)+1)/2,0)</f>
        <v/>
      </c>
      <c r="Y194" s="14">
        <f>ROUNDDOWN((LEN(R194)+1)/2,0)</f>
        <v/>
      </c>
      <c r="Z194" s="14">
        <f>ROUNDDOWN((LEN(S194)+1)/2,0)</f>
        <v/>
      </c>
      <c r="AA194" s="56" t="n">
        <v>46150.55847624113</v>
      </c>
    </row>
    <row r="195" ht="102" customHeight="1">
      <c r="B195" s="46" t="inlineStr">
        <is>
          <t>U+7B00-U+7BFF</t>
        </is>
      </c>
      <c r="C195" s="46" t="inlineStr">
        <is>
          <t>CJK Unified Ideographs</t>
        </is>
      </c>
      <c r="D195" s="54">
        <f>HEX2DEC(MID(B195,3,FIND("-",E195)-3))</f>
        <v/>
      </c>
      <c r="E195" s="46" t="inlineStr">
        <is>
          <t>U+4E00-U+9FFF</t>
        </is>
      </c>
      <c r="F195" s="12" t="n">
        <v>3</v>
      </c>
      <c r="J195" s="19">
        <f>ROUNDDOWN(W195,0)/$V195</f>
        <v/>
      </c>
      <c r="K195" s="19">
        <f>ROUNDDOWN(X195,0)/$V195</f>
        <v/>
      </c>
      <c r="L195" s="19">
        <f>ROUNDDOWN(Y195,0)/$V195</f>
        <v/>
      </c>
      <c r="M195" s="19">
        <f>ROUNDDOWN(Z195,0)/$V195</f>
        <v/>
      </c>
      <c r="O195" s="36" t="inlineStr">
        <is>
          <t>笀 笁 笂 笃 笄 笅 笆 笇 笈 笉 笊 笋 笌 笍 笎 笏 笐 笑 笒 笓 笔 笕 笖 笗 笘 笙 笚 笛 笜 笝 笞 笟 笠 笡 笢 笣 笤 笥 符 笧 笨 笩 笪 笫 第 笭 笮 笯 笰 笱 笲 笳 笴 笵 笶 笷 笸 笹 笺 笻 笼 笽 笾 笿 筀 筁 筂 筃 筄 筅 筆 筇 筈 等 筊 筋 筌 筍 筎 筏 筐 筑 筒 筓 答 筕 策 筗 筘 筙 筚 筛 筜 筝 筞 筟 筠 筡 筢 筣 筤 筥 筦 筧 筨 筩 筪 筫 筬 筭 筮 筯 筰 筱 筲 筳 筴 筵 筶 筷 筸 筹 筺 筻 筼 筽 签 筿 简 箁 箂 箃 箄 箅 箆 箇 箈 箉 箊 箋 箌 箍 箎 箏 箐 箑 箒 箓 箔 箕 箖 算 箘 箙 箚 箛 箜 箝 箞 箟 箠 管 箢 箣 箤 箥 箦 箧 箨 箩 箪 箫 箬 箭 箮 箯 箰 箱 箲 箳 箴 箵 箶 箷 箸 箹 箺 箻 箼 箽 箾 箿 節 篁 篂 篃 範 篅 篆 篇 篈 築 篊 篋 篌 篍 篎 篏 篐 篑 篒 篓 篔 篕 篖 篗 篘 篙 篚 篛 篜 篝 篞 篟 篠 篡 篢 篣 篤 篥 篦 篧 篨 篩 篪 篫 篬 篭 篮 篯 篰 篱 篲 篳 篴 篵 篶 篷 篸 篹 篺 篻 篼 篽 篾 篿</t>
        </is>
      </c>
      <c r="P195" s="37" t="inlineStr">
        <is>
          <t>笀 笁 笂 笃 笄 笅 笆 笇 笈 笉 笊 笋 笌 笍 笎 笏 笐 笑 笒 笓 笔 笕 笖 笗 笘 笙 笚 笛 笜 笝 笞 笟 笠 笡 笢 笣 笤 笥 符 笧 笨 笩 笪 笫 第 笭 笮 笯 笰 笱 笲 笳 笴 笵 笶 笷 笸 笹 笺 笻 笼 笽 笾 笿 筀 筁 筂 筃 筄 筅 筆 筇 筈 等 筊 筋 筌 筍 筎 筏 筐 筑 筒 筓 答 筕 策 筗 筘 筙 筚 筛 筜 筝 筞 筟 筠 筡 筢 筣 筤 筥 筦 筧 筨 筩 筪 筫 筬 筭 筮 筯 筰 筱 筲 筳 筴 筵 筶 筷 筸 筹 筺 筻 筼 筽 签 筿 简 箁 箂 箃 箄 箅 箆 箇 箈 箉 箊 箋 箌 箍 箎 箏 箐 箑 箒 箓 箔 箕 箖 算 箘 箙 箚 箛 箜 箝 箞 箟 箠 管 箢 箣 箤 箥 箦 箧 箨 箩 箪 箫 箬 箭 箮 箯 箰 箱 箲 箳 箴 箵 箶 箷 箸 箹 箺 箻 箼 箽 箾 箿 節 篁 篂 篃 範 篅 篆 篇 篈 築 篊 篋 篌 篍 篎 篏 篐 篑 篒 篓 篔 篕 篖 篗 篘 篙 篚 篛 篜 篝 篞 篟 篠 篡 篢 篣 篤 篥 篦 篧 篨 篩 篪 篫 篬 篭 篮 篯 篰 篱 篲 篳 篴 篵 篶 篷 篸 篹 篺 篻 篼 篽 篾 篿</t>
        </is>
      </c>
      <c r="Q195" s="38" t="inlineStr">
        <is>
          <t>笀 笁 笂 笃 笄 笅 笆 笇 笈 笉 笊 笋 笌 笍 笎 笏 笐 笑 笒 笓 笔 笕 笖 笗 笘 笙 笚 笛 笜 笝 笞 笟 笠 笡 笢 笣 笤 笥 符 笧 笨 笩 笪 笫 第 笭 笮 笯 笰 笱 笲 笳 笴 笵 笶 笷 笸 笹 笺 笻 笼 笽 笾 笿 筀 筁 筂 筃 筄 筅 筆 筇 筈 等 筊 筋 筌 筍 筎 筏 筐 筑 筒 筓 答 筕 策 筗 筘 筙 筚 筛 筜 筝 筞 筟 筠 筡 筢 筣 筤 筥 筦 筧 筨 筩 筪 筫 筬 筭 筮 筯 筰 筱 筲 筳 筴 筵 筶 筷 筸 筹 筺 筻 筼 筽 签 筿 简 箁 箂 箃 箄 箅 箆 箇 箈 箉 箊 箋 箌 箍 箎 箏 箐 箑 箒 箓 箔 箕 箖 算 箘 箙 箚 箛 箜 箝 箞 箟 箠 管 箢 箣 箤 箥 箦 箧 箨 箩 箪 箫 箬 箭 箮 箯 箰 箱 箲 箳 箴 箵 箶 箷 箸 箹 箺 箻 箼 箽 箾 箿 節 篁 篂 篃 範 篅 篆 篇 篈 築 篊 篋 篌 篍 篎 篏 篐 篑 篒 篓 篔 篕 篖 篗 篘 篙 篚 篛 篜 篝 篞 篟 篠 篡 篢 篣 篤 篥 篦 篧 篨 篩 篪 篫 篬 篭 篮 篯 篰 篱 篲 篳 篴 篵 篶 篷 篸 篹 篺 篻 篼 篽 篾 篿</t>
        </is>
      </c>
      <c r="R195" s="43" t="inlineStr">
        <is>
          <t>笀 笁 笂 笃 笄 笅 笆 笇 笈 笉 笊 笋 笌 笍 笏 笑 笒 笓 笔 笕 笖 笗 笘 笙 笚 笛 笜 笝 笞 笟 笠 笡 笢 笣 笤 笥 符 笧 笨 笩 笪 笫 第 笭 笮 笯 笰 笱 笲 笳 笴 笵 笶 笷 笸 笹 笺 笻 笼 笽 笾 笿 筀 筁 筂 筃 筄 筅 筆 筇 筈 等 筊 筋 筌 筍 筎 筏 筐 筑 筒 筓 答 筕 策 筗 筘 筙 筚 筛 筜 筝 筞 筟 筠 筡 筢 筣 筤 筥 筦 筧 筨 筩 筪 筫 筬 筭 筮 筯 筰 筱 筲 筳 筴 筵 筶 筷 筸 筹 筺 筻 筼 筽 签 筿 简 箁 箂 箃 箄 箅 箆 箇 箈 箉 箊 箋 箌 箍 箎 箏 箐 箑 箒 箓 箔 箕 箖 算 箘 箙 箚 箛 箜 箝 箞 箟 箠 管 箢 箣 箤 箥 箦 箧 箨 箩 箪 箫 箬 箭 箮 箯 箰 箱 箲 箳 箴 箵 箶 箷 箸 箹 箺 箻 箼 箽 箾 箿 節 篁 篂 篃 範 篅 篆 篇 篈 築 篊 篋 篌 篍 篎 篏 篐 篑 篒 篓 篔 篕 篖 篗 篘 篙 篚 篛 篜 篝 篞 篟 篠 篡 篢 篣 篤 篥 篦 篧 篨 篩 篪 篫 篬 篭 篮 篯 篰 篱 篲 篳 篴 篵 篶 篷 篸 篹 篺 篻 篼 篽 篾 篿</t>
        </is>
      </c>
      <c r="S195" s="40" t="n"/>
      <c r="V195" s="14">
        <f>(LEN(O195)+1)/2</f>
        <v/>
      </c>
      <c r="W195" s="14">
        <f>ROUNDDOWN((LEN(P195)+1)/2,0)</f>
        <v/>
      </c>
      <c r="X195" s="14">
        <f>ROUNDDOWN((LEN(Q195)+1)/2,0)</f>
        <v/>
      </c>
      <c r="Y195" s="14">
        <f>ROUNDDOWN((LEN(R195)+1)/2,0)</f>
        <v/>
      </c>
      <c r="Z195" s="14">
        <f>ROUNDDOWN((LEN(S195)+1)/2,0)</f>
        <v/>
      </c>
      <c r="AA195" s="56" t="n">
        <v>46150.55847909263</v>
      </c>
    </row>
    <row r="196" ht="102" customHeight="1">
      <c r="B196" s="46" t="inlineStr">
        <is>
          <t>U+7C00-U+7CFF</t>
        </is>
      </c>
      <c r="C196" s="46" t="inlineStr">
        <is>
          <t>CJK Unified Ideographs</t>
        </is>
      </c>
      <c r="D196" s="54">
        <f>HEX2DEC(MID(B196,3,FIND("-",E196)-3))</f>
        <v/>
      </c>
      <c r="E196" s="46" t="inlineStr">
        <is>
          <t>U+4E00-U+9FFF</t>
        </is>
      </c>
      <c r="F196" s="12" t="n">
        <v>3</v>
      </c>
      <c r="J196" s="19">
        <f>ROUNDDOWN(W196,0)/$V196</f>
        <v/>
      </c>
      <c r="K196" s="19">
        <f>ROUNDDOWN(X196,0)/$V196</f>
        <v/>
      </c>
      <c r="L196" s="19">
        <f>ROUNDDOWN(Y196,0)/$V196</f>
        <v/>
      </c>
      <c r="M196" s="19">
        <f>ROUNDDOWN(Z196,0)/$V196</f>
        <v/>
      </c>
      <c r="O196" s="36" t="inlineStr">
        <is>
          <t>簀 簁 簂 簃 簄 簅 簆 簇 簈 簉 簊 簋 簌 簍 簎 簏 簐 簑 簒 簓 簔 簕 簖 簗 簘 簙 簚 簛 簜 簝 簞 簟 簠 簡 簢 簣 簤 簥 簦 簧 簨 簩 簪 簫 簬 簭 簮 簯 簰 簱 簲 簳 簴 簵 簶 簷 簸 簹 簺 簻 簼 簽 簾 簿 籀 籁 籂 籃 籄 籅 籆 籇 籈 籉 籊 籋 籌 籍 籎 籏 籐 籑 籒 籓 籔 籕 籖 籗 籘 籙 籚 籛 籜 籝 籞 籟 籠 籡 籢 籣 籤 籥 籦 籧 籨 籩 籪 籫 籬 籭 籮 籯 籰 籱 籲 米 籴 籵 籶 籷 籸 籹 籺 类 籼 籽 籾 籿 粀 粁 粂 粃 粄 粅 粆 粇 粈 粉 粊 粋 粌 粍 粎 粏 粐 粑 粒 粓 粔 粕 粖 粗 粘 粙 粚 粛 粜 粝 粞 粟 粠 粡 粢 粣 粤 粥 粦 粧 粨 粩 粪 粫 粬 粭 粮 粯 粰 粱 粲 粳 粴 粵 粶 粷 粸 粹 粺 粻 粼 粽 精 粿 糀 糁 糂 糃 糄 糅 糆 糇 糈 糉 糊 糋 糌 糍 糎 糏 糐 糑 糒 糓 糔 糕 糖 糗 糘 糙 糚 糛 糜 糝 糞 糟 糠 糡 糢 糣 糤 糥 糦 糧 糨 糩 糪 糫 糬 糭 糮 糯 糰 糱 糲 糳 糴 糵 糶 糷 糸 糹 糺 系 糼 糽 糾 糿</t>
        </is>
      </c>
      <c r="P196" s="37" t="inlineStr">
        <is>
          <t>簀 簁 簂 簃 簄 簅 簆 簇 簈 簉 簊 簋 簌 簍 簎 簏 簐 簑 簒 簓 簔 簕 簖 簗 簘 簙 簚 簛 簜 簝 簞 簟 簠 簡 簢 簣 簤 簥 簦 簧 簨 簩 簪 簫 簬 簭 簮 簯 簰 簱 簲 簳 簴 簵 簶 簷 簸 簹 簺 簻 簼 簽 簾 簿 籀 籁 籂 籃 籄 籅 籆 籇 籈 籉 籊 籋 籌 籍 籎 籏 籐 籑 籒 籓 籔 籕 籖 籗 籘 籙 籚 籛 籜 籝 籞 籟 籠 籡 籢 籣 籤 籥 籦 籧 籨 籩 籪 籫 籬 籭 籮 籯 籰 籱 籲 米 籴 籵 籶 籷 籸 籹 籺 类 籼 籽 籾 籿 粀 粁 粂 粃 粄 粅 粆 粇 粈 粉 粊 粋 粌 粍 粎 粏 粐 粑 粒 粓 粔 粕 粖 粗 粘 粙 粚 粛 粜 粝 粞 粟 粠 粡 粢 粣 粤 粥 粦 粧 粨 粩 粪 粫 粬 粭 粮 粯 粰 粱 粲 粳 粴 粵 粶 粷 粸 粹 粺 粻 粼 粽 精 粿 糀 糁 糂 糃 糄 糅 糆 糇 糈 糉 糊 糋 糌 糍 糎 糏 糐 糑 糒 糓 糔 糕 糖 糗 糘 糙 糚 糛 糜 糝 糞 糟 糠 糡 糢 糣 糤 糥 糦 糧 糨 糩 糪 糫 糬 糭 糮 糯 糰 糱 糲 糳 糴 糵 糶 糷 糸 糹 糺 系 糼 糽 糾 糿</t>
        </is>
      </c>
      <c r="Q196" s="38" t="inlineStr">
        <is>
          <t>簀 簁 簂 簃 簄 簅 簆 簇 簈 簉 簊 簋 簌 簍 簎 簏 簐 簑 簒 簓 簔 簕 簖 簗 簘 簙 簚 簛 簜 簝 簞 簟 簠 簡 簢 簣 簤 簥 簦 簧 簨 簩 簪 簫 簬 簭 簮 簯 簰 簱 簲 簳 簴 簵 簶 簷 簸 簹 簺 簻 簼 簽 簾 簿 籀 籁 籂 籃 籄 籅 籆 籇 籈 籉 籊 籋 籌 籍 籎 籏 籐 籑 籒 籓 籔 籕 籖 籗 籘 籙 籚 籛 籜 籝 籞 籟 籠 籡 籢 籣 籤 籥 籦 籧 籨 籩 籪 籫 籬 籭 籮 籯 籰 籱 籲 米 籴 籵 籶 籷 籸 籹 籺 类 籼 籽 籾 籿 粀 粁 粂 粃 粄 粅 粆 粇 粈 粉 粊 粋 粌 粍 粎 粏 粐 粑 粒 粓 粔 粕 粖 粗 粘 粙 粚 粛 粜 粝 粞 粟 粠 粡 粢 粣 粤 粥 粦 粧 粨 粩 粪 粫 粬 粭 粮 粯 粰 粱 粲 粳 粴 粵 粶 粷 粸 粹 粺 粻 粼 粽 精 粿 糀 糁 糂 糃 糄 糅 糆 糇 糈 糉 糊 糋 糌 糍 糎 糏 糐 糑 糒 糓 糔 糕 糖 糗 糘 糙 糚 糛 糜 糝 糞 糟 糠 糡 糢 糣 糤 糥 糦 糧 糨 糩 糪 糫 糬 糭 糮 糯 糰 糱 糲 糳 糴 糵 糶 糷 糸 糹 糺 系 糼 糽 糾 糿</t>
        </is>
      </c>
      <c r="R196" s="43" t="inlineStr">
        <is>
          <t>簀 簁 簂 簃 簄 簅 簆 簇 簈 簉 簊 簋 簌 簍 簎 簏 簐 簑 簒 簓 簔 簕 簖 簗 簘 簙 簚 簛 簜 簝 簞 簟 簠 簡 簢 簣 簤 簥 簦 簧 簨 簩 簪 簫 簬 簭 簮 簯 簰 簱 簲 簳 簴 簵 簶 簷 簸 簹 簺 簻 簼 簽 簾 簿 籀 籁 籂 籃 籄 籅 籆 籇 籈 籉 籊 籋 籌 籍 籎 籏 籐 籑 籒 籓 籔 籕 籖 籗 籘 籙 籚 籛 籜 籝 籞 籟 籠 籡 籢 籣 籤 籥 籦 籧 籨 籩 籪 籫 籬 籭 籮 籯 籰 籱 籲 米 籴 籶 籷 籸 籹 籺 类 籽 籾 粀 粁 粂 粄 粅 粆 粇 粈 粉 粊 粋 粍 粎 粏 粐 粒 粓 粖 粗 粚 粛 粜 粝 粞 粟 粠 粢 粣 粤 粥 粦 粧 粨 粩 粪 粫 粭 粯 粰 粱 粲 粳 粴 粵 粶 粷 粸 粹 粺 粻 粼 粽 粿 糀 糁 糂 糃 糄 糅 糆 糇 糈 糉 糌 糍 糎 糏 糐 糒 糓 糔 糕 糖 糗 糘 糙 糚 糛 糜 糝 糞 糟 糠 糡 糢 糣 糤 糦 糧 糨 糩 糪 糫 糬 糭 糮 糯 糱 糲 糳 糴 糵 糶 糸 糹 系 糼 糽 糿</t>
        </is>
      </c>
      <c r="S196" s="40" t="n"/>
      <c r="V196" s="14">
        <f>(LEN(O196)+1)/2</f>
        <v/>
      </c>
      <c r="W196" s="14">
        <f>ROUNDDOWN((LEN(P196)+1)/2,0)</f>
        <v/>
      </c>
      <c r="X196" s="14">
        <f>ROUNDDOWN((LEN(Q196)+1)/2,0)</f>
        <v/>
      </c>
      <c r="Y196" s="14">
        <f>ROUNDDOWN((LEN(R196)+1)/2,0)</f>
        <v/>
      </c>
      <c r="Z196" s="14">
        <f>ROUNDDOWN((LEN(S196)+1)/2,0)</f>
        <v/>
      </c>
      <c r="AA196" s="56" t="n">
        <v>46150.55848226265</v>
      </c>
    </row>
    <row r="197" ht="102" customHeight="1">
      <c r="B197" s="46" t="inlineStr">
        <is>
          <t>U+7D00-U+7DFF</t>
        </is>
      </c>
      <c r="C197" s="46" t="inlineStr">
        <is>
          <t>CJK Unified Ideographs</t>
        </is>
      </c>
      <c r="D197" s="54">
        <f>HEX2DEC(MID(B197,3,FIND("-",E197)-3))</f>
        <v/>
      </c>
      <c r="E197" s="46" t="inlineStr">
        <is>
          <t>U+4E00-U+9FFF</t>
        </is>
      </c>
      <c r="F197" s="12" t="n">
        <v>3</v>
      </c>
      <c r="J197" s="19">
        <f>ROUNDDOWN(W197,0)/$V197</f>
        <v/>
      </c>
      <c r="K197" s="19">
        <f>ROUNDDOWN(X197,0)/$V197</f>
        <v/>
      </c>
      <c r="L197" s="19">
        <f>ROUNDDOWN(Y197,0)/$V197</f>
        <v/>
      </c>
      <c r="M197" s="19">
        <f>ROUNDDOWN(Z197,0)/$V197</f>
        <v/>
      </c>
      <c r="O197" s="36" t="inlineStr">
        <is>
          <t>紀 紁 紂 紃 約 紅 紆 紇 紈 紉 紊 紋 紌 納 紎 紏 紐 紑 紒 紓 純 紕 紖 紗 紘 紙 級 紛 紜 紝 紞 紟 素 紡 索 紣 紤 紥 紦 紧 紨 紩 紪 紫 紬 紭 紮 累 細 紱 紲 紳 紴 紵 紶 紷 紸 紹 紺 紻 紼 紽 紾 紿 絀 絁 終 絃 組 絅 絆 絇 絈 絉 絊 絋 経 絍 絎 絏 結 絑 絒 絓 絔 絕 絖 絗 絘 絙 絚 絛 絜 絝 絞 絟 絠 絡 絢 絣 絤 絥 給 絧 絨 絩 絪 絫 絬 絭 絮 絯 絰 統 絲 絳 絴 絵 絶 絷 絸 絹 絺 絻 絼 絽 絾 絿 綀 綁 綂 綃 綄 綅 綆 綇 綈 綉 綊 綋 綌 綍 綎 綏 綐 綑 綒 經 綔 綕 綖 綗 綘 継 続 綛 綜 綝 綞 綟 綠 綡 綢 綣 綤 綥 綦 綧 綨 綩 綪 綫 綬 維 綮 綯 綰 綱 網 綳 綴 綵 綶 綷 綸 綹 綺 綻 綼 綽 綾 綿 緀 緁 緂 緃 緄 緅 緆 緇 緈 緉 緊 緋 緌 緍 緎 総 緐 緑 緒 緓 緔 緕 緖 緗 緘 緙 線 緛 緜 緝 緞 緟 締 緡 緢 緣 緤 緥 緦 緧 編 緩 緪 緫 緬 緭 緮 緯 緰 緱 緲 緳 練 緵 緶 緷 緸 緹 緺 緻 緼 緽 緾 緿</t>
        </is>
      </c>
      <c r="P197" s="37" t="inlineStr">
        <is>
          <t>紀 紁 紂 紃 約 紅 紆 紇 紈 紉 紊 紋 紌 納 紎 紏 紐 紑 紒 紓 純 紕 紖 紗 紘 紙 級 紛 紜 紝 紞 紟 素 紡 索 紣 紤 紥 紦 紧 紨 紩 紪 紫 紬 紭 紮 累 細 紱 紲 紳 紴 紵 紶 紷 紸 紹 紺 紻 紼 紽 紾 紿 絀 絁 終 絃 組 絅 絆 絇 絈 絉 絊 絋 経 絍 絎 絏 結 絑 絒 絓 絔 絕 絖 絗 絘 絙 絚 絛 絜 絝 絞 絟 絠 絡 絢 絣 絤 絥 給 絧 絨 絩 絪 絫 絬 絭 絮 絯 絰 統 絲 絳 絴 絵 絶 絷 絸 絹 絺 絻 絼 絽 絾 絿 綀 綁 綂 綃 綄 綅 綆 綇 綈 綉 綊 綋 綌 綍 綎 綏 綐 綑 綒 經 綔 綕 綖 綗 綘 継 続 綛 綜 綝 綞 綟 綠 綡 綢 綣 綤 綥 綦 綧 綨 綩 綪 綫 綬 維 綮 綯 綰 綱 網 綳 綴 綵 綶 綷 綸 綹 綺 綻 綼 綽 綾 綿 緀 緁 緂 緃 緄 緅 緆 緇 緈 緉 緊 緋 緌 緍 緎 総 緐 緑 緒 緓 緔 緕 緖 緗 緘 緙 線 緛 緜 緝 緞 緟 締 緡 緢 緣 緤 緥 緦 緧 編 緩 緪 緫 緬 緭 緮 緯 緰 緱 緲 緳 練 緵 緶 緷 緸 緹 緺 緻 緼 緽 緾 緿</t>
        </is>
      </c>
      <c r="Q197" s="38" t="inlineStr">
        <is>
          <t>紀 紁 紂 紃 約 紅 紆 紇 紈 紉 紊 紋 紌 納 紎 紏 紐 紑 紒 紓 純 紕 紖 紗 紘 紙 級 紛 紜 紝 紞 紟 素 紡 索 紣 紤 紥 紦 紧 紨 紩 紪 紫 紬 紭 紮 累 細 紱 紲 紳 紴 紵 紶 紷 紸 紹 紺 紻 紼 紽 紾 紿 絀 絁 終 絃 組 絅 絆 絇 絈 絉 絊 絋 経 絍 絎 絏 結 絑 絒 絓 絔 絕 絖 絗 絘 絙 絚 絛 絜 絝 絞 絟 絠 絡 絢 絣 絤 絥 給 絧 絨 絩 絪 絫 絬 絭 絮 絯 絰 統 絲 絳 絴 絵 絶 絷 絸 絹 絺 絻 絼 絽 絾 絿 綀 綁 綂 綃 綄 綅 綆 綇 綈 綉 綊 綋 綌 綍 綎 綏 綐 綑 綒 經 綔 綕 綖 綗 綘 継 続 綛 綜 綝 綞 綟 綠 綡 綢 綣 綤 綥 綦 綧 綨 綩 綪 綫 綬 維 綮 綯 綰 綱 網 綳 綴 綵 綶 綷 綸 綹 綺 綻 綼 綽 綾 綿 緀 緁 緂 緃 緄 緅 緆 緇 緈 緉 緊 緋 緌 緍 緎 総 緐 緑 緒 緓 緔 緕 緖 緗 緘 緙 線 緛 緜 緝 緞 緟 締 緡 緢 緣 緤 緥 緦 緧 編 緩 緪 緫 緬 緭 緮 緯 緰 緱 緲 緳 練 緵 緶 緷 緸 緹 緺 緻 緼 緽 緾 緿</t>
        </is>
      </c>
      <c r="R197" s="43" t="inlineStr">
        <is>
          <t>紁 紂 約 紅 紆 紇 紈 紉 紊 紋 紌 紎 紐 紑 紒 紓 純 紗 紘 級 紛 紝 紞 紟 素 紡 索 紤 紥 紧 紨 紩 紫 紮 累 紱 紲 紴 紵 紶 紷 紸 紺 紻 紼 紽 紾 紿 絁 組 絆 絇 絉 絊 絋 経 絍 絎 絏 結 絑 絒 絓 絔 絕 絖 絙 絚 絜 絝 絞 絟 絠 絢 絣 絤 絥 給 絨 絫 絬 絭 絮 絰 統 絲 絳 絴 絶 絷 絸 絺 絻 絾 絿 綀 綂 綄 綅 綆 綇 綈 綉 綋 綌 綍 綎 綏 綐 綒 經 綔 綕 綖 綘 続 綛 綜 綝 綞 綟 綡 綢 綣 綤 綦 綧 綨 綩 綪 綬 維 綮 綯 綰 綳 綴 綵 綷 綸 綹 綺 綻 綼 綽 綾 緀 緁 緂 緃 緅 緆 緇 緈 緊 緍 総 緐 緒 緕 緖 緗 緘 緙 線 緛 緜 緝 緞 緟 締 緢 緤 緥 緦 緧 編 緩 緪 緫 緬 緭 緮 緰 緱 緳 練 緶 緷 緸 緹 緻 緼 緽 緾 緿</t>
        </is>
      </c>
      <c r="S197" s="40" t="n"/>
      <c r="V197" s="14">
        <f>(LEN(O197)+1)/2</f>
        <v/>
      </c>
      <c r="W197" s="14">
        <f>ROUNDDOWN((LEN(P197)+1)/2,0)</f>
        <v/>
      </c>
      <c r="X197" s="14">
        <f>ROUNDDOWN((LEN(Q197)+1)/2,0)</f>
        <v/>
      </c>
      <c r="Y197" s="14">
        <f>ROUNDDOWN((LEN(R197)+1)/2,0)</f>
        <v/>
      </c>
      <c r="Z197" s="14">
        <f>ROUNDDOWN((LEN(S197)+1)/2,0)</f>
        <v/>
      </c>
      <c r="AA197" s="56" t="n">
        <v>46150.55848509838</v>
      </c>
    </row>
    <row r="198" ht="102" customHeight="1">
      <c r="B198" s="46" t="inlineStr">
        <is>
          <t>U+7E00-U+7EFF</t>
        </is>
      </c>
      <c r="C198" s="46" t="inlineStr">
        <is>
          <t>CJK Unified Ideographs</t>
        </is>
      </c>
      <c r="D198" s="54">
        <f>HEX2DEC(MID(B198,3,FIND("-",E198)-3))</f>
        <v/>
      </c>
      <c r="E198" s="46" t="inlineStr">
        <is>
          <t>U+4E00-U+9FFF</t>
        </is>
      </c>
      <c r="F198" s="12" t="n">
        <v>3</v>
      </c>
      <c r="J198" s="19">
        <f>ROUNDDOWN(W198,0)/$V198</f>
        <v/>
      </c>
      <c r="K198" s="19">
        <f>ROUNDDOWN(X198,0)/$V198</f>
        <v/>
      </c>
      <c r="L198" s="19">
        <f>ROUNDDOWN(Y198,0)/$V198</f>
        <v/>
      </c>
      <c r="M198" s="19">
        <f>ROUNDDOWN(Z198,0)/$V198</f>
        <v/>
      </c>
      <c r="O198" s="36" t="inlineStr">
        <is>
          <t>縀 縁 縂 縃 縄 縅 縆 縇 縈 縉 縊 縋 縌 縍 縎 縏 縐 縑 縒 縓 縔 縕 縖 縗 縘 縙 縚 縛 縜 縝 縞 縟 縠 縡 縢 縣 縤 縥 縦 縧 縨 縩 縪 縫 縬 縭 縮 縯 縰 縱 縲 縳 縴 縵 縶 縷 縸 縹 縺 縻 縼 總 績 縿 繀 繁 繂 繃 繄 繅 繆 繇 繈 繉 繊 繋 繌 繍 繎 繏 繐 繑 繒 繓 織 繕 繖 繗 繘 繙 繚 繛 繜 繝 繞 繟 繠 繡 繢 繣 繤 繥 繦 繧 繨 繩 繪 繫 繬 繭 繮 繯 繰 繱 繲 繳 繴 繵 繶 繷 繸 繹 繺 繻 繼 繽 繾 繿 纀 纁 纂 纃 纄 纅 纆 纇 纈 纉 纊 纋 續 纍 纎 纏 纐 纑 纒 纓 纔 纕 纖 纗 纘 纙 纚 纛 纜 纝 纞 纟 纠 纡 红 纣 纤 纥 约 级 纨 纩 纪 纫 纬 纭 纮 纯 纰 纱 纲 纳 纴 纵 纶 纷 纸 纹 纺 纻 纼 纽 纾 线 绀 绁 绂 练 组 绅 细 织 终 绉 绊 绋 绌 绍 绎 经 绐 绑 绒 结 绔 绕 绖 绗 绘 给 绚 绛 络 绝 绞 统 绠 绡 绢 绣 绤 绥 绦 继 绨 绩 绪 绫 绬 续 绮 绯 绰 绱 绲 绳 维 绵 绶 绷 绸 绹 绺 绻 综 绽 绾 绿</t>
        </is>
      </c>
      <c r="P198" s="37" t="inlineStr">
        <is>
          <t>縀 縁 縂 縃 縄 縅 縆 縇 縈 縉 縊 縋 縌 縍 縎 縏 縐 縑 縒 縓 縔 縕 縖 縗 縘 縙 縚 縛 縜 縝 縞 縟 縠 縡 縢 縣 縤 縥 縦 縧 縨 縩 縪 縫 縬 縭 縮 縯 縰 縱 縲 縳 縴 縵 縶 縷 縸 縹 縺 縻 縼 總 績 縿 繀 繁 繂 繃 繄 繅 繆 繇 繈 繉 繊 繋 繌 繍 繎 繏 繐 繑 繒 繓 織 繕 繖 繗 繘 繙 繚 繛 繜 繝 繞 繟 繠 繡 繢 繣 繤 繥 繦 繧 繨 繩 繪 繫 繬 繭 繮 繯 繰 繱 繲 繳 繴 繵 繶 繷 繸 繹 繺 繻 繼 繽 繾 繿 纀 纁 纂 纃 纄 纅 纆 纇 纈 纉 纊 纋 續 纍 纎 纏 纐 纑 纒 纓 纔 纕 纖 纗 纘 纙 纚 纛 纜 纝 纞 纟 纠 纡 红 纣 纤 纥 约 级 纨 纩 纪 纫 纬 纭 纮 纯 纰 纱 纲 纳 纴 纵 纶 纷 纸 纹 纺 纻 纼 纽 纾 线 绀 绁 绂 练 组 绅 细 织 终 绉 绊 绋 绌 绍 绎 经 绐 绑 绒 结 绔 绕 绖 绗 绘 给 绚 绛 络 绝 绞 统 绠 绡 绢 绣 绤 绥 绦 继 绨 绩 绪 绫 绬 续 绮 绯 绰 绱 绲 绳 维 绵 绶 绷 绸 绹 绺 绻 综 绽 绾 绿</t>
        </is>
      </c>
      <c r="Q198" s="38" t="inlineStr">
        <is>
          <t>縀 縁 縂 縃 縄 縅 縆 縇 縈 縉 縊 縋 縌 縍 縎 縏 縐 縑 縒 縓 縔 縕 縖 縗 縘 縙 縚 縛 縜 縝 縞 縟 縠 縡 縢 縣 縤 縥 縦 縧 縨 縩 縪 縫 縬 縭 縮 縯 縰 縱 縲 縳 縴 縵 縶 縷 縸 縹 縺 縻 縼 總 績 縿 繀 繁 繂 繃 繄 繅 繆 繇 繈 繉 繊 繋 繌 繍 繎 繏 繐 繑 繒 繓 織 繕 繖 繗 繘 繙 繚 繛 繜 繝 繞 繟 繠 繡 繢 繣 繤 繥 繦 繧 繨 繩 繪 繫 繬 繭 繮 繯 繰 繱 繲 繳 繴 繵 繶 繷 繸 繹 繺 繻 繼 繽 繾 繿 纀 纁 纂 纃 纄 纅 纆 纇 纈 纉 纊 纋 續 纍 纎 纏 纐 纑 纒 纓 纔 纕 纖 纗 纘 纙 纚 纛 纜 纝 纞 纟 纠 纡 红 纣 纤 纥 约 级 纨 纩 纪 纫 纬 纭 纮 纯 纰 纱 纲 纳 纴 纵 纶 纷 纸 纹 纺 纻 纼 纽 纾 线 绀 绁 绂 练 组 绅 细 织 终 绉 绊 绋 绌 绍 绎 经 绐 绑 绒 结 绔 绕 绖 绗 绘 给 绚 绛 络 绝 绞 统 绠 绡 绢 绣 绤 绥 绦 继 绨 绩 绪 绫 绬 续 绮 绯 绰 绱 绲 绳 维 绵 绶 绷 绸 绹 绺 绻 综 绽 绾 绿</t>
        </is>
      </c>
      <c r="R198" s="43" t="inlineStr">
        <is>
          <t>縂 縃 縅 縇 縈 縉 縊 縋 縌 縍 縎 縏 縐 縑 縒 縓 縔 縕 縖 縗 縛 縝 縟 縠 縡 縣 縤 縥 縦 縧 縨 縩 縪 縫 縬 縮 縯 縰 縱 縲 縳 縴 縵 縶 縷 縸 縹 縺 縻 縼 總 績 縿 繀 繁 繂 繃 繄 繅 繇 繉 繊 繋 繌 繍 繎 繐 繑 繓 織 繖 繗 繙 繚 繜 繞 繟 繠 繡 繢 繣 繤 繦 繧 繨 繪 繫 繬 繭 繮 繯 繰 繱 繲 繳 繴 繵 繶 繷 繸 繹 繺 繾 繿 纀 纁 纂 纃 纄 纅 纆 纇 纈 纉 纊 纋 續 纍 纎 纏 纐 纑 纒 纓 纔 纕 纖 纗 纘 纙 纚 纛 纜 纟 纡 红 纤 纥 约 级 纨 纩 纫 纭 纮 纱 纴 纵 纶 纷 纹 纺 纻 纽 纾 线 绀 绁 绂 练 组 织 终 绉 绊 绋 绍 经 绐 绒 结 绔 绕 绖 绗 绘 给 绚 绛 络 绝 绞 统 绠 绣 绥 绦 绨 绩 绪 绫 绬 续 绮 绰 维 绶 绷 绸 绹 绺 绻 综 绽 绾</t>
        </is>
      </c>
      <c r="S198" s="40" t="n"/>
      <c r="V198" s="14">
        <f>(LEN(O198)+1)/2</f>
        <v/>
      </c>
      <c r="W198" s="14">
        <f>ROUNDDOWN((LEN(P198)+1)/2,0)</f>
        <v/>
      </c>
      <c r="X198" s="14">
        <f>ROUNDDOWN((LEN(Q198)+1)/2,0)</f>
        <v/>
      </c>
      <c r="Y198" s="14">
        <f>ROUNDDOWN((LEN(R198)+1)/2,0)</f>
        <v/>
      </c>
      <c r="Z198" s="14">
        <f>ROUNDDOWN((LEN(S198)+1)/2,0)</f>
        <v/>
      </c>
      <c r="AA198" s="56" t="n">
        <v>46150.55848795721</v>
      </c>
    </row>
    <row r="199" ht="102" customHeight="1">
      <c r="B199" s="46" t="inlineStr">
        <is>
          <t>U+7F00-U+7FFF</t>
        </is>
      </c>
      <c r="C199" s="46" t="inlineStr">
        <is>
          <t>CJK Unified Ideographs</t>
        </is>
      </c>
      <c r="D199" s="54">
        <f>HEX2DEC(MID(B199,3,FIND("-",E199)-3))</f>
        <v/>
      </c>
      <c r="E199" s="46" t="inlineStr">
        <is>
          <t>U+4E00-U+9FFF</t>
        </is>
      </c>
      <c r="F199" s="12" t="n">
        <v>3</v>
      </c>
      <c r="J199" s="19">
        <f>ROUNDDOWN(W199,0)/$V199</f>
        <v/>
      </c>
      <c r="K199" s="19">
        <f>ROUNDDOWN(X199,0)/$V199</f>
        <v/>
      </c>
      <c r="L199" s="19">
        <f>ROUNDDOWN(Y199,0)/$V199</f>
        <v/>
      </c>
      <c r="M199" s="19">
        <f>ROUNDDOWN(Z199,0)/$V199</f>
        <v/>
      </c>
      <c r="O199" s="36" t="inlineStr">
        <is>
          <t>缀 缁 缂 缃 缄 缅 缆 缇 缈 缉 缊 缋 缌 缍 缎 缏 缐 缑 缒 缓 缔 缕 编 缗 缘 缙 缚 缛 缜 缝 缞 缟 缠 缡 缢 缣 缤 缥 缦 缧 缨 缩 缪 缫 缬 缭 缮 缯 缰 缱 缲 缳 缴 缵 缶 缷 缸 缹 缺 缻 缼 缽 缾 缿 罀 罁 罂 罃 罄 罅 罆 罇 罈 罉 罊 罋 罌 罍 罎 罏 罐 网 罒 罓 罔 罕 罖 罗 罘 罙 罚 罛 罜 罝 罞 罟 罠 罡 罢 罣 罤 罥 罦 罧 罨 罩 罪 罫 罬 罭 置 罯 罰 罱 署 罳 罴 罵 罶 罷 罸 罹 罺 罻 罼 罽 罾 罿 羀 羁 羂 羃 羄 羅 羆 羇 羈 羉 羊 羋 羌 羍 美 羏 羐 羑 羒 羓 羔 羕 羖 羗 羘 羙 羚 羛 羜 羝 羞 羟 羠 羡 羢 羣 群 羥 羦 羧 羨 義 羪 羫 羬 羭 羮 羯 羰 羱 羲 羳 羴 羵 羶 羷 羸 羹 羺 羻 羼 羽 羾 羿 翀 翁 翂 翃 翄 翅 翆 翇 翈 翉 翊 翋 翌 翍 翎 翏 翐 翑 習 翓 翔 翕 翖 翗 翘 翙 翚 翛 翜 翝 翞 翟 翠 翡 翢 翣 翤 翥 翦 翧 翨 翩 翪 翫 翬 翭 翮 翯 翰 翱 翲 翳 翴 翵 翶 翷 翸 翹 翺 翻 翼 翽 翾 翿</t>
        </is>
      </c>
      <c r="P199" s="37" t="inlineStr">
        <is>
          <t>缀 缁 缂 缃 缄 缅 缆 缇 缈 缉 缊 缋 缌 缍 缎 缏 缐 缑 缒 缓 缔 缕 编 缗 缘 缙 缚 缛 缜 缝 缞 缟 缠 缡 缢 缣 缤 缥 缦 缧 缨 缩 缪 缫 缬 缭 缮 缯 缰 缱 缲 缳 缴 缵 缶 缷 缸 缹 缺 缻 缼 缽 缾 缿 罀 罁 罂 罃 罄 罅 罆 罇 罈 罉 罊 罋 罌 罍 罎 罏 罐 网 罒 罓 罔 罕 罖 罗 罘 罙 罚 罛 罜 罝 罞 罟 罠 罡 罢 罣 罤 罥 罦 罧 罨 罩 罪 罫 罬 罭 置 罯 罰 罱 署 罳 罴 罵 罶 罷 罸 罹 罺 罻 罼 罽 罾 罿 羀 羁 羂 羃 羄 羅 羆 羇 羈 羉 羊 羋 羌 羍 美 羏 羐 羑 羒 羓 羔 羕 羖 羗 羘 羙 羚 羛 羜 羝 羞 羟 羠 羡 羢 羣 群 羥 羦 羧 羨 義 羪 羫 羬 羭 羮 羯 羰 羱 羲 羳 羴 羵 羶 羷 羸 羹 羺 羻 羼 羽 羾 羿 翀 翁 翂 翃 翄 翅 翆 翇 翈 翉 翊 翋 翌 翍 翎 翏 翐 翑 習 翓 翔 翕 翖 翗 翘 翙 翚 翛 翜 翝 翞 翟 翠 翡 翢 翣 翤 翥 翦 翧 翨 翩 翪 翫 翬 翭 翮 翯 翰 翱 翲 翳 翴 翵 翶 翷 翸 翹 翺 翻 翼 翽 翾 翿</t>
        </is>
      </c>
      <c r="Q199" s="38" t="inlineStr">
        <is>
          <t>缀 缁 缂 缃 缄 缅 缆 缇 缈 缉 缊 缋 缌 缍 缎 缏 缐 缑 缒 缓 缔 缕 编 缗 缘 缙 缚 缛 缜 缝 缞 缟 缠 缡 缢 缣 缤 缥 缦 缧 缨 缩 缪 缫 缬 缭 缮 缯 缰 缱 缲 缳 缴 缵 缶 缷 缸 缹 缺 缻 缼 缽 缾 缿 罀 罁 罂 罃 罄 罅 罆 罇 罈 罉 罊 罋 罌 罍 罎 罏 罐 网 罒 罓 罔 罕 罖 罗 罘 罙 罚 罛 罜 罝 罞 罟 罠 罡 罢 罣 罤 罥 罦 罧 罨 罩 罪 罫 罬 罭 置 罯 罰 罱 署 罳 罴 罵 罶 罷 罸 罹 罺 罻 罼 罽 罾 罿 羀 羁 羂 羃 羄 羅 羆 羇 羈 羉 羊 羋 羌 羍 美 羏 羐 羑 羒 羓 羔 羕 羖 羗 羘 羙 羚 羛 羜 羝 羞 羟 羠 羡 羢 羣 群 羥 羦 羧 羨 義 羪 羫 羬 羭 羮 羯 羰 羱 羲 羳 羴 羵 羶 羷 羸 羹 羺 羻 羼 羽 羾 羿 翀 翁 翂 翃 翄 翅 翆 翇 翈 翉 翊 翋 翌 翍 翎 翏 翐 翑 習 翓 翔 翕 翖 翗 翘 翙 翚 翛 翜 翝 翞 翟 翠 翡 翢 翣 翤 翥 翦 翧 翨 翩 翪 翫 翬 翭 翮 翯 翰 翱 翲 翳 翴 翵 翶 翷 翸 翹 翺 翻 翼 翽 翾 翿</t>
        </is>
      </c>
      <c r="R199" s="43" t="inlineStr">
        <is>
          <t>缀 缁 缂 缃 缄 缅 缆 缇 缉 缊 缋 缌 缍 缎 缏 缐 缑 缒 缓 缔 缕 编 缙 缚 缛 缜 缝 缞 缠 缢 缣 缤 缥 缦 缧 缨 缩 缪 缫 缬 缭 缰 缱 缲 缳 缴 缵 缶 缸 缹 缺 缻 缼 缽 缾 缿 罂 罃 罄 罅 罆 罊 罋 罌 罍 罏 罐 网 罓 罔 罕 罖 罗 罙 罚 罛 罜 罝 罞 罟 罠 罢 罣 罤 罥 罦 罧 罨 罩 罪 罫 罬 罭 置 罯 罰 罱 署 罳 罴 罵 罶 罷 罸 罹 罺 罻 罼 罽 罾 罿 羀 羁 羂 羃 羄 羅 羆 羇 羈 羉 羊 羋 羌 羍 美 羏 羐 羑 羒 羔 羕 羖 羗 羘 羙 羚 羛 羜 羞 羟 羠 羡 羢 羣 群 羥 羦 羧 羨 義 羫 羬 羭 羮 羯 羰 羱 羲 羳 羴 羵 羷 羸 羹 羻 羼 羿 翁 翂 翅 翆 翇 翉 翌 翍 翎 翏 翐 翑 習 翓 翔 翕 翖 翗 翘 翚 翛 翜 翝 翟 翠 翢 翣 翥 翦 翧 翨 翩 翫 翬 翭 翯 翰 翱 翳 翴 翵 翶 翷 翸 翹 翻 翼 翽 翾 翿</t>
        </is>
      </c>
      <c r="S199" s="40" t="n"/>
      <c r="V199" s="14">
        <f>(LEN(O199)+1)/2</f>
        <v/>
      </c>
      <c r="W199" s="14">
        <f>ROUNDDOWN((LEN(P199)+1)/2,0)</f>
        <v/>
      </c>
      <c r="X199" s="14">
        <f>ROUNDDOWN((LEN(Q199)+1)/2,0)</f>
        <v/>
      </c>
      <c r="Y199" s="14">
        <f>ROUNDDOWN((LEN(R199)+1)/2,0)</f>
        <v/>
      </c>
      <c r="Z199" s="14">
        <f>ROUNDDOWN((LEN(S199)+1)/2,0)</f>
        <v/>
      </c>
      <c r="AA199" s="56" t="n">
        <v>46150.55849079703</v>
      </c>
    </row>
    <row r="200" ht="102" customHeight="1">
      <c r="B200" s="46" t="inlineStr">
        <is>
          <t>U+8000-U+80FF</t>
        </is>
      </c>
      <c r="C200" s="46" t="inlineStr">
        <is>
          <t>CJK Unified Ideographs</t>
        </is>
      </c>
      <c r="D200" s="54">
        <f>HEX2DEC(MID(B200,3,FIND("-",E200)-3))</f>
        <v/>
      </c>
      <c r="E200" s="46" t="inlineStr">
        <is>
          <t>U+4E00-U+9FFF</t>
        </is>
      </c>
      <c r="F200" s="12" t="n">
        <v>3</v>
      </c>
      <c r="J200" s="19">
        <f>ROUNDDOWN(W200,0)/$V200</f>
        <v/>
      </c>
      <c r="K200" s="19">
        <f>ROUNDDOWN(X200,0)/$V200</f>
        <v/>
      </c>
      <c r="L200" s="19">
        <f>ROUNDDOWN(Y200,0)/$V200</f>
        <v/>
      </c>
      <c r="M200" s="19">
        <f>ROUNDDOWN(Z200,0)/$V200</f>
        <v/>
      </c>
      <c r="O200" s="36" t="inlineStr">
        <is>
          <t>耀 老 耂 考 耄 者 耆 耇 耈 耉 耊 耋 而 耍 耎 耏 耐 耑 耒 耓 耔 耕 耖 耗 耘 耙 耚 耛 耜 耝 耞 耟 耠 耡 耢 耣 耤 耥 耦 耧 耨 耩 耪 耫 耬 耭 耮 耯 耰 耱 耲 耳 耴 耵 耶 耷 耸 耹 耺 耻 耼 耽 耾 耿 聀 聁 聂 聃 聄 聅 聆 聇 聈 聉 聊 聋 职 聍 聎 聏 聐 聑 聒 聓 联 聕 聖 聗 聘 聙 聚 聛 聜 聝 聞 聟 聠 聡 聢 聣 聤 聥 聦 聧 聨 聩 聪 聫 聬 聭 聮 聯 聰 聱 聲 聳 聴 聵 聶 職 聸 聹 聺 聻 聼 聽 聾 聿 肀 肁 肂 肃 肄 肅 肆 肇 肈 肉 肊 肋 肌 肍 肎 肏 肐 肑 肒 肓 肔 肕 肖 肗 肘 肙 肚 肛 肜 肝 肞 肟 肠 股 肢 肣 肤 肥 肦 肧 肨 肩 肪 肫 肬 肭 肮 肯 肰 肱 育 肳 肴 肵 肶 肷 肸 肹 肺 肻 肼 肽 肾 肿 胀 胁 胂 胃 胄 胅 胆 胇 胈 胉 胊 胋 背 胍 胎 胏 胐 胑 胒 胓 胔 胕 胖 胗 胘 胙 胚 胛 胜 胝 胞 胟 胠 胡 胢 胣 胤 胥 胦 胧 胨 胩 胪 胫 胬 胭 胮 胯 胰 胱 胲 胳 胴 胵 胶 胷 胸 胹 胺 胻 胼 能 胾 胿</t>
        </is>
      </c>
      <c r="P200" s="37" t="inlineStr">
        <is>
          <t>耀 老 耂 考 耄 者 耆 耇 耈 耉 耊 耋 而 耍 耎 耏 耐 耑 耒 耓 耔 耕 耖 耗 耘 耙 耚 耛 耜 耝 耞 耟 耠 耡 耢 耣 耤 耥 耦 耧 耨 耩 耪 耫 耬 耭 耮 耯 耰 耱 耲 耳 耴 耵 耶 耷 耸 耹 耺 耻 耼 耽 耾 耿 聀 聁 聂 聃 聄 聅 聆 聇 聈 聉 聊 聋 职 聍 聎 聏 聐 聑 聒 聓 联 聕 聖 聗 聘 聙 聚 聛 聜 聝 聞 聟 聠 聡 聢 聣 聤 聥 聦 聧 聨 聩 聪 聫 聬 聭 聮 聯 聰 聱 聲 聳 聴 聵 聶 職 聸 聹 聺 聻 聼 聽 聾 聿 肀 肁 肂 肃 肄 肅 肆 肇 肈 肉 肊 肋 肌 肍 肎 肏 肐 肑 肒 肓 肔 肕 肖 肗 肘 肙 肚 肛 肜 肝 肞 肟 肠 股 肢 肣 肤 肥 肦 肧 肨 肩 肪 肫 肬 肭 肮 肯 肰 肱 育 肳 肴 肵 肶 肷 肸 肹 肺 肻 肼 肽 肾 肿 胀 胁 胂 胃 胄 胅 胆 胇 胈 胉 胊 胋 背 胍 胎 胏 胐 胑 胒 胓 胔 胕 胖 胗 胘 胙 胚 胛 胜 胝 胞 胟 胠 胡 胢 胣 胤 胥 胦 胧 胨 胩 胪 胫 胬 胭 胮 胯 胰 胱 胲 胳 胴 胵 胶 胷 胸 胹 胺 胻 胼 能 胾 胿</t>
        </is>
      </c>
      <c r="Q200" s="38" t="inlineStr">
        <is>
          <t>耀 老 耂 考 耄 者 耆 耇 耈 耉 耊 耋 而 耍 耎 耏 耐 耑 耒 耓 耔 耕 耖 耗 耘 耙 耚 耛 耜 耝 耞 耟 耠 耡 耢 耣 耤 耥 耦 耧 耨 耩 耪 耫 耬 耭 耮 耯 耰 耱 耲 耳 耴 耵 耶 耷 耸 耹 耺 耻 耼 耽 耾 耿 聀 聁 聂 聃 聄 聅 聆 聇 聈 聉 聊 聋 职 聍 聎 聏 聐 聑 聒 聓 联 聕 聖 聗 聘 聙 聚 聛 聜 聝 聞 聟 聠 聡 聢 聣 聤 聥 聦 聧 聨 聩 聪 聫 聬 聭 聮 聯 聰 聱 聲 聳 聴 聵 聶 職 聸 聹 聺 聻 聼 聽 聾 聿 肀 肁 肂 肃 肄 肅 肆 肇 肈 肉 肊 肋 肌 肍 肎 肏 肐 肑 肒 肓 肔 肕 肖 肗 肘 肙 肚 肛 肜 肝 肞 肟 肠 股 肢 肣 肤 肥 肦 肧 肨 肩 肪 肫 肬 肭 肮 肯 肰 肱 育 肳 肴 肵 肶 肷 肸 肹 肺 肻 肼 肽 肾 肿 胀 胁 胂 胃 胄 胅 胆 胇 胈 胉 胊 胋 背 胍 胎 胏 胐 胑 胒 胓 胔 胕 胖 胗 胘 胙 胚 胛 胜 胝 胞 胟 胠 胡 胢 胣 胤 胥 胦 胧 胨 胩 胪 胫 胬 胭 胮 胯 胰 胱 胲 胳 胴 胵 胶 胷 胸 胹 胺 胻 胼 能 胾 胿</t>
        </is>
      </c>
      <c r="R200" s="43" t="inlineStr">
        <is>
          <t>耀 老 耂 考 耄 者 耆 耇 耈 耉 耊 耋 而 耍 耎 耏 耐 耒 耓 耕 耖 耗 耘 耚 耛 耝 耟 耠 耡 耢 耣 耥 耦 耧 耨 耩 耪 耫 耬 耭 耮 耯 耰 耱 耲 耳 耵 耷 耸 耹 耺 耻 耼 耽 耾 耿 聀 聁 聂 聃 聄 聅 聆 聇 聈 聉 聋 职 聍 聐 聑 聒 聓 联 聕 聖 聗 聘 聙 聚 聛 聜 聝 聞 聟 聠 聡 聢 聣 聤 聥 聦 聧 聨 聩 聪 聫 聬 聭 聮 聰 聱 聲 聳 聴 聵 聶 職 聸 聹 聺 聻 聼 聽 聾 聿 肀 肁 肂 肃 肄 肅 肆 肇 肈 肉 肋 肌 肍 肎 肏 肐 肑 肒 肓 肔 肕 肖 肗 肙 肚 肛 肝 肞 肠 股 肢 肣 肤 肦 肧 肨 肩 肪 肬 肮 肯 肰 肱 育 肳 肴 肵 肷 肸 肹 肺 肻 肼 肽 肾 胀 胁 胃 胄 胅 胈 胊 背 胍 胏 胒 胓 胔 胕 胖 胗 胙 胚 胞 胟 胠 胡 胥 胦 胧 胨 胩 胪 胬 胮 胯 胰 胱 胵 胷 胸 胺 胻 胾 胿</t>
        </is>
      </c>
      <c r="S200" s="40" t="n"/>
      <c r="V200" s="14">
        <f>(LEN(O200)+1)/2</f>
        <v/>
      </c>
      <c r="W200" s="14">
        <f>ROUNDDOWN((LEN(P200)+1)/2,0)</f>
        <v/>
      </c>
      <c r="X200" s="14">
        <f>ROUNDDOWN((LEN(Q200)+1)/2,0)</f>
        <v/>
      </c>
      <c r="Y200" s="14">
        <f>ROUNDDOWN((LEN(R200)+1)/2,0)</f>
        <v/>
      </c>
      <c r="Z200" s="14">
        <f>ROUNDDOWN((LEN(S200)+1)/2,0)</f>
        <v/>
      </c>
      <c r="AA200" s="56" t="n">
        <v>46150.55849358243</v>
      </c>
    </row>
    <row r="201" ht="102" customHeight="1">
      <c r="B201" s="46" t="inlineStr">
        <is>
          <t>U+8100-U+81FF</t>
        </is>
      </c>
      <c r="C201" s="46" t="inlineStr">
        <is>
          <t>CJK Unified Ideographs</t>
        </is>
      </c>
      <c r="D201" s="54">
        <f>HEX2DEC(MID(B201,3,FIND("-",E201)-3))</f>
        <v/>
      </c>
      <c r="E201" s="46" t="inlineStr">
        <is>
          <t>U+4E00-U+9FFF</t>
        </is>
      </c>
      <c r="F201" s="12" t="n">
        <v>3</v>
      </c>
      <c r="J201" s="19">
        <f>ROUNDDOWN(W201,0)/$V201</f>
        <v/>
      </c>
      <c r="K201" s="19">
        <f>ROUNDDOWN(X201,0)/$V201</f>
        <v/>
      </c>
      <c r="L201" s="19">
        <f>ROUNDDOWN(Y201,0)/$V201</f>
        <v/>
      </c>
      <c r="M201" s="19">
        <f>ROUNDDOWN(Z201,0)/$V201</f>
        <v/>
      </c>
      <c r="O201" s="36" t="inlineStr">
        <is>
          <t>脀 脁 脂 脃 脄 脅 脆 脇 脈 脉 脊 脋 脌 脍 脎 脏 脐 脑 脒 脓 脔 脕 脖 脗 脘 脙 脚 脛 脜 脝 脞 脟 脠 脡 脢 脣 脤 脥 脦 脧 脨 脩 脪 脫 脬 脭 脮 脯 脰 脱 脲 脳 脴 脵 脶 脷 脸 脹 脺 脻 脼 脽 脾 脿 腀 腁 腂 腃 腄 腅 腆 腇 腈 腉 腊 腋 腌 腍 腎 腏 腐 腑 腒 腓 腔 腕 腖 腗 腘 腙 腚 腛 腜 腝 腞 腟 腠 腡 腢 腣 腤 腥 腦 腧 腨 腩 腪 腫 腬 腭 腮 腯 腰 腱 腲 腳 腴 腵 腶 腷 腸 腹 腺 腻 腼 腽 腾 腿 膀 膁 膂 膃 膄 膅 膆 膇 膈 膉 膊 膋 膌 膍 膎 膏 膐 膑 膒 膓 膔 膕 膖 膗 膘 膙 膚 膛 膜 膝 膞 膟 膠 膡 膢 膣 膤 膥 膦 膧 膨 膩 膪 膫 膬 膭 膮 膯 膰 膱 膲 膳 膴 膵 膶 膷 膸 膹 膺 膻 膼 膽 膾 膿 臀 臁 臂 臃 臄 臅 臆 臇 臈 臉 臊 臋 臌 臍 臎 臏 臐 臑 臒 臓 臔 臕 臖 臗 臘 臙 臚 臛 臜 臝 臞 臟 臠 臡 臢 臣 臤 臥 臦 臧 臨 臩 自 臫 臬 臭 臮 臯 臰 臱 臲 至 致 臵 臶 臷 臸 臹 臺 臻 臼 臽 臾 臿</t>
        </is>
      </c>
      <c r="P201" s="37" t="inlineStr">
        <is>
          <t>脀 脁 脂 脃 脄 脅 脆 脇 脈 脉 脊 脋 脌 脍 脎 脏 脐 脑 脒 脓 脔 脕 脖 脗 脘 脙 脚 脛 脜 脝 脞 脟 脠 脡 脢 脣 脤 脥 脦 脧 脨 脩 脪 脫 脬 脭 脮 脯 脰 脱 脲 脳 脴 脵 脶 脷 脸 脹 脺 脻 脼 脽 脾 脿 腀 腁 腂 腃 腄 腅 腆 腇 腈 腉 腊 腋 腌 腍 腎 腏 腐 腑 腒 腓 腔 腕 腖 腗 腘 腙 腚 腛 腜 腝 腞 腟 腠 腡 腢 腣 腤 腥 腦 腧 腨 腩 腪 腫 腬 腭 腮 腯 腰 腱 腲 腳 腴 腵 腶 腷 腸 腹 腺 腻 腼 腽 腾 腿 膀 膁 膂 膃 膄 膅 膆 膇 膈 膉 膊 膋 膌 膍 膎 膏 膐 膑 膒 膓 膔 膕 膖 膗 膘 膙 膚 膛 膜 膝 膞 膟 膠 膡 膢 膣 膤 膥 膦 膧 膨 膩 膪 膫 膬 膭 膮 膯 膰 膱 膲 膳 膴 膵 膶 膷 膸 膹 膺 膻 膼 膽 膾 膿 臀 臁 臂 臃 臄 臅 臆 臇 臈 臉 臊 臋 臌 臍 臎 臏 臐 臑 臒 臓 臔 臕 臖 臗 臘 臙 臚 臛 臜 臝 臞 臟 臠 臡 臢 臣 臤 臥 臦 臧 臨 臩 自 臫 臬 臭 臮 臯 臰 臱 臲 至 致 臵 臶 臷 臸 臹 臺 臻 臼 臽 臾 臿</t>
        </is>
      </c>
      <c r="Q201" s="38" t="inlineStr">
        <is>
          <t>脀 脁 脂 脃 脄 脅 脆 脇 脈 脉 脊 脋 脌 脍 脎 脏 脐 脑 脒 脓 脔 脕 脖 脗 脘 脙 脚 脛 脜 脝 脞 脟 脠 脡 脢 脣 脤 脥 脦 脧 脨 脩 脪 脫 脬 脭 脮 脯 脰 脱 脲 脳 脴 脵 脶 脷 脸 脹 脺 脻 脼 脽 脾 脿 腀 腁 腂 腃 腄 腅 腆 腇 腈 腉 腊 腋 腌 腍 腎 腏 腐 腑 腒 腓 腔 腕 腖 腗 腘 腙 腚 腛 腜 腝 腞 腟 腠 腡 腢 腣 腤 腥 腦 腧 腨 腩 腪 腫 腬 腭 腮 腯 腰 腱 腲 腳 腴 腵 腶 腷 腸 腹 腺 腻 腼 腽 腾 腿 膀 膁 膂 膃 膄 膅 膆 膇 膈 膉 膊 膋 膌 膍 膎 膏 膐 膑 膒 膓 膔 膕 膖 膗 膘 膙 膚 膛 膜 膝 膞 膟 膠 膡 膢 膣 膤 膥 膦 膧 膨 膩 膪 膫 膬 膭 膮 膯 膰 膱 膲 膳 膴 膵 膶 膷 膸 膹 膺 膻 膼 膽 膾 膿 臀 臁 臂 臃 臄 臅 臆 臇 臈 臉 臊 臋 臌 臍 臎 臏 臐 臑 臒 臓 臔 臕 臖 臗 臘 臙 臚 臛 臜 臝 臞 臟 臠 臡 臢 臣 臤 臥 臦 臧 臨 臩 自 臫 臬 臭 臮 臯 臰 臱 臲 至 致 臵 臶 臷 臸 臹 臺 臻 臼 臽 臾 臿</t>
        </is>
      </c>
      <c r="R201" s="43" t="inlineStr">
        <is>
          <t>脀 脃 脄 脅 脆 脇 脈 脉 脊 脋 脌 脏 脑 脒 脓 脔 脕 脖 脗 脘 脙 脛 脞 脠 脡 脢 脣 脤 脦 脧 脨 脩 脪 脫 脬 脮 脱 脲 脹 脻 脽 脾 脿 腀 腂 腃 腄 腅 腉 腊 腋 腌 腍 腎 腏 腐 腑 腒 腔 腕 腖 腗 腙 腚 腛 腜 腝 腟 腣 腥 腧 腨 腫 腬 腮 腯 腰 腱 腲 腳 腴 腶 腸 腹 腺 腻 腽 腾 腿 膀 膁 膂 膃 膄 膅 膇 膉 膋 膌 膏 膐 膑 膓 膔 膖 膗 膙 膚 膡 膥 膦 膧 膨 膪 膫 膬 膭 膮 膯 膱 膲 膴 膵 膸 膹 膺 膼 膽 膾 膿 臀 臁 臂 臃 臄 臅 臆 臈 臉 臊 臋 臌 臍 臐 臓 臕 臖 臙 臚 臛 臜 臝 臞 臟 臠 臡 臢 臣 臤 臥 臧 臨 臩 自 臬 臭 臮 臯 臰 臱 臲 至 致 臵 臶 臷 臸 臹 臺 臼 臽 臾 臿</t>
        </is>
      </c>
      <c r="S201" s="40" t="n"/>
      <c r="V201" s="14">
        <f>(LEN(O201)+1)/2</f>
        <v/>
      </c>
      <c r="W201" s="14">
        <f>ROUNDDOWN((LEN(P201)+1)/2,0)</f>
        <v/>
      </c>
      <c r="X201" s="14">
        <f>ROUNDDOWN((LEN(Q201)+1)/2,0)</f>
        <v/>
      </c>
      <c r="Y201" s="14">
        <f>ROUNDDOWN((LEN(R201)+1)/2,0)</f>
        <v/>
      </c>
      <c r="Z201" s="14">
        <f>ROUNDDOWN((LEN(S201)+1)/2,0)</f>
        <v/>
      </c>
      <c r="AA201" s="56" t="n">
        <v>46150.55849642829</v>
      </c>
    </row>
    <row r="202" ht="102" customHeight="1">
      <c r="B202" s="46" t="inlineStr">
        <is>
          <t>U+8200-U+82FF</t>
        </is>
      </c>
      <c r="C202" s="46" t="inlineStr">
        <is>
          <t>CJK Unified Ideographs</t>
        </is>
      </c>
      <c r="D202" s="54">
        <f>HEX2DEC(MID(B202,3,FIND("-",E202)-3))</f>
        <v/>
      </c>
      <c r="E202" s="46" t="inlineStr">
        <is>
          <t>U+4E00-U+9FFF</t>
        </is>
      </c>
      <c r="F202" s="12" t="n">
        <v>3</v>
      </c>
      <c r="J202" s="19">
        <f>ROUNDDOWN(W202,0)/$V202</f>
        <v/>
      </c>
      <c r="K202" s="19">
        <f>ROUNDDOWN(X202,0)/$V202</f>
        <v/>
      </c>
      <c r="L202" s="19">
        <f>ROUNDDOWN(Y202,0)/$V202</f>
        <v/>
      </c>
      <c r="M202" s="19">
        <f>ROUNDDOWN(Z202,0)/$V202</f>
        <v/>
      </c>
      <c r="O202" s="36" t="inlineStr">
        <is>
          <t>舀 舁 舂 舃 舄 舅 舆 與 興 舉 舊 舋 舌 舍 舎 舏 舐 舑 舒 舓 舔 舕 舖 舗 舘 舙 舚 舛 舜 舝 舞 舟 舠 舡 舢 舣 舤 舥 舦 舧 舨 舩 航 舫 般 舭 舮 舯 舰 舱 舲 舳 舴 舵 舶 舷 舸 船 舺 舻 舼 舽 舾 舿 艀 艁 艂 艃 艄 艅 艆 艇 艈 艉 艊 艋 艌 艍 艎 艏 艐 艑 艒 艓 艔 艕 艖 艗 艘 艙 艚 艛 艜 艝 艞 艟 艠 艡 艢 艣 艤 艥 艦 艧 艨 艩 艪 艫 艬 艭 艮 良 艰 艱 色 艳 艴 艵 艶 艷 艸 艹 艺 艻 艼 艽 艾 艿 芀 芁 节 芃 芄 芅 芆 芇 芈 芉 芊 芋 芌 芍 芎 芏 芐 芑 芒 芓 芔 芕 芖 芗 芘 芙 芚 芛 芜 芝 芞 芟 芠 芡 芢 芣 芤 芥 芦 芧 芨 芩 芪 芫 芬 芭 芮 芯 芰 花 芲 芳 芴 芵 芶 芷 芸 芹 芺 芻 芼 芽 芾 芿 苀 苁 苂 苃 苄 苅 苆 苇 苈 苉 苊 苋 苌 苍 苎 苏 苐 苑 苒 苓 苔 苕 苖 苗 苘 苙 苚 苛 苜 苝 苞 苟 苠 苡 苢 苣 苤 若 苦 苧 苨 苩 苪 苫 苬 苭 苮 苯 苰 英 苲 苳 苴 苵 苶 苷 苸 苹 苺 苻 苼 苽 苾 苿</t>
        </is>
      </c>
      <c r="P202" s="37" t="inlineStr">
        <is>
          <t>舀 舁 舂 舃 舄 舅 舆 與 興 舉 舊 舋 舌 舍 舎 舏 舐 舑 舒 舓 舔 舕 舖 舗 舘 舙 舚 舛 舜 舝 舞 舟 舠 舡 舢 舣 舤 舥 舦 舧 舨 舩 航 舫 般 舭 舮 舯 舰 舱 舲 舳 舴 舵 舶 舷 舸 船 舺 舻 舼 舽 舾 舿 艀 艁 艂 艃 艄 艅 艆 艇 艈 艉 艊 艋 艌 艍 艎 艏 艐 艑 艒 艓 艔 艕 艖 艗 艘 艙 艚 艛 艜 艝 艞 艟 艠 艡 艢 艣 艤 艥 艦 艧 艨 艩 艪 艫 艬 艭 艮 良 艰 艱 色 艳 艴 艵 艶 艷 艸 艹 艺 艻 艼 艽 艾 艿 芀 芁 节 芃 芄 芅 芆 芇 芈 芉 芊 芋 芌 芍 芎 芏 芐 芑 芒 芓 芔 芕 芖 芗 芘 芙 芚 芛 芜 芝 芞 芟 芠 芡 芢 芣 芤 芥 芦 芧 芨 芩 芪 芫 芬 芭 芮 芯 芰 花 芲 芳 芴 芵 芶 芷 芸 芹 芺 芻 芼 芽 芾 芿 苀 苁 苂 苃 苄 苅 苆 苇 苈 苉 苊 苋 苌 苍 苎 苏 苐 苑 苒 苓 苔 苕 苖 苗 苘 苙 苚 苛 苜 苝 苞 苟 苠 苡 苢 苣 苤 若 苦 苧 苨 苩 苪 苫 苬 苭 苮 苯 苰 英 苲 苳 苴 苵 苶 苷 苸 苹 苺 苻 苼 苽 苾 苿</t>
        </is>
      </c>
      <c r="Q202" s="38" t="inlineStr">
        <is>
          <t>舀 舁 舂 舃 舄 舅 舆 與 興 舉 舊 舋 舌 舍 舎 舏 舐 舑 舒 舓 舔 舕 舖 舗 舘 舙 舚 舛 舜 舝 舞 舟 舠 舡 舢 舣 舤 舥 舦 舧 舨 舩 航 舫 般 舭 舮 舯 舰 舱 舲 舳 舴 舵 舶 舷 舸 船 舺 舻 舼 舽 舾 舿 艀 艁 艂 艃 艄 艅 艆 艇 艈 艉 艊 艋 艌 艍 艎 艏 艐 艑 艒 艓 艔 艕 艖 艗 艘 艙 艚 艛 艜 艝 艞 艟 艠 艡 艢 艣 艤 艥 艦 艧 艨 艩 艪 艫 艬 艭 艮 良 艰 艱 色 艳 艴 艵 艶 艷 艸 艹 艺 艻 艼 艽 艾 艿 芀 芁 节 芃 芄 芅 芆 芇 芈 芉 芊 芋 芌 芍 芎 芏 芐 芑 芒 芓 芔 芕 芖 芗 芘 芙 芚 芛 芜 芝 芞 芟 芠 芡 芢 芣 芤 芥 芦 芧 芨 芩 芪 芫 芬 芭 芮 芯 芰 花 芲 芳 芴 芵 芶 芷 芸 芹 芺 芻 芼 芽 芾 芿 苀 苁 苂 苃 苄 苅 苆 苇 苈 苉 苊 苋 苌 苍 苎 苏 苐 苑 苒 苓 苔 苕 苖 苗 苘 苙 苚 苛 苜 苝 苞 苟 苠 苡 苢 苣 苤 若 苦 苧 苨 苩 苪 苫 苬 苭 苮 苯 苰 英 苲 苳 苴 苵 苶 苷 苸 苹 苺 苻 苼 苽 苾 苿</t>
        </is>
      </c>
      <c r="R202" s="43" t="inlineStr">
        <is>
          <t>舀 舁 舂 舃 舄 舅 舆 與 興 舉 舊 舋 舌 舍 舑 舒 舓 舔 舕 舖 舗 舘 舙 舚 舜 舝 舞 舟 舠 舣 舤 舦 舧 舨 舩 航 舫 般 舮 舰 舱 舲 舴 船 舻 舾 艀 艂 艃 艅 艇 艈 艉 艋 艌 艍 艎 艑 艓 艔 艕 艖 艗 艘 艙 艛 艜 艞 艟 艠 艢 艣 艥 艦 艧 艩 艪 艫 艬 艭 艮 良 色 艳 艴 艵 艶 艷 艺 艻 艼 艽 艾 艿 芀 芁 节 芃 芄 芅 芆 芇 芈 芉 芊 芋 芍 芎 芏 芐 芑 芒 芓 芔 芕 芖 芗 芘 芙 芚 芛 芜 芝 芞 芟 芠 芡 芢 芣 芤 芥 芦 芧 芨 芩 芪 芬 芭 芮 芯 芰 花 芲 芳 芴 芵 芶 芷 芹 芺 芻 芼 芽 芾 芿 苁 苂 苃 苄 苅 苆 苇 苈 苉 苊 苋 苌 苍 苏 苐 苑 苒 苓 苔 苕 苖 苗 苘 苙 苚 苛 苜 苝 苞 苟 苠 苡 苢 苣 苤 若 苦 苧 苨 苩 苪 苫 苬 苭 苮 苯 苰 英 苲 苳 苴 苵 苶 苷 苸 苹 苺 苻 苼 苽 苾 苿</t>
        </is>
      </c>
      <c r="S202" s="40" t="n"/>
      <c r="V202" s="14">
        <f>(LEN(O202)+1)/2</f>
        <v/>
      </c>
      <c r="W202" s="14">
        <f>ROUNDDOWN((LEN(P202)+1)/2,0)</f>
        <v/>
      </c>
      <c r="X202" s="14">
        <f>ROUNDDOWN((LEN(Q202)+1)/2,0)</f>
        <v/>
      </c>
      <c r="Y202" s="14">
        <f>ROUNDDOWN((LEN(R202)+1)/2,0)</f>
        <v/>
      </c>
      <c r="Z202" s="14">
        <f>ROUNDDOWN((LEN(S202)+1)/2,0)</f>
        <v/>
      </c>
      <c r="AA202" s="56" t="n">
        <v>46150.55849917261</v>
      </c>
    </row>
    <row r="203" ht="102" customHeight="1">
      <c r="B203" s="46" t="inlineStr">
        <is>
          <t>U+8300-U+83FF</t>
        </is>
      </c>
      <c r="C203" s="46" t="inlineStr">
        <is>
          <t>CJK Unified Ideographs</t>
        </is>
      </c>
      <c r="D203" s="54">
        <f>HEX2DEC(MID(B203,3,FIND("-",E203)-3))</f>
        <v/>
      </c>
      <c r="E203" s="46" t="inlineStr">
        <is>
          <t>U+4E00-U+9FFF</t>
        </is>
      </c>
      <c r="F203" s="12" t="n">
        <v>3</v>
      </c>
      <c r="J203" s="19">
        <f>ROUNDDOWN(W203,0)/$V203</f>
        <v/>
      </c>
      <c r="K203" s="19">
        <f>ROUNDDOWN(X203,0)/$V203</f>
        <v/>
      </c>
      <c r="L203" s="19">
        <f>ROUNDDOWN(Y203,0)/$V203</f>
        <v/>
      </c>
      <c r="M203" s="19">
        <f>ROUNDDOWN(Z203,0)/$V203</f>
        <v/>
      </c>
      <c r="O203" s="36" t="inlineStr">
        <is>
          <t>茀 茁 茂 范 茄 茅 茆 茇 茈 茉 茊 茋 茌 茍 茎 茏 茐 茑 茒 茓 茔 茕 茖 茗 茘 茙 茚 茛 茜 茝 茞 茟 茠 茡 茢 茣 茤 茥 茦 茧 茨 茩 茪 茫 茬 茭 茮 茯 茰 茱 茲 茳 茴 茵 茶 茷 茸 茹 茺 茻 茼 茽 茾 茿 荀 荁 荂 荃 荄 荅 荆 荇 荈 草 荊 荋 荌 荍 荎 荏 荐 荑 荒 荓 荔 荕 荖 荗 荘 荙 荚 荛 荜 荝 荞 荟 荠 荡 荢 荣 荤 荥 荦 荧 荨 荩 荪 荫 荬 荭 荮 药 荰 荱 荲 荳 荴 荵 荶 荷 荸 荹 荺 荻 荼 荽 荾 荿 莀 莁 莂 莃 莄 莅 莆 莇 莈 莉 莊 莋 莌 莍 莎 莏 莐 莑 莒 莓 莔 莕 莖 莗 莘 莙 莚 莛 莜 莝 莞 莟 莠 莡 莢 莣 莤 莥 莦 莧 莨 莩 莪 莫 莬 莭 莮 莯 莰 莱 莲 莳 莴 莵 莶 获 莸 莹 莺 莻 莼 莽 莾 莿 菀 菁 菂 菃 菄 菅 菆 菇 菈 菉 菊 菋 菌 菍 菎 菏 菐 菑 菒 菓 菔 菕 菖 菗 菘 菙 菚 菛 菜 菝 菞 菟 菠 菡 菢 菣 菤 菥 菦 菧 菨 菩 菪 菫 菬 菭 菮 華 菰 菱 菲 菳 菴 菵 菶 菷 菸 菹 菺 菻 菼 菽 菾 菿</t>
        </is>
      </c>
      <c r="P203" s="37" t="inlineStr">
        <is>
          <t>茀 茁 茂 范 茄 茅 茆 茇 茈 茉 茊 茋 茌 茍 茎 茏 茐 茑 茒 茓 茔 茕 茖 茗 茘 茙 茚 茛 茜 茝 茞 茟 茠 茡 茢 茣 茤 茥 茦 茧 茨 茩 茪 茫 茬 茭 茮 茯 茰 茱 茲 茳 茴 茵 茶 茷 茸 茹 茺 茻 茼 茽 茾 茿 荀 荁 荂 荃 荄 荅 荆 荇 荈 草 荊 荋 荌 荍 荎 荏 荐 荑 荒 荓 荔 荕 荖 荗 荘 荙 荚 荛 荜 荝 荞 荟 荠 荡 荢 荣 荤 荥 荦 荧 荨 荩 荪 荫 荬 荭 荮 药 荰 荱 荲 荳 荴 荵 荶 荷 荸 荹 荺 荻 荼 荽 荾 荿 莀 莁 莂 莃 莄 莅 莆 莇 莈 莉 莊 莋 莌 莍 莎 莏 莐 莑 莒 莓 莔 莕 莖 莗 莘 莙 莚 莛 莜 莝 莞 莟 莠 莡 莢 莣 莤 莥 莦 莧 莨 莩 莪 莫 莬 莭 莮 莯 莰 莱 莲 莳 莴 莵 莶 获 莸 莹 莺 莻 莼 莽 莾 莿 菀 菁 菂 菃 菄 菅 菆 菇 菈 菉 菊 菋 菌 菍 菎 菏 菐 菑 菒 菓 菔 菕 菖 菗 菘 菙 菚 菛 菜 菝 菞 菟 菠 菡 菢 菣 菤 菥 菦 菧 菨 菩 菪 菫 菬 菭 菮 華 菰 菱 菲 菳 菴 菵 菶 菷 菸 菹 菺 菻 菼 菽 菾 菿</t>
        </is>
      </c>
      <c r="Q203" s="38" t="inlineStr">
        <is>
          <t>茀 茁 茂 范 茄 茅 茆 茇 茈 茉 茊 茋 茌 茍 茎 茏 茐 茑 茒 茓 茔 茕 茖 茗 茘 茙 茚 茛 茜 茝 茞 茟 茠 茡 茢 茣 茤 茥 茦 茧 茨 茩 茪 茫 茬 茭 茮 茯 茰 茱 茲 茳 茴 茵 茶 茷 茸 茹 茺 茻 茼 茽 茾 茿 荀 荁 荂 荃 荄 荅 荆 荇 荈 草 荊 荋 荌 荍 荎 荏 荐 荑 荒 荓 荔 荕 荖 荗 荘 荙 荚 荛 荜 荝 荞 荟 荠 荡 荢 荣 荤 荥 荦 荧 荨 荩 荪 荫 荬 荭 荮 药 荰 荱 荲 荳 荴 荵 荶 荷 荸 荹 荺 荻 荼 荽 荾 荿 莀 莁 莂 莃 莄 莅 莆 莇 莈 莉 莊 莋 莌 莍 莎 莏 莐 莑 莒 莓 莔 莕 莖 莗 莘 莙 莚 莛 莜 莝 莞 莟 莠 莡 莢 莣 莤 莥 莦 莧 莨 莩 莪 莫 莬 莭 莮 莯 莰 莱 莲 莳 莴 莵 莶 获 莸 莹 莺 莻 莼 莽 莾 莿 菀 菁 菂 菃 菄 菅 菆 菇 菈 菉 菊 菋 菌 菍 菎 菏 菐 菑 菒 菓 菔 菕 菖 菗 菘 菙 菚 菛 菜 菝 菞 菟 菠 菡 菢 菣 菤 菥 菦 菧 菨 菩 菪 菫 菬 菭 菮 華 菰 菱 菲 菳 菴 菵 菶 菷 菸 菹 菺 菻 菼 菽 菾 菿</t>
        </is>
      </c>
      <c r="R203" s="43" t="inlineStr">
        <is>
          <t>茀 茁 茂 范 茄 茅 茆 茇 茈 茉 茊 茋 茌 茍 茎 茏 茐 茑 茒 茓 茔 茕 茖 茗 茘 茙 茚 茛 茜 茝 茞 茟 茠 茡 茢 茣 茤 茥 茦 茧 茨 茩 茪 茫 茬 茭 茮 茯 茰 茱 茲 茳 茴 茵 茶 茷 茸 茹 茺 茼 茽 茾 茿 荀 荁 荂 荃 荄 荅 荆 荇 荈 草 荊 荋 荌 荍 荎 荏 荐 荑 荒 荓 荔 荕 荖 荗 荘 荙 荚 荛 荜 荝 荞 荟 荠 荡 荢 荣 荤 荥 荦 荧 荨 荩 荪 荫 荬 荭 荮 药 荰 荱 荲 荳 荴 荵 荶 荷 荸 荹 荺 荻 荼 荽 荾 荿 莀 莁 莂 莃 莄 莅 莆 莇 莈 莉 莊 莋 莌 莍 莎 莏 莐 莑 莒 莓 莔 莕 莖 莗 莘 莙 莚 莛 莜 莝 莞 莟 莠 莡 莢 莣 莤 莥 莦 莧 莨 莩 莪 莫 莬 莭 莮 莯 莰 莱 莲 莳 莴 莵 莶 获 莸 莹 莺 莻 莼 莽 莾 莿 菀 菁 菂 菃 菄 菅 菆 菇 菈 菉 菊 菋 菌 菍 菎 菏 菐 菑 菒 菓 菔 菕 菖 菗 菘 菙 菚 菛 菜 菝 菞 菟 菠 菡 菢 菣 菤 菥 菦 菧 菨 菪 菫 菬 菭 菮 華 菰 菱 菲 菳 菴 菵 菶 菷 菸 菹 菺 菻 菼 菽 菾 菿</t>
        </is>
      </c>
      <c r="S203" s="40" t="n"/>
      <c r="V203" s="14">
        <f>(LEN(O203)+1)/2</f>
        <v/>
      </c>
      <c r="W203" s="14">
        <f>ROUNDDOWN((LEN(P203)+1)/2,0)</f>
        <v/>
      </c>
      <c r="X203" s="14">
        <f>ROUNDDOWN((LEN(Q203)+1)/2,0)</f>
        <v/>
      </c>
      <c r="Y203" s="14">
        <f>ROUNDDOWN((LEN(R203)+1)/2,0)</f>
        <v/>
      </c>
      <c r="Z203" s="14">
        <f>ROUNDDOWN((LEN(S203)+1)/2,0)</f>
        <v/>
      </c>
      <c r="AA203" s="56" t="n">
        <v>46150.5585019152</v>
      </c>
    </row>
    <row r="204" ht="102" customHeight="1">
      <c r="B204" s="46" t="inlineStr">
        <is>
          <t>U+8400-U+84FF</t>
        </is>
      </c>
      <c r="C204" s="46" t="inlineStr">
        <is>
          <t>CJK Unified Ideographs</t>
        </is>
      </c>
      <c r="D204" s="54">
        <f>HEX2DEC(MID(B204,3,FIND("-",E204)-3))</f>
        <v/>
      </c>
      <c r="E204" s="46" t="inlineStr">
        <is>
          <t>U+4E00-U+9FFF</t>
        </is>
      </c>
      <c r="F204" s="12" t="n">
        <v>3</v>
      </c>
      <c r="J204" s="19">
        <f>ROUNDDOWN(W204,0)/$V204</f>
        <v/>
      </c>
      <c r="K204" s="19">
        <f>ROUNDDOWN(X204,0)/$V204</f>
        <v/>
      </c>
      <c r="L204" s="19">
        <f>ROUNDDOWN(Y204,0)/$V204</f>
        <v/>
      </c>
      <c r="M204" s="19">
        <f>ROUNDDOWN(Z204,0)/$V204</f>
        <v/>
      </c>
      <c r="O204" s="36" t="inlineStr">
        <is>
          <t>萀 萁 萂 萃 萄 萅 萆 萇 萈 萉 萊 萋 萌 萍 萎 萏 萐 萑 萒 萓 萔 萕 萖 萗 萘 萙 萚 萛 萜 萝 萞 萟 萠 萡 萢 萣 萤 营 萦 萧 萨 萩 萪 萫 萬 萭 萮 萯 萰 萱 萲 萳 萴 萵 萶 萷 萸 萹 萺 萻 萼 落 萾 萿 葀 葁 葂 葃 葄 葅 葆 葇 葈 葉 葊 葋 葌 葍 葎 葏 葐 葑 葒 葓 葔 葕 葖 著 葘 葙 葚 葛 葜 葝 葞 葟 葠 葡 葢 董 葤 葥 葦 葧 葨 葩 葪 葫 葬 葭 葮 葯 葰 葱 葲 葳 葴 葵 葶 葷 葸 葹 葺 葻 葼 葽 葾 葿 蒀 蒁 蒂 蒃 蒄 蒅 蒆 蒇 蒈 蒉 蒊 蒋 蒌 蒍 蒎 蒏 蒐 蒑 蒒 蒓 蒔 蒕 蒖 蒗 蒘 蒙 蒚 蒛 蒜 蒝 蒞 蒟 蒠 蒡 蒢 蒣 蒤 蒥 蒦 蒧 蒨 蒩 蒪 蒫 蒬 蒭 蒮 蒯 蒰 蒱 蒲 蒳 蒴 蒵 蒶 蒷 蒸 蒹 蒺 蒻 蒼 蒽 蒾 蒿 蓀 蓁 蓂 蓃 蓄 蓅 蓆 蓇 蓈 蓉 蓊 蓋 蓌 蓍 蓎 蓏 蓐 蓑 蓒 蓓 蓔 蓕 蓖 蓗 蓘 蓙 蓚 蓛 蓜 蓝 蓞 蓟 蓠 蓡 蓢 蓣 蓤 蓥 蓦 蓧 蓨 蓩 蓪 蓫 蓬 蓭 蓮 蓯 蓰 蓱 蓲 蓳 蓴 蓵 蓶 蓷 蓸 蓹 蓺 蓻 蓼 蓽 蓾 蓿</t>
        </is>
      </c>
      <c r="P204" s="37" t="inlineStr">
        <is>
          <t>萀 萁 萂 萃 萄 萅 萆 萇 萈 萉 萊 萋 萌 萍 萎 萏 萐 萑 萒 萓 萔 萕 萖 萗 萘 萙 萚 萛 萜 萝 萞 萟 萠 萡 萢 萣 萤 营 萦 萧 萨 萩 萪 萫 萬 萭 萮 萯 萰 萱 萲 萳 萴 萵 萶 萷 萸 萹 萺 萻 萼 落 萾 萿 葀 葁 葂 葃 葄 葅 葆 葇 葈 葉 葊 葋 葌 葍 葎 葏 葐 葑 葒 葓 葔 葕 葖 著 葘 葙 葚 葛 葜 葝 葞 葟 葠 葡 葢 董 葤 葥 葦 葧 葨 葩 葪 葫 葬 葭 葮 葯 葰 葱 葲 葳 葴 葵 葶 葷 葸 葹 葺 葻 葼 葽 葾 葿 蒀 蒁 蒂 蒃 蒄 蒅 蒆 蒇 蒈 蒉 蒊 蒋 蒌 蒍 蒎 蒏 蒐 蒑 蒒 蒓 蒔 蒕 蒖 蒗 蒘 蒙 蒚 蒛 蒜 蒝 蒞 蒟 蒠 蒡 蒢 蒣 蒤 蒥 蒦 蒧 蒨 蒩 蒪 蒫 蒬 蒭 蒮 蒯 蒰 蒱 蒲 蒳 蒴 蒵 蒶 蒷 蒸 蒹 蒺 蒻 蒼 蒽 蒾 蒿 蓀 蓁 蓂 蓃 蓄 蓅 蓆 蓇 蓈 蓉 蓊 蓋 蓌 蓍 蓎 蓏 蓐 蓑 蓒 蓓 蓔 蓕 蓖 蓗 蓘 蓙 蓚 蓛 蓜 蓝 蓞 蓟 蓠 蓡 蓢 蓣 蓤 蓥 蓦 蓧 蓨 蓩 蓪 蓫 蓬 蓭 蓮 蓯 蓰 蓱 蓲 蓳 蓴 蓵 蓶 蓷 蓸 蓹 蓺 蓻 蓼 蓽 蓾 蓿</t>
        </is>
      </c>
      <c r="Q204" s="38" t="inlineStr">
        <is>
          <t>萀 萁 萂 萃 萄 萅 萆 萇 萈 萉 萊 萋 萌 萍 萎 萏 萐 萑 萒 萓 萔 萕 萖 萗 萘 萙 萚 萛 萜 萝 萞 萟 萠 萡 萢 萣 萤 营 萦 萧 萨 萩 萪 萫 萬 萭 萮 萯 萰 萱 萲 萳 萴 萵 萶 萷 萸 萹 萺 萻 萼 落 萾 萿 葀 葁 葂 葃 葄 葅 葆 葇 葈 葉 葊 葋 葌 葍 葎 葏 葐 葑 葒 葓 葔 葕 葖 著 葘 葙 葚 葛 葜 葝 葞 葟 葠 葡 葢 董 葤 葥 葦 葧 葨 葩 葪 葫 葬 葭 葮 葯 葰 葱 葲 葳 葴 葵 葶 葷 葸 葹 葺 葻 葼 葽 葾 葿 蒀 蒁 蒂 蒃 蒄 蒅 蒆 蒇 蒈 蒉 蒊 蒋 蒌 蒍 蒎 蒏 蒐 蒑 蒒 蒓 蒔 蒕 蒖 蒗 蒘 蒙 蒚 蒛 蒜 蒝 蒞 蒟 蒠 蒡 蒢 蒣 蒤 蒥 蒦 蒧 蒨 蒩 蒪 蒫 蒬 蒭 蒮 蒯 蒰 蒱 蒲 蒳 蒴 蒵 蒶 蒷 蒸 蒹 蒺 蒻 蒼 蒽 蒾 蒿 蓀 蓁 蓂 蓃 蓄 蓅 蓆 蓇 蓈 蓉 蓊 蓋 蓌 蓍 蓎 蓏 蓐 蓑 蓒 蓓 蓔 蓕 蓖 蓗 蓘 蓙 蓚 蓛 蓜 蓝 蓞 蓟 蓠 蓡 蓢 蓣 蓤 蓥 蓦 蓧 蓨 蓩 蓪 蓫 蓬 蓭 蓮 蓯 蓰 蓱 蓲 蓳 蓴 蓵 蓶 蓷 蓸 蓹 蓺 蓻 蓼 蓽 蓾 蓿</t>
        </is>
      </c>
      <c r="R204" s="43" t="inlineStr">
        <is>
          <t>萀 萁 萂 萃 萄 萅 萆 萇 萈 萉 萊 萋 萌 萍 萎 萏 萐 萑 萒 萓 萔 萕 萖 萘 萙 萚 萛 萜 萝 萞 萟 萠 萡 萢 萣 萤 营 萦 萧 萨 萩 萪 萫 萬 萭 萮 萯 萰 萱 萲 萳 萴 萵 萶 萷 萸 萹 萺 萻 萼 落 萾 萿 葀 葁 葂 葃 葄 葅 葆 葇 葈 葉 葊 葋 葌 葍 葎 葏 葐 葑 葒 葓 葔 葕 葖 著 葘 葙 葚 葛 葜 葝 葞 葟 葠 葡 葢 董 葤 葥 葦 葧 葨 葩 葪 葫 葬 葭 葮 葯 葰 葱 葲 葳 葴 葵 葶 葷 葸 葹 葺 葻 葼 葽 葾 葿 蒀 蒁 蒂 蒃 蒄 蒅 蒆 蒇 蒈 蒉 蒊 蒋 蒌 蒍 蒎 蒏 蒐 蒑 蒒 蒓 蒔 蒕 蒖 蒗 蒘 蒙 蒚 蒛 蒝 蒞 蒟 蒠 蒡 蒢 蒣 蒤 蒥 蒦 蒧 蒨 蒩 蒪 蒫 蒬 蒭 蒮 蒰 蒱 蒲 蒳 蒴 蒵 蒶 蒷 蒸 蒹 蒺 蒻 蒼 蒽 蒾 蒿 蓀 蓁 蓂 蓃 蓄 蓅 蓆 蓇 蓈 蓉 蓊 蓋 蓌 蓍 蓎 蓏 蓐 蓑 蓒 蓓 蓔 蓕 蓖 蓗 蓘 蓙 蓚 蓛 蓜 蓝 蓞 蓟 蓠 蓡 蓢 蓣 蓤 蓥 蓦 蓧 蓨 蓩 蓪 蓫 蓬 蓭 蓮 蓯 蓰 蓱 蓲 蓳 蓴 蓵 蓶 蓷 蓸 蓹 蓺 蓻 蓼 蓽 蓾 蓿</t>
        </is>
      </c>
      <c r="S204" s="40" t="n"/>
      <c r="V204" s="14">
        <f>(LEN(O204)+1)/2</f>
        <v/>
      </c>
      <c r="W204" s="14">
        <f>ROUNDDOWN((LEN(P204)+1)/2,0)</f>
        <v/>
      </c>
      <c r="X204" s="14">
        <f>ROUNDDOWN((LEN(Q204)+1)/2,0)</f>
        <v/>
      </c>
      <c r="Y204" s="14">
        <f>ROUNDDOWN((LEN(R204)+1)/2,0)</f>
        <v/>
      </c>
      <c r="Z204" s="14">
        <f>ROUNDDOWN((LEN(S204)+1)/2,0)</f>
        <v/>
      </c>
      <c r="AA204" s="56" t="n">
        <v>46150.55850468275</v>
      </c>
    </row>
    <row r="205" ht="102" customHeight="1">
      <c r="B205" s="46" t="inlineStr">
        <is>
          <t>U+8500-U+85FF</t>
        </is>
      </c>
      <c r="C205" s="46" t="inlineStr">
        <is>
          <t>CJK Unified Ideographs</t>
        </is>
      </c>
      <c r="D205" s="54">
        <f>HEX2DEC(MID(B205,3,FIND("-",E205)-3))</f>
        <v/>
      </c>
      <c r="E205" s="46" t="inlineStr">
        <is>
          <t>U+4E00-U+9FFF</t>
        </is>
      </c>
      <c r="F205" s="12" t="n">
        <v>3</v>
      </c>
      <c r="J205" s="19">
        <f>ROUNDDOWN(W205,0)/$V205</f>
        <v/>
      </c>
      <c r="K205" s="19">
        <f>ROUNDDOWN(X205,0)/$V205</f>
        <v/>
      </c>
      <c r="L205" s="19">
        <f>ROUNDDOWN(Y205,0)/$V205</f>
        <v/>
      </c>
      <c r="M205" s="19">
        <f>ROUNDDOWN(Z205,0)/$V205</f>
        <v/>
      </c>
      <c r="O205" s="36" t="inlineStr">
        <is>
          <t>蔀 蔁 蔂 蔃 蔄 蔅 蔆 蔇 蔈 蔉 蔊 蔋 蔌 蔍 蔎 蔏 蔐 蔑 蔒 蔓 蔔 蔕 蔖 蔗 蔘 蔙 蔚 蔛 蔜 蔝 蔞 蔟 蔠 蔡 蔢 蔣 蔤 蔥 蔦 蔧 蔨 蔩 蔪 蔫 蔬 蔭 蔮 蔯 蔰 蔱 蔲 蔳 蔴 蔵 蔶 蔷 蔸 蔹 蔺 蔻 蔼 蔽 蔾 蔿 蕀 蕁 蕂 蕃 蕄 蕅 蕆 蕇 蕈 蕉 蕊 蕋 蕌 蕍 蕎 蕏 蕐 蕑 蕒 蕓 蕔 蕕 蕖 蕗 蕘 蕙 蕚 蕛 蕜 蕝 蕞 蕟 蕠 蕡 蕢 蕣 蕤 蕥 蕦 蕧 蕨 蕩 蕪 蕫 蕬 蕭 蕮 蕯 蕰 蕱 蕲 蕳 蕴 蕵 蕶 蕷 蕸 蕹 蕺 蕻 蕼 蕽 蕾 蕿 薀 薁 薂 薃 薄 薅 薆 薇 薈 薉 薊 薋 薌 薍 薎 薏 薐 薑 薒 薓 薔 薕 薖 薗 薘 薙 薚 薛 薜 薝 薞 薟 薠 薡 薢 薣 薤 薥 薦 薧 薨 薩 薪 薫 薬 薭 薮 薯 薰 薱 薲 薳 薴 薵 薶 薷 薸 薹 薺 薻 薼 薽 薾 薿 藀 藁 藂 藃 藄 藅 藆 藇 藈 藉 藊 藋 藌 藍 藎 藏 藐 藑 藒 藓 藔 藕 藖 藗 藘 藙 藚 藛 藜 藝 藞 藟 藠 藡 藢 藣 藤 藥 藦 藧 藨 藩 藪 藫 藬 藭 藮 藯 藰 藱 藲 藳 藴 藵 藶 藷 藸 藹 藺 藻 藼 藽 藾 藿</t>
        </is>
      </c>
      <c r="P205" s="37" t="inlineStr">
        <is>
          <t>蔀 蔁 蔂 蔃 蔄 蔅 蔆 蔇 蔈 蔉 蔊 蔋 蔌 蔍 蔎 蔏 蔐 蔑 蔒 蔓 蔔 蔕 蔖 蔗 蔘 蔙 蔚 蔛 蔜 蔝 蔞 蔟 蔠 蔡 蔢 蔣 蔤 蔥 蔦 蔧 蔨 蔩 蔪 蔫 蔬 蔭 蔮 蔯 蔰 蔱 蔲 蔳 蔴 蔵 蔶 蔷 蔸 蔹 蔺 蔻 蔼 蔽 蔾 蔿 蕀 蕁 蕂 蕃 蕄 蕅 蕆 蕇 蕈 蕉 蕊 蕋 蕌 蕍 蕎 蕏 蕐 蕑 蕒 蕓 蕔 蕕 蕖 蕗 蕘 蕙 蕚 蕛 蕜 蕝 蕞 蕟 蕠 蕡 蕢 蕣 蕤 蕥 蕦 蕧 蕨 蕩 蕪 蕫 蕬 蕭 蕮 蕯 蕰 蕱 蕲 蕳 蕴 蕵 蕶 蕷 蕸 蕹 蕺 蕻 蕼 蕽 蕾 蕿 薀 薁 薂 薃 薄 薅 薆 薇 薈 薉 薊 薋 薌 薍 薎 薏 薐 薑 薒 薓 薔 薕 薖 薗 薘 薙 薚 薛 薜 薝 薞 薟 薠 薡 薢 薣 薤 薥 薦 薧 薨 薩 薪 薫 薬 薭 薮 薯 薰 薱 薲 薳 薴 薵 薶 薷 薸 薹 薺 薻 薼 薽 薾 薿 藀 藁 藂 藃 藄 藅 藆 藇 藈 藉 藊 藋 藌 藍 藎 藏 藐 藑 藒 藓 藔 藕 藖 藗 藘 藙 藚 藛 藜 藝 藞 藟 藠 藡 藢 藣 藤 藥 藦 藧 藨 藩 藪 藫 藬 藭 藮 藯 藰 藱 藲 藳 藴 藵 藶 藷 藸 藹 藺 藻 藼 藽 藾 藿</t>
        </is>
      </c>
      <c r="Q205" s="38" t="inlineStr">
        <is>
          <t>蔀 蔁 蔂 蔃 蔄 蔅 蔆 蔇 蔈 蔉 蔊 蔋 蔌 蔍 蔎 蔏 蔐 蔑 蔒 蔓 蔔 蔕 蔖 蔗 蔘 蔙 蔚 蔛 蔜 蔝 蔞 蔟 蔠 蔡 蔢 蔣 蔤 蔥 蔦 蔧 蔨 蔩 蔪 蔫 蔬 蔭 蔮 蔯 蔰 蔱 蔲 蔳 蔴 蔵 蔶 蔷 蔸 蔹 蔺 蔻 蔼 蔽 蔾 蔿 蕀 蕁 蕂 蕃 蕄 蕅 蕆 蕇 蕈 蕉 蕊 蕋 蕌 蕍 蕎 蕏 蕐 蕑 蕒 蕓 蕔 蕕 蕖 蕗 蕘 蕙 蕚 蕛 蕜 蕝 蕞 蕟 蕠 蕡 蕢 蕣 蕤 蕥 蕦 蕧 蕨 蕩 蕪 蕫 蕬 蕭 蕮 蕯 蕰 蕱 蕲 蕳 蕴 蕵 蕶 蕷 蕸 蕹 蕺 蕻 蕼 蕽 蕾 蕿 薀 薁 薂 薃 薄 薅 薆 薇 薈 薉 薊 薋 薌 薍 薎 薏 薐 薑 薒 薓 薔 薕 薖 薗 薘 薙 薚 薛 薜 薝 薞 薟 薠 薡 薢 薣 薤 薥 薦 薧 薨 薩 薪 薫 薬 薭 薮 薯 薰 薱 薲 薳 薴 薵 薶 薷 薸 薹 薺 薻 薼 薽 薾 薿 藀 藁 藂 藃 藄 藅 藆 藇 藈 藉 藊 藋 藌 藍 藎 藏 藐 藑 藒 藓 藔 藕 藖 藗 藘 藙 藚 藛 藜 藝 藞 藟 藠 藡 藢 藣 藤 藥 藦 藧 藨 藩 藪 藫 藬 藭 藮 藯 藰 藱 藲 藳 藴 藵 藶 藷 藸 藹 藺 藻 藼 藽 藾 藿</t>
        </is>
      </c>
      <c r="R205" s="43" t="inlineStr">
        <is>
          <t>蔀 蔁 蔂 蔃 蔄 蔅 蔆 蔇 蔈 蔉 蔊 蔋 蔌 蔍 蔎 蔏 蔐 蔑 蔒 蔓 蔔 蔕 蔖 蔗 蔘 蔙 蔚 蔛 蔜 蔝 蔞 蔟 蔠 蔡 蔢 蔣 蔤 蔥 蔦 蔧 蔨 蔩 蔪 蔫 蔬 蔭 蔮 蔯 蔰 蔱 蔲 蔳 蔴 蔵 蔶 蔷 蔸 蔹 蔺 蔻 蔼 蔽 蔾 蔿 蕀 蕁 蕂 蕃 蕄 蕅 蕆 蕇 蕈 蕉 蕊 蕋 蕌 蕍 蕎 蕏 蕐 蕑 蕒 蕓 蕔 蕕 蕖 蕗 蕘 蕙 蕚 蕛 蕜 蕝 蕞 蕟 蕠 蕡 蕢 蕣 蕤 蕥 蕦 蕧 蕨 蕩 蕪 蕫 蕬 蕭 蕮 蕯 蕰 蕱 蕲 蕳 蕴 蕵 蕶 蕷 蕸 蕹 蕺 蕻 蕼 蕽 蕾 蕿 薀 薁 薂 薃 薄 薅 薆 薇 薈 薉 薊 薋 薌 薍 薎 薏 薐 薑 薒 薓 薔 薕 薖 薗 薘 薙 薚 薛 薜 薝 薞 薟 薠 薡 薢 薣 薤 薥 薦 薧 薨 薩 薪 薫 薬 薭 薮 薯 薰 薱 薲 薳 薴 薵 薶 薷 薸 薹 薺 薻 薼 薽 薾 薿 藀 藁 藂 藃 藄 藅 藆 藇 藈 藉 藊 藋 藌 藍 藎 藏 藐 藑 藒 藓 藔 藕 藖 藗 藘 藙 藚 藛 藜 藝 藞 藟 藠 藡 藢 藣 藤 藥 藦 藧 藨 藩 藪 藫 藬 藭 藮 藯 藰 藱 藲 藳 藴 藵 藶 藷 藸 藹 藺 藻 藼 藽 藾 藿</t>
        </is>
      </c>
      <c r="S205" s="40" t="n"/>
      <c r="V205" s="14">
        <f>(LEN(O205)+1)/2</f>
        <v/>
      </c>
      <c r="W205" s="14">
        <f>ROUNDDOWN((LEN(P205)+1)/2,0)</f>
        <v/>
      </c>
      <c r="X205" s="14">
        <f>ROUNDDOWN((LEN(Q205)+1)/2,0)</f>
        <v/>
      </c>
      <c r="Y205" s="14">
        <f>ROUNDDOWN((LEN(R205)+1)/2,0)</f>
        <v/>
      </c>
      <c r="Z205" s="14">
        <f>ROUNDDOWN((LEN(S205)+1)/2,0)</f>
        <v/>
      </c>
      <c r="AA205" s="56" t="n">
        <v>46150.55850753099</v>
      </c>
    </row>
    <row r="206" ht="102" customHeight="1">
      <c r="B206" s="46" t="inlineStr">
        <is>
          <t>U+8600-U+86FF</t>
        </is>
      </c>
      <c r="C206" s="46" t="inlineStr">
        <is>
          <t>CJK Unified Ideographs</t>
        </is>
      </c>
      <c r="D206" s="54">
        <f>HEX2DEC(MID(B206,3,FIND("-",E206)-3))</f>
        <v/>
      </c>
      <c r="E206" s="46" t="inlineStr">
        <is>
          <t>U+4E00-U+9FFF</t>
        </is>
      </c>
      <c r="F206" s="12" t="n">
        <v>3</v>
      </c>
      <c r="J206" s="19">
        <f>ROUNDDOWN(W206,0)/$V206</f>
        <v/>
      </c>
      <c r="K206" s="19">
        <f>ROUNDDOWN(X206,0)/$V206</f>
        <v/>
      </c>
      <c r="L206" s="19">
        <f>ROUNDDOWN(Y206,0)/$V206</f>
        <v/>
      </c>
      <c r="M206" s="19">
        <f>ROUNDDOWN(Z206,0)/$V206</f>
        <v/>
      </c>
      <c r="O206" s="36" t="inlineStr">
        <is>
          <t>蘀 蘁 蘂 蘃 蘄 蘅 蘆 蘇 蘈 蘉 蘊 蘋 蘌 蘍 蘎 蘏 蘐 蘑 蘒 蘓 蘔 蘕 蘖 蘗 蘘 蘙 蘚 蘛 蘜 蘝 蘞 蘟 蘠 蘡 蘢 蘣 蘤 蘥 蘦 蘧 蘨 蘩 蘪 蘫 蘬 蘭 蘮 蘯 蘰 蘱 蘲 蘳 蘴 蘵 蘶 蘷 蘸 蘹 蘺 蘻 蘼 蘽 蘾 蘿 虀 虁 虂 虃 虄 虅 虆 虇 虈 虉 虊 虋 虌 虍 虎 虏 虐 虑 虒 虓 虔 處 虖 虗 虘 虙 虚 虛 虜 虝 虞 號 虠 虡 虢 虣 虤 虥 虦 虧 虨 虩 虪 虫 虬 虭 虮 虯 虰 虱 虲 虳 虴 虵 虶 虷 虸 虹 虺 虻 虼 虽 虾 虿 蚀 蚁 蚂 蚃 蚄 蚅 蚆 蚇 蚈 蚉 蚊 蚋 蚌 蚍 蚎 蚏 蚐 蚑 蚒 蚓 蚔 蚕 蚖 蚗 蚘 蚙 蚚 蚛 蚜 蚝 蚞 蚟 蚠 蚡 蚢 蚣 蚤 蚥 蚦 蚧 蚨 蚩 蚪 蚫 蚬 蚭 蚮 蚯 蚰 蚱 蚲 蚳 蚴 蚵 蚶 蚷 蚸 蚹 蚺 蚻 蚼 蚽 蚾 蚿 蛀 蛁 蛂 蛃 蛄 蛅 蛆 蛇 蛈 蛉 蛊 蛋 蛌 蛍 蛎 蛏 蛐 蛑 蛒 蛓 蛔 蛕 蛖 蛗 蛘 蛙 蛚 蛛 蛜 蛝 蛞 蛟 蛠 蛡 蛢 蛣 蛤 蛥 蛦 蛧 蛨 蛩 蛪 蛫 蛬 蛭 蛮 蛯 蛰 蛱 蛲 蛳 蛴 蛵 蛶 蛷 蛸 蛹 蛺 蛻 蛼 蛽 蛾 蛿</t>
        </is>
      </c>
      <c r="P206" s="37" t="inlineStr">
        <is>
          <t>蘀 蘁 蘂 蘃 蘄 蘅 蘆 蘇 蘈 蘉 蘊 蘋 蘌 蘍 蘎 蘏 蘐 蘑 蘒 蘓 蘔 蘕 蘖 蘗 蘘 蘙 蘚 蘛 蘜 蘝 蘞 蘟 蘠 蘡 蘢 蘣 蘤 蘥 蘦 蘧 蘨 蘩 蘪 蘫 蘬 蘭 蘮 蘯 蘰 蘱 蘲 蘳 蘴 蘵 蘶 蘷 蘸 蘹 蘺 蘻 蘼 蘽 蘾 蘿 虀 虁 虂 虃 虄 虅 虆 虇 虈 虉 虊 虋 虌 虍 虎 虏 虐 虑 虒 虓 虔 處 虖 虗 虘 虙 虚 虛 虜 虝 虞 號 虠 虡 虢 虣 虤 虥 虦 虧 虨 虩 虪 虫 虬 虭 虮 虯 虰 虱 虲 虳 虴 虵 虶 虷 虸 虹 虺 虻 虼 虽 虾 虿 蚀 蚁 蚂 蚃 蚄 蚅 蚆 蚇 蚈 蚉 蚊 蚋 蚌 蚍 蚎 蚏 蚐 蚑 蚒 蚓 蚔 蚕 蚖 蚗 蚘 蚙 蚚 蚛 蚜 蚝 蚞 蚟 蚠 蚡 蚢 蚣 蚤 蚥 蚦 蚧 蚨 蚩 蚪 蚫 蚬 蚭 蚮 蚯 蚰 蚱 蚲 蚳 蚴 蚵 蚶 蚷 蚸 蚹 蚺 蚻 蚼 蚽 蚾 蚿 蛀 蛁 蛂 蛃 蛄 蛅 蛆 蛇 蛈 蛉 蛊 蛋 蛌 蛍 蛎 蛏 蛐 蛑 蛒 蛓 蛔 蛕 蛖 蛗 蛘 蛙 蛚 蛛 蛜 蛝 蛞 蛟 蛠 蛡 蛢 蛣 蛤 蛥 蛦 蛧 蛨 蛩 蛪 蛫 蛬 蛭 蛮 蛯 蛰 蛱 蛲 蛳 蛴 蛵 蛶 蛷 蛸 蛹 蛺 蛻 蛼 蛽 蛾 蛿</t>
        </is>
      </c>
      <c r="Q206" s="38" t="inlineStr">
        <is>
          <t>蘀 蘁 蘂 蘃 蘄 蘅 蘆 蘇 蘈 蘉 蘊 蘋 蘌 蘍 蘎 蘏 蘐 蘑 蘒 蘓 蘔 蘕 蘖 蘗 蘘 蘙 蘚 蘛 蘜 蘝 蘞 蘟 蘠 蘡 蘢 蘣 蘤 蘥 蘦 蘧 蘨 蘩 蘪 蘫 蘬 蘭 蘮 蘯 蘰 蘱 蘲 蘳 蘴 蘵 蘶 蘷 蘸 蘹 蘺 蘻 蘼 蘽 蘾 蘿 虀 虁 虂 虃 虄 虅 虆 虇 虈 虉 虊 虋 虌 虍 虎 虏 虐 虑 虒 虓 虔 處 虖 虗 虘 虙 虚 虛 虜 虝 虞 號 虠 虡 虢 虣 虤 虥 虦 虧 虨 虩 虪 虫 虬 虭 虮 虯 虰 虱 虲 虳 虴 虵 虶 虷 虸 虹 虺 虻 虼 虽 虾 虿 蚀 蚁 蚂 蚃 蚄 蚅 蚆 蚇 蚈 蚉 蚊 蚋 蚌 蚍 蚎 蚏 蚐 蚑 蚒 蚓 蚔 蚕 蚖 蚗 蚘 蚙 蚚 蚛 蚜 蚝 蚞 蚟 蚠 蚡 蚢 蚣 蚤 蚥 蚦 蚧 蚨 蚩 蚪 蚫 蚬 蚭 蚮 蚯 蚰 蚱 蚲 蚳 蚴 蚵 蚶 蚷 蚸 蚹 蚺 蚻 蚼 蚽 蚾 蚿 蛀 蛁 蛂 蛃 蛄 蛅 蛆 蛇 蛈 蛉 蛊 蛋 蛌 蛍 蛎 蛏 蛐 蛑 蛒 蛓 蛔 蛕 蛖 蛗 蛘 蛙 蛚 蛛 蛜 蛝 蛞 蛟 蛠 蛡 蛢 蛣 蛤 蛥 蛦 蛧 蛨 蛩 蛪 蛫 蛬 蛭 蛮 蛯 蛰 蛱 蛲 蛳 蛴 蛵 蛶 蛷 蛸 蛹 蛺 蛻 蛼 蛽 蛾 蛿</t>
        </is>
      </c>
      <c r="R206" s="43" t="inlineStr">
        <is>
          <t>蘀 蘁 蘂 蘃 蘄 蘅 蘆 蘇 蘈 蘉 蘊 蘋 蘌 蘍 蘎 蘏 蘐 蘑 蘒 蘓 蘔 蘕 蘖 蘗 蘘 蘙 蘚 蘛 蘜 蘝 蘞 蘟 蘠 蘡 蘢 蘣 蘤 蘥 蘦 蘧 蘨 蘩 蘪 蘫 蘬 蘭 蘮 蘯 蘰 蘱 蘲 蘳 蘴 蘵 蘶 蘷 蘸 蘹 蘺 蘻 蘼 蘽 蘾 蘿 虀 虁 虂 虃 虄 虅 虆 虇 虈 虉 虊 虋 虌 虍 虎 虏 虐 虑 虒 虓 虔 處 虖 虗 虘 虙 虚 虛 虜 虝 虞 號 虠 虡 虢 虣 虤 虦 虧 虨 虩 虪 虫 虭 虮 虰 虱 虳 虴 虵 虶 虷 虸 虹 虺 虻 虼 虽 虾 虿 蚀 蚁 蚃 蚄 蚅 蚇 蚈 蚉 蚊 蚌 蚏 蚐 蚑 蚒 蚕 蚖 蚗 蚘 蚙 蚚 蚛 蚜 蚝 蚞 蚟 蚠 蚡 蚢 蚤 蚥 蚦 蚧 蚨 蚩 蚪 蚫 蚬 蚭 蚮 蚯 蚱 蚲 蚵 蚶 蚸 蚹 蚺 蚻 蚼 蚽 蚾 蛀 蛁 蛂 蛆 蛇 蛈 蛉 蛊 蛋 蛌 蛍 蛎 蛏 蛑 蛒 蛓 蛕 蛖 蛗 蛘 蛙 蛛 蛜 蛞 蛟 蛠 蛢 蛣 蛤 蛥 蛦 蛨 蛩 蛪 蛫 蛬 蛭 蛮 蛯 蛰 蛱 蛲 蛴 蛵 蛶 蛷 蛺 蛻 蛽 蛿</t>
        </is>
      </c>
      <c r="S206" s="40" t="n"/>
      <c r="V206" s="14">
        <f>(LEN(O206)+1)/2</f>
        <v/>
      </c>
      <c r="W206" s="14">
        <f>ROUNDDOWN((LEN(P206)+1)/2,0)</f>
        <v/>
      </c>
      <c r="X206" s="14">
        <f>ROUNDDOWN((LEN(Q206)+1)/2,0)</f>
        <v/>
      </c>
      <c r="Y206" s="14">
        <f>ROUNDDOWN((LEN(R206)+1)/2,0)</f>
        <v/>
      </c>
      <c r="Z206" s="14">
        <f>ROUNDDOWN((LEN(S206)+1)/2,0)</f>
        <v/>
      </c>
      <c r="AA206" s="56" t="n">
        <v>46150.5585104515</v>
      </c>
    </row>
    <row r="207" ht="102" customHeight="1">
      <c r="B207" s="46" t="inlineStr">
        <is>
          <t>U+8700-U+87FF</t>
        </is>
      </c>
      <c r="C207" s="46" t="inlineStr">
        <is>
          <t>CJK Unified Ideographs</t>
        </is>
      </c>
      <c r="D207" s="54">
        <f>HEX2DEC(MID(B207,3,FIND("-",E207)-3))</f>
        <v/>
      </c>
      <c r="E207" s="46" t="inlineStr">
        <is>
          <t>U+4E00-U+9FFF</t>
        </is>
      </c>
      <c r="F207" s="12" t="n">
        <v>3</v>
      </c>
      <c r="J207" s="19">
        <f>ROUNDDOWN(W207,0)/$V207</f>
        <v/>
      </c>
      <c r="K207" s="19">
        <f>ROUNDDOWN(X207,0)/$V207</f>
        <v/>
      </c>
      <c r="L207" s="19">
        <f>ROUNDDOWN(Y207,0)/$V207</f>
        <v/>
      </c>
      <c r="M207" s="19">
        <f>ROUNDDOWN(Z207,0)/$V207</f>
        <v/>
      </c>
      <c r="O207" s="36" t="inlineStr">
        <is>
          <t>蜀 蜁 蜂 蜃 蜄 蜅 蜆 蜇 蜈 蜉 蜊 蜋 蜌 蜍 蜎 蜏 蜐 蜑 蜒 蜓 蜔 蜕 蜖 蜗 蜘 蜙 蜚 蜛 蜜 蜝 蜞 蜟 蜠 蜡 蜢 蜣 蜤 蜥 蜦 蜧 蜨 蜩 蜪 蜫 蜬 蜭 蜮 蜯 蜰 蜱 蜲 蜳 蜴 蜵 蜶 蜷 蜸 蜹 蜺 蜻 蜼 蜽 蜾 蜿 蝀 蝁 蝂 蝃 蝄 蝅 蝆 蝇 蝈 蝉 蝊 蝋 蝌 蝍 蝎 蝏 蝐 蝑 蝒 蝓 蝔 蝕 蝖 蝗 蝘 蝙 蝚 蝛 蝜 蝝 蝞 蝟 蝠 蝡 蝢 蝣 蝤 蝥 蝦 蝧 蝨 蝩 蝪 蝫 蝬 蝭 蝮 蝯 蝰 蝱 蝲 蝳 蝴 蝵 蝶 蝷 蝸 蝹 蝺 蝻 蝼 蝽 蝾 蝿 螀 螁 螂 螃 螄 螅 螆 螇 螈 螉 螊 螋 螌 融 螎 螏 螐 螑 螒 螓 螔 螕 螖 螗 螘 螙 螚 螛 螜 螝 螞 螟 螠 螡 螢 螣 螤 螥 螦 螧 螨 螩 螪 螫 螬 螭 螮 螯 螰 螱 螲 螳 螴 螵 螶 螷 螸 螹 螺 螻 螼 螽 螾 螿 蟀 蟁 蟂 蟃 蟄 蟅 蟆 蟇 蟈 蟉 蟊 蟋 蟌 蟍 蟎 蟏 蟐 蟑 蟒 蟓 蟔 蟕 蟖 蟗 蟘 蟙 蟚 蟛 蟜 蟝 蟞 蟟 蟠 蟡 蟢 蟣 蟤 蟥 蟦 蟧 蟨 蟩 蟪 蟫 蟬 蟭 蟮 蟯 蟰 蟱 蟲 蟳 蟴 蟵 蟶 蟷 蟸 蟹 蟺 蟻 蟼 蟽 蟾 蟿</t>
        </is>
      </c>
      <c r="P207" s="37" t="inlineStr">
        <is>
          <t>蜀 蜁 蜂 蜃 蜄 蜅 蜆 蜇 蜈 蜉 蜊 蜋 蜌 蜍 蜎 蜏 蜐 蜑 蜒 蜓 蜔 蜕 蜖 蜗 蜘 蜙 蜚 蜛 蜜 蜝 蜞 蜟 蜠 蜡 蜢 蜣 蜤 蜥 蜦 蜧 蜨 蜩 蜪 蜫 蜬 蜭 蜮 蜯 蜰 蜱 蜲 蜳 蜴 蜵 蜶 蜷 蜸 蜹 蜺 蜻 蜼 蜽 蜾 蜿 蝀 蝁 蝂 蝃 蝄 蝅 蝆 蝇 蝈 蝉 蝊 蝋 蝌 蝍 蝎 蝏 蝐 蝑 蝒 蝓 蝔 蝕 蝖 蝗 蝘 蝙 蝚 蝛 蝜 蝝 蝞 蝟 蝠 蝡 蝢 蝣 蝤 蝥 蝦 蝧 蝨 蝩 蝪 蝫 蝬 蝭 蝮 蝯 蝰 蝱 蝲 蝳 蝴 蝵 蝶 蝷 蝸 蝹 蝺 蝻 蝼 蝽 蝾 蝿 螀 螁 螂 螃 螄 螅 螆 螇 螈 螉 螊 螋 螌 融 螎 螏 螐 螑 螒 螓 螔 螕 螖 螗 螘 螙 螚 螛 螜 螝 螞 螟 螠 螡 螢 螣 螤 螥 螦 螧 螨 螩 螪 螫 螬 螭 螮 螯 螰 螱 螲 螳 螴 螵 螶 螷 螸 螹 螺 螻 螼 螽 螾 螿 蟀 蟁 蟂 蟃 蟄 蟅 蟆 蟇 蟈 蟉 蟊 蟋 蟌 蟍 蟎 蟏 蟐 蟑 蟒 蟓 蟔 蟕 蟖 蟗 蟘 蟙 蟚 蟛 蟜 蟝 蟞 蟟 蟠 蟡 蟢 蟣 蟤 蟥 蟦 蟧 蟨 蟩 蟪 蟫 蟬 蟭 蟮 蟯 蟰 蟱 蟲 蟳 蟴 蟵 蟶 蟷 蟸 蟹 蟺 蟻 蟼 蟽 蟾 蟿</t>
        </is>
      </c>
      <c r="Q207" s="38" t="inlineStr">
        <is>
          <t>蜀 蜁 蜂 蜃 蜄 蜅 蜆 蜇 蜈 蜉 蜊 蜋 蜌 蜍 蜎 蜏 蜐 蜑 蜒 蜓 蜔 蜕 蜖 蜗 蜘 蜙 蜚 蜛 蜜 蜝 蜞 蜟 蜠 蜡 蜢 蜣 蜤 蜥 蜦 蜧 蜨 蜩 蜪 蜫 蜬 蜭 蜮 蜯 蜰 蜱 蜲 蜳 蜴 蜵 蜶 蜷 蜸 蜹 蜺 蜻 蜼 蜽 蜾 蜿 蝀 蝁 蝂 蝃 蝄 蝅 蝆 蝇 蝈 蝉 蝊 蝋 蝌 蝍 蝎 蝏 蝐 蝑 蝒 蝓 蝔 蝕 蝖 蝗 蝘 蝙 蝚 蝛 蝜 蝝 蝞 蝟 蝠 蝡 蝢 蝣 蝤 蝥 蝦 蝧 蝨 蝩 蝪 蝫 蝬 蝭 蝮 蝯 蝰 蝱 蝲 蝳 蝴 蝵 蝶 蝷 蝸 蝹 蝺 蝻 蝼 蝽 蝾 蝿 螀 螁 螂 螃 螄 螅 螆 螇 螈 螉 螊 螋 螌 融 螎 螏 螐 螑 螒 螓 螔 螕 螖 螗 螘 螙 螚 螛 螜 螝 螞 螟 螠 螡 螢 螣 螤 螥 螦 螧 螨 螩 螪 螫 螬 螭 螮 螯 螰 螱 螲 螳 螴 螵 螶 螷 螸 螹 螺 螻 螼 螽 螾 螿 蟀 蟁 蟂 蟃 蟄 蟅 蟆 蟇 蟈 蟉 蟊 蟋 蟌 蟍 蟎 蟏 蟐 蟑 蟒 蟓 蟔 蟕 蟖 蟗 蟘 蟙 蟚 蟛 蟜 蟝 蟞 蟟 蟠 蟡 蟢 蟣 蟤 蟥 蟦 蟧 蟨 蟩 蟪 蟫 蟬 蟭 蟮 蟯 蟰 蟱 蟲 蟳 蟴 蟵 蟶 蟷 蟸 蟹 蟺 蟻 蟼 蟽 蟾 蟿</t>
        </is>
      </c>
      <c r="R207" s="43" t="inlineStr">
        <is>
          <t>蜀 蜁 蜂 蜃 蜄 蜅 蜆 蜇 蜈 蜉 蜌 蜍 蜏 蜐 蜑 蜒 蜓 蜔 蜕 蜘 蜙 蜚 蜛 蜜 蜝 蜞 蜟 蜡 蜢 蜣 蜤 蜥 蜦 蜧 蜨 蜩 蜪 蜭 蜯 蜰 蜱 蜲 蜳 蜵 蜶 蜷 蜸 蜹 蜺 蜻 蜼 蜾 蜿 蝀 蝁 蝂 蝃 蝅 蝆 蝊 蝋 蝌 蝎 蝐 蝑 蝒 蝓 蝕 蝖 蝙 蝚 蝛 蝜 蝞 蝟 蝡 蝢 蝣 蝥 蝧 蝨 蝩 蝪 蝫 蝬 蝭 蝮 蝯 蝰 蝱 蝲 蝵 蝶 蝷 蝹 蝼 蝽 蝾 螀 螁 螃 螅 螇 螈 螉 螊 螋 螌 螏 螐 螑 螒 螓 螔 螖 螗 螘 螙 螚 螛 螜 螝 螠 螡 螢 螣 螤 螥 螦 螧 螩 螫 螬 螮 螯 螰 螱 螴 螵 螶 螷 螸 螺 螼 螽 螾 螿 蟁 蟂 蟃 蟄 蟅 蟆 蟇 蟊 蟋 蟌 蟍 蟏 蟑 蟓 蟔 蟕 蟖 蟗 蟘 蟙 蟚 蟛 蟜 蟝 蟞 蟟 蟡 蟢 蟣 蟥 蟦 蟧 蟨 蟩 蟪 蟭 蟮 蟯 蟰 蟱 蟲 蟳 蟴 蟵 蟶 蟸 蟹 蟺 蟼 蟽 蟾 蟿</t>
        </is>
      </c>
      <c r="S207" s="40" t="n"/>
      <c r="V207" s="14">
        <f>(LEN(O207)+1)/2</f>
        <v/>
      </c>
      <c r="W207" s="14">
        <f>ROUNDDOWN((LEN(P207)+1)/2,0)</f>
        <v/>
      </c>
      <c r="X207" s="14">
        <f>ROUNDDOWN((LEN(Q207)+1)/2,0)</f>
        <v/>
      </c>
      <c r="Y207" s="14">
        <f>ROUNDDOWN((LEN(R207)+1)/2,0)</f>
        <v/>
      </c>
      <c r="Z207" s="14">
        <f>ROUNDDOWN((LEN(S207)+1)/2,0)</f>
        <v/>
      </c>
      <c r="AA207" s="56" t="n">
        <v>46150.55851349181</v>
      </c>
    </row>
    <row r="208" ht="102" customHeight="1">
      <c r="B208" s="46" t="inlineStr">
        <is>
          <t>U+8800-U+88FF</t>
        </is>
      </c>
      <c r="C208" s="46" t="inlineStr">
        <is>
          <t>CJK Unified Ideographs</t>
        </is>
      </c>
      <c r="D208" s="54">
        <f>HEX2DEC(MID(B208,3,FIND("-",E208)-3))</f>
        <v/>
      </c>
      <c r="E208" s="46" t="inlineStr">
        <is>
          <t>U+4E00-U+9FFF</t>
        </is>
      </c>
      <c r="F208" s="12" t="n">
        <v>3</v>
      </c>
      <c r="J208" s="19">
        <f>ROUNDDOWN(W208,0)/$V208</f>
        <v/>
      </c>
      <c r="K208" s="19">
        <f>ROUNDDOWN(X208,0)/$V208</f>
        <v/>
      </c>
      <c r="L208" s="19">
        <f>ROUNDDOWN(Y208,0)/$V208</f>
        <v/>
      </c>
      <c r="M208" s="19">
        <f>ROUNDDOWN(Z208,0)/$V208</f>
        <v/>
      </c>
      <c r="O208" s="36" t="inlineStr">
        <is>
          <t>蠀 蠁 蠂 蠃 蠄 蠅 蠆 蠇 蠈 蠉 蠊 蠋 蠌 蠍 蠎 蠏 蠐 蠑 蠒 蠓 蠔 蠕 蠖 蠗 蠘 蠙 蠚 蠛 蠜 蠝 蠞 蠟 蠠 蠡 蠢 蠣 蠤 蠥 蠦 蠧 蠨 蠩 蠪 蠫 蠬 蠭 蠮 蠯 蠰 蠱 蠲 蠳 蠴 蠵 蠶 蠷 蠸 蠹 蠺 蠻 蠼 蠽 蠾 蠿 血 衁 衂 衃 衄 衅 衆 衇 衈 衉 衊 衋 行 衍 衎 衏 衐 衑 衒 術 衔 衕 衖 街 衘 衙 衚 衛 衜 衝 衞 衟 衠 衡 衢 衣 衤 补 衦 衧 表 衩 衪 衫 衬 衭 衮 衯 衰 衱 衲 衳 衴 衵 衶 衷 衸 衹 衺 衻 衼 衽 衾 衿 袀 袁 袂 袃 袄 袅 袆 袇 袈 袉 袊 袋 袌 袍 袎 袏 袐 袑 袒 袓 袔 袕 袖 袗 袘 袙 袚 袛 袜 袝 袞 袟 袠 袡 袢 袣 袤 袥 袦 袧 袨 袩 袪 被 袬 袭 袮 袯 袰 袱 袲 袳 袴 袵 袶 袷 袸 袹 袺 袻 袼 袽 袾 袿 裀 裁 裂 裃 裄 装 裆 裇 裈 裉 裊 裋 裌 裍 裎 裏 裐 裑 裒 裓 裔 裕 裖 裗 裘 裙 裚 裛 補 裝 裞 裟 裠 裡 裢 裣 裤 裥 裦 裧 裨 裩 裪 裫 裬 裭 裮 裯 裰 裱 裲 裳 裴 裵 裶 裷 裸 裹 裺 裻 裼 製 裾 裿</t>
        </is>
      </c>
      <c r="P208" s="37" t="inlineStr">
        <is>
          <t>蠀 蠁 蠂 蠃 蠄 蠅 蠆 蠇 蠈 蠉 蠊 蠋 蠌 蠍 蠎 蠏 蠐 蠑 蠒 蠓 蠔 蠕 蠖 蠗 蠘 蠙 蠚 蠛 蠜 蠝 蠞 蠟 蠠 蠡 蠢 蠣 蠤 蠥 蠦 蠧 蠨 蠩 蠪 蠫 蠬 蠭 蠮 蠯 蠰 蠱 蠲 蠳 蠴 蠵 蠶 蠷 蠸 蠹 蠺 蠻 蠼 蠽 蠾 蠿 血 衁 衂 衃 衄 衅 衆 衇 衈 衉 衊 衋 行 衍 衎 衏 衐 衑 衒 術 衔 衕 衖 街 衘 衙 衚 衛 衜 衝 衞 衟 衠 衡 衢 衣 衤 补 衦 衧 表 衩 衪 衫 衬 衭 衮 衯 衰 衱 衲 衳 衴 衵 衶 衷 衸 衹 衺 衻 衼 衽 衾 衿 袀 袁 袂 袃 袄 袅 袆 袇 袈 袉 袊 袋 袌 袍 袎 袏 袐 袑 袒 袓 袔 袕 袖 袗 袘 袙 袚 袛 袜 袝 袞 袟 袠 袡 袢 袣 袤 袥 袦 袧 袨 袩 袪 被 袬 袭 袮 袯 袰 袱 袲 袳 袴 袵 袶 袷 袸 袹 袺 袻 袼 袽 袾 袿 裀 裁 裂 裃 裄 装 裆 裇 裈 裉 裊 裋 裌 裍 裎 裏 裐 裑 裒 裓 裔 裕 裖 裗 裘 裙 裚 裛 補 裝 裞 裟 裠 裡 裢 裣 裤 裥 裦 裧 裨 裩 裪 裫 裬 裭 裮 裯 裰 裱 裲 裳 裴 裵 裶 裷 裸 裹 裺 裻 裼 製 裾 裿</t>
        </is>
      </c>
      <c r="Q208" s="38" t="inlineStr">
        <is>
          <t>蠀 蠁 蠂 蠃 蠄 蠅 蠆 蠇 蠈 蠉 蠊 蠋 蠌 蠍 蠎 蠏 蠐 蠑 蠒 蠓 蠔 蠕 蠖 蠗 蠘 蠙 蠚 蠛 蠜 蠝 蠞 蠟 蠠 蠡 蠢 蠣 蠤 蠥 蠦 蠧 蠨 蠩 蠪 蠫 蠬 蠭 蠮 蠯 蠰 蠱 蠲 蠳 蠴 蠵 蠶 蠷 蠸 蠹 蠺 蠻 蠼 蠽 蠾 蠿 血 衁 衂 衃 衄 衅 衆 衇 衈 衉 衊 衋 行 衍 衎 衏 衐 衑 衒 術 衔 衕 衖 街 衘 衙 衚 衛 衜 衝 衞 衟 衠 衡 衢 衣 衤 补 衦 衧 表 衩 衪 衫 衬 衭 衮 衯 衰 衱 衲 衳 衴 衵 衶 衷 衸 衹 衺 衻 衼 衽 衾 衿 袀 袁 袂 袃 袄 袅 袆 袇 袈 袉 袊 袋 袌 袍 袎 袏 袐 袑 袒 袓 袔 袕 袖 袗 袘 袙 袚 袛 袜 袝 袞 袟 袠 袡 袢 袣 袤 袥 袦 袧 袨 袩 袪 被 袬 袭 袮 袯 袰 袱 袲 袳 袴 袵 袶 袷 袸 袹 袺 袻 袼 袽 袾 袿 裀 裁 裂 裃 裄 装 裆 裇 裈 裉 裊 裋 裌 裍 裎 裏 裐 裑 裒 裓 裔 裕 裖 裗 裘 裙 裚 裛 補 裝 裞 裟 裠 裡 裢 裣 裤 裥 裦 裧 裨 裩 裪 裫 裬 裭 裮 裯 裰 裱 裲 裳 裴 裵 裶 裷 裸 裹 裺 裻 裼 製 裾 裿</t>
        </is>
      </c>
      <c r="R208" s="43" t="inlineStr">
        <is>
          <t>蠀 蠁 蠂 蠃 蠄 蠆 蠈 蠉 蠊 蠋 蠌 蠍 蠎 蠏 蠐 蠑 蠒 蠖 蠗 蠘 蠚 蠛 蠜 蠞 蠠 蠡 蠢 蠣 蠤 蠥 蠦 蠧 蠨 蠪 蠫 蠭 蠯 蠰 蠱 蠲 蠳 蠴 蠵 蠶 蠷 蠸 蠹 蠺 蠻 蠼 蠽 蠾 蠿 血 衁 衂 衃 衄 衅 衆 衇 衈 衉 衊 衋 衎 衏 衑 衒 術 衕 衖 街 衘 衙 衚 衛 衜 衝 衞 衠 衡 衢 衣 衤 衦 衧 表 衩 衪 衭 衮 衯 衰 衱 衳 衴 衷 衸 衺 衼 衾 衿 袀 袁 袂 袃 袄 袅 袇 袈 袉 袊 袋 袌 袍 袎 袏 袐 袑 袒 袓 袔 袕 袗 袘 袚 袜 袝 袞 袟 袠 袡 袢 袣 袤 袥 袧 袨 袪 被 袬 袭 袮 袯 袰 袱 袲 袴 袵 袶 袷 袸 袹 袺 袻 袼 袾 袿 裁 裂 裃 裄 装 裆 裇 裈 裊 裋 裌 裍 裎 裏 裑 裒 裓 裔 裖 裗 裘 裙 裚 裛 補 裝 裞 裟 裠 裡 裢 裣 裤 裦 裧 裨 裪 裫 裬 裭 裯 裰 裱 裳 裴 裵 裷 裸 裹 裺 裻 裼 製 裾 裿</t>
        </is>
      </c>
      <c r="S208" s="40" t="n"/>
      <c r="V208" s="14">
        <f>(LEN(O208)+1)/2</f>
        <v/>
      </c>
      <c r="W208" s="14">
        <f>ROUNDDOWN((LEN(P208)+1)/2,0)</f>
        <v/>
      </c>
      <c r="X208" s="14">
        <f>ROUNDDOWN((LEN(Q208)+1)/2,0)</f>
        <v/>
      </c>
      <c r="Y208" s="14">
        <f>ROUNDDOWN((LEN(R208)+1)/2,0)</f>
        <v/>
      </c>
      <c r="Z208" s="14">
        <f>ROUNDDOWN((LEN(S208)+1)/2,0)</f>
        <v/>
      </c>
      <c r="AA208" s="56" t="n">
        <v>46150.558516507</v>
      </c>
    </row>
    <row r="209" ht="102" customHeight="1">
      <c r="B209" s="46" t="inlineStr">
        <is>
          <t>U+8900-U+89FF</t>
        </is>
      </c>
      <c r="C209" s="46" t="inlineStr">
        <is>
          <t>CJK Unified Ideographs</t>
        </is>
      </c>
      <c r="D209" s="54">
        <f>HEX2DEC(MID(B209,3,FIND("-",E209)-3))</f>
        <v/>
      </c>
      <c r="E209" s="46" t="inlineStr">
        <is>
          <t>U+4E00-U+9FFF</t>
        </is>
      </c>
      <c r="F209" s="12" t="n">
        <v>3</v>
      </c>
      <c r="J209" s="19">
        <f>ROUNDDOWN(W209,0)/$V209</f>
        <v/>
      </c>
      <c r="K209" s="19">
        <f>ROUNDDOWN(X209,0)/$V209</f>
        <v/>
      </c>
      <c r="L209" s="19">
        <f>ROUNDDOWN(Y209,0)/$V209</f>
        <v/>
      </c>
      <c r="M209" s="19">
        <f>ROUNDDOWN(Z209,0)/$V209</f>
        <v/>
      </c>
      <c r="O209" s="36" t="inlineStr">
        <is>
          <t>褀 褁 褂 褃 褄 褅 褆 複 褈 褉 褊 褋 褌 褍 褎 褏 褐 褑 褒 褓 褔 褕 褖 褗 褘 褙 褚 褛 褜 褝 褞 褟 褠 褡 褢 褣 褤 褥 褦 褧 褨 褩 褪 褫 褬 褭 褮 褯 褰 褱 褲 褳 褴 褵 褶 褷 褸 褹 褺 褻 褼 褽 褾 褿 襀 襁 襂 襃 襄 襅 襆 襇 襈 襉 襊 襋 襌 襍 襎 襏 襐 襑 襒 襓 襔 襕 襖 襗 襘 襙 襚 襛 襜 襝 襞 襟 襠 襡 襢 襣 襤 襥 襦 襧 襨 襩 襪 襫 襬 襭 襮 襯 襰 襱 襲 襳 襴 襵 襶 襷 襸 襹 襺 襻 襼 襽 襾 西 覀 要 覂 覃 覄 覅 覆 覇 覈 覉 覊 見 覌 覍 覎 規 覐 覑 覒 覓 覔 覕 視 覗 覘 覙 覚 覛 覜 覝 覞 覟 覠 覡 覢 覣 覤 覥 覦 覧 覨 覩 親 覫 覬 覭 覮 覯 覰 覱 覲 観 覴 覵 覶 覷 覸 覹 覺 覻 覼 覽 覾 覿 觀 见 观 觃 规 觅 视 觇 览 觉 觊 觋 觌 觍 觎 觏 觐 觑 角 觓 觔 觕 觖 觗 觘 觙 觚 觛 觜 觝 觞 觟 觠 觡 觢 解 觤 觥 触 觧 觨 觩 觪 觫 觬 觭 觮 觯 觰 觱 觲 觳 觴 觵 觶 觷 觸 觹 觺 觻 觼 觽 觾 觿</t>
        </is>
      </c>
      <c r="P209" s="37" t="inlineStr">
        <is>
          <t>褀 褁 褂 褃 褄 褅 褆 複 褈 褉 褊 褋 褌 褍 褎 褏 褐 褑 褒 褓 褔 褕 褖 褗 褘 褙 褚 褛 褜 褝 褞 褟 褠 褡 褢 褣 褤 褥 褦 褧 褨 褩 褪 褫 褬 褭 褮 褯 褰 褱 褲 褳 褴 褵 褶 褷 褸 褹 褺 褻 褼 褽 褾 褿 襀 襁 襂 襃 襄 襅 襆 襇 襈 襉 襊 襋 襌 襍 襎 襏 襐 襑 襒 襓 襔 襕 襖 襗 襘 襙 襚 襛 襜 襝 襞 襟 襠 襡 襢 襣 襤 襥 襦 襧 襨 襩 襪 襫 襬 襭 襮 襯 襰 襱 襲 襳 襴 襵 襶 襷 襸 襹 襺 襻 襼 襽 襾 西 覀 要 覂 覃 覄 覅 覆 覇 覈 覉 覊 見 覌 覍 覎 規 覐 覑 覒 覓 覔 覕 視 覗 覘 覙 覚 覛 覜 覝 覞 覟 覠 覡 覢 覣 覤 覥 覦 覧 覨 覩 親 覫 覬 覭 覮 覯 覰 覱 覲 観 覴 覵 覶 覷 覸 覹 覺 覻 覼 覽 覾 覿 觀 见 观 觃 规 觅 视 觇 览 觉 觊 觋 觌 觍 觎 觏 觐 觑 角 觓 觔 觕 觖 觗 觘 觙 觚 觛 觜 觝 觞 觟 觠 觡 觢 解 觤 觥 触 觧 觨 觩 觪 觫 觬 觭 觮 觯 觰 觱 觲 觳 觴 觵 觶 觷 觸 觹 觺 觻 觼 觽 觾 觿</t>
        </is>
      </c>
      <c r="Q209" s="38" t="inlineStr">
        <is>
          <t>褀 褁 褂 褃 褄 褅 褆 複 褈 褉 褊 褋 褌 褍 褎 褏 褐 褑 褒 褓 褔 褕 褖 褗 褘 褙 褚 褛 褜 褝 褞 褟 褠 褡 褢 褣 褤 褥 褦 褧 褨 褩 褪 褫 褬 褭 褮 褯 褰 褱 褲 褳 褴 褵 褶 褷 褸 褹 褺 褻 褼 褽 褾 褿 襀 襁 襂 襃 襄 襅 襆 襇 襈 襉 襊 襋 襌 襍 襎 襏 襐 襑 襒 襓 襔 襕 襖 襗 襘 襙 襚 襛 襜 襝 襞 襟 襠 襡 襢 襣 襤 襥 襦 襧 襨 襩 襪 襫 襬 襭 襮 襯 襰 襱 襲 襳 襴 襵 襶 襷 襸 襹 襺 襻 襼 襽 襾 西 覀 要 覂 覃 覄 覅 覆 覇 覈 覉 覊 見 覌 覍 覎 規 覐 覑 覒 覓 覔 覕 視 覗 覘 覙 覚 覛 覜 覝 覞 覟 覠 覡 覢 覣 覤 覥 覦 覧 覨 覩 親 覫 覬 覭 覮 覯 覰 覱 覲 観 覴 覵 覶 覷 覸 覹 覺 覻 覼 覽 覾 覿 觀 见 观 觃 规 觅 视 觇 览 觉 觊 觋 觌 觍 觎 觏 觐 觑 角 觓 觔 觕 觖 觗 觘 觙 觚 觛 觜 觝 觞 觟 觠 觡 觢 解 觤 觥 触 觧 觨 觩 觪 觫 觬 觭 觮 觯 觰 觱 觲 觳 觴 觵 觶 觷 觸 觹 觺 觻 觼 觽 觾 觿</t>
        </is>
      </c>
      <c r="R209" s="43" t="inlineStr">
        <is>
          <t>褀 褁 褂 褃 褄 褅 褆 複 褈 褉 褊 褋 褌 褍 褎 褏 褐 褑 褒 褓 褔 褕 褖 褗 褘 褙 褚 褛 褜 褝 褞 褟 褠 褡 褢 褣 褤 褥 褧 褨 褩 褪 褫 褬 褭 褮 褯 褰 褱 褲 褳 褴 褵 褶 褷 褸 褹 褺 褻 褼 褽 褾 褿 襀 襁 襂 襃 襄 襅 襆 襇 襈 襉 襊 襋 襌 襍 襎 襏 襐 襑 襒 襓 襔 襖 襗 襘 襙 襚 襛 襜 襝 襞 襟 襠 襡 襢 襣 襤 襥 襦 襧 襨 襩 襪 襫 襭 襮 襯 襰 襲 襳 襴 襵 襶 襷 襸 襹 襺 襻 襼 襽 襾 西 覀 要 覂 覃 覄 覅 覆 覇 覈 覉 覊 見 覌 覍 覎 規 覐 覑 覒 覓 覔 覕 視 覗 覘 覙 覚 覛 覝 覞 覟 覠 覡 覢 覣 覤 覥 覦 覧 覨 覩 親 覫 覬 覭 覮 覯 覰 覱 覲 観 覴 覵 覶 覷 覸 覹 覺 覻 覼 覽 覾 覿 觀 见 观 觃 规 觅 视 觇 览 觉 觊 觋 觌 觍 觎 觏 觐 觑 角 觔 觕 觖 觙 觚 觛 觜 觞 觠 觡 觢 觤 觥 触 觧 觨 觩 觪 觫 觬 觭 觯 觰 觱 觲 觳 觴 觶 觷 觸 觹 觺 觻 觼 觽 觾 觿</t>
        </is>
      </c>
      <c r="S209" s="40" t="n"/>
      <c r="V209" s="14">
        <f>(LEN(O209)+1)/2</f>
        <v/>
      </c>
      <c r="W209" s="14">
        <f>ROUNDDOWN((LEN(P209)+1)/2,0)</f>
        <v/>
      </c>
      <c r="X209" s="14">
        <f>ROUNDDOWN((LEN(Q209)+1)/2,0)</f>
        <v/>
      </c>
      <c r="Y209" s="14">
        <f>ROUNDDOWN((LEN(R209)+1)/2,0)</f>
        <v/>
      </c>
      <c r="Z209" s="14">
        <f>ROUNDDOWN((LEN(S209)+1)/2,0)</f>
        <v/>
      </c>
      <c r="AA209" s="56" t="n">
        <v>46150.55851957598</v>
      </c>
    </row>
    <row r="210" ht="102" customHeight="1">
      <c r="B210" s="46" t="inlineStr">
        <is>
          <t>U+8A00-U+8AFF</t>
        </is>
      </c>
      <c r="C210" s="46" t="inlineStr">
        <is>
          <t>CJK Unified Ideographs</t>
        </is>
      </c>
      <c r="D210" s="54">
        <f>HEX2DEC(MID(B210,3,FIND("-",E210)-3))</f>
        <v/>
      </c>
      <c r="E210" s="46" t="inlineStr">
        <is>
          <t>U+4E00-U+9FFF</t>
        </is>
      </c>
      <c r="F210" s="12" t="n">
        <v>3</v>
      </c>
      <c r="J210" s="19">
        <f>ROUNDDOWN(W210,0)/$V210</f>
        <v/>
      </c>
      <c r="K210" s="19">
        <f>ROUNDDOWN(X210,0)/$V210</f>
        <v/>
      </c>
      <c r="L210" s="19">
        <f>ROUNDDOWN(Y210,0)/$V210</f>
        <v/>
      </c>
      <c r="M210" s="19">
        <f>ROUNDDOWN(Z210,0)/$V210</f>
        <v/>
      </c>
      <c r="O210" s="36" t="inlineStr">
        <is>
          <t>言 訁 訂 訃 訄 訅 訆 訇 計 訉 訊 訋 訌 訍 討 訏 訐 訑 訒 訓 訔 訕 訖 託 記 訙 訚 訛 訜 訝 訞 訟 訠 訡 訢 訣 訤 訥 訦 訧 訨 訩 訪 訫 訬 設 訮 訯 訰 許 訲 訳 訴 訵 訶 訷 訸 訹 診 註 証 訽 訾 訿 詀 詁 詂 詃 詄 詅 詆 詇 詈 詉 詊 詋 詌 詍 詎 詏 詐 詑 詒 詓 詔 評 詖 詗 詘 詙 詚 詛 詜 詝 詞 詟 詠 詡 詢 詣 詤 詥 試 詧 詨 詩 詪 詫 詬 詭 詮 詯 詰 話 該 詳 詴 詵 詶 詷 詸 詹 詺 詻 詼 詽 詾 詿 誀 誁 誂 誃 誄 誅 誆 誇 誈 誉 誊 誋 誌 認 誎 誏 誐 誑 誒 誓 誔 誕 誖 誗 誘 誙 誚 誛 誜 誝 語 誟 誠 誡 誢 誣 誤 誥 誦 誧 誨 誩 說 誫 説 読 誮 誯 誰 誱 課 誳 誴 誵 誶 誷 誸 誹 誺 誻 誼 誽 誾 調 諀 諁 諂 諃 諄 諅 諆 談 諈 諉 諊 請 諌 諍 諎 諏 諐 諑 諒 諓 諔 諕 論 諗 諘 諙 諚 諛 諜 諝 諞 諟 諠 諡 諢 諣 諤 諥 諦 諧 諨 諩 諪 諫 諬 諭 諮 諯 諰 諱 諲 諳 諴 諵 諶 諷 諸 諹 諺 諻 諼 諽 諾 諿</t>
        </is>
      </c>
      <c r="P210" s="37" t="inlineStr">
        <is>
          <t>言 訁 訂 訃 訄 訅 訆 訇 計 訉 訊 訋 訌 訍 討 訏 訐 訑 訒 訓 訔 訕 訖 託 記 訙 訚 訛 訜 訝 訞 訟 訠 訡 訢 訣 訤 訥 訦 訧 訨 訩 訪 訫 訬 設 訮 訯 訰 許 訲 訳 訴 訵 訶 訷 訸 訹 診 註 証 訽 訾 訿 詀 詁 詂 詃 詄 詅 詆 詇 詈 詉 詊 詋 詌 詍 詎 詏 詐 詑 詒 詓 詔 評 詖 詗 詘 詙 詚 詛 詜 詝 詞 詟 詠 詡 詢 詣 詤 詥 試 詧 詨 詩 詪 詫 詬 詭 詮 詯 詰 話 該 詳 詴 詵 詶 詷 詸 詹 詺 詻 詼 詽 詾 詿 誀 誁 誂 誃 誄 誅 誆 誇 誈 誉 誊 誋 誌 認 誎 誏 誐 誑 誒 誓 誔 誕 誖 誗 誘 誙 誚 誛 誜 誝 語 誟 誠 誡 誢 誣 誤 誥 誦 誧 誨 誩 說 誫 説 読 誮 誯 誰 誱 課 誳 誴 誵 誶 誷 誸 誹 誺 誻 誼 誽 誾 調 諀 諁 諂 諃 諄 諅 諆 談 諈 諉 諊 請 諌 諍 諎 諏 諐 諑 諒 諓 諔 諕 論 諗 諘 諙 諚 諛 諜 諝 諞 諟 諠 諡 諢 諣 諤 諥 諦 諧 諨 諩 諪 諫 諬 諭 諮 諯 諰 諱 諲 諳 諴 諵 諶 諷 諸 諹 諺 諻 諼 諽 諾 諿</t>
        </is>
      </c>
      <c r="Q210" s="38" t="inlineStr">
        <is>
          <t>言 訁 訂 訃 訄 訅 訆 訇 計 訉 訊 訋 訌 訍 討 訏 訐 訑 訒 訓 訔 訕 訖 託 記 訙 訚 訛 訜 訝 訞 訟 訠 訡 訢 訣 訤 訥 訦 訧 訨 訩 訪 訫 訬 設 訮 訯 訰 許 訲 訳 訴 訵 訶 訷 訸 訹 診 註 証 訽 訾 訿 詀 詁 詂 詃 詄 詅 詆 詇 詈 詉 詊 詋 詌 詍 詎 詏 詐 詑 詒 詓 詔 評 詖 詗 詘 詙 詚 詛 詜 詝 詞 詟 詠 詡 詢 詣 詤 詥 試 詧 詨 詩 詪 詫 詬 詭 詮 詯 詰 話 該 詳 詴 詵 詶 詷 詸 詹 詺 詻 詼 詽 詾 詿 誀 誁 誂 誃 誄 誅 誆 誇 誈 誉 誊 誋 誌 認 誎 誏 誐 誑 誒 誓 誔 誕 誖 誗 誘 誙 誚 誛 誜 誝 語 誟 誠 誡 誢 誣 誤 誥 誦 誧 誨 誩 說 誫 説 読 誮 誯 誰 誱 課 誳 誴 誵 誶 誷 誸 誹 誺 誻 誼 誽 誾 調 諀 諁 諂 諃 諄 諅 諆 談 諈 諉 諊 請 諌 諍 諎 諏 諐 諑 諒 諓 諔 諕 論 諗 諘 諙 諚 諛 諜 諝 諞 諟 諠 諡 諢 諣 諤 諥 諦 諧 諨 諩 諪 諫 諬 諭 諮 諯 諰 諱 諲 諳 諴 諵 諶 諷 諸 諹 諺 諻 諼 諽 諾 諿</t>
        </is>
      </c>
      <c r="R210" s="43" t="inlineStr">
        <is>
          <t>訁 訂 訄 訅 訇 計 訉 訊 訋 訌 訍 討 訏 訐 訑 訒 訔 訕 訖 託 訙 訚 訛 訜 訝 訞 訟 訡 訢 訣 訤 訥 訦 訧 訨 訩 訪 訬 設 訮 訯 許 訳 訴 訵 訶 訸 訹 診 註 証 訽 訾 詀 詁 詂 詄 詅 詆 詇 詈 詉 詊 詋 詌 詍 詏 詐 詑 詒 詔 評 詖 詗 詙 詚 詛 詜 詝 詞 詟 詠 詢 詤 詥 試 詧 詨 詩 詬 詭 詮 話 詳 詴 詵 詶 詷 詸 詹 詺 詻 詼 詾 詿 誀 誁 誃 誄 誅 誆 誇 誈 誉 誊 誋 誌 認 誎 誐 誑 誒 誓 誔 誕 誖 誘 誙 誚 誛 誜 誝 語 誟 誠 誡 誢 誣 誤 誥 誦 誧 誨 說 誫 説 読 誮 誯 誰 誱 課 誳 誴 誵 誶 誷 誸 誺 誻 誼 誽 誾 調 諀 諁 諂 諃 諄 諅 諆 談 諈 諉 諊 請 諌 諍 諏 諐 諑 諒 諔 諕 論 諗 諘 諚 諛 諜 諝 諞 諟 諠 諡 諢 諣 諤 諥 諦 諨 諩 諪 諫 諬 諭 諮 諯 諰 諱 諲 諳 諴 諵 諶 諷 諸 諹 諺 諻 諼 諽 諾 諿</t>
        </is>
      </c>
      <c r="S210" s="40" t="n"/>
      <c r="V210" s="14">
        <f>(LEN(O210)+1)/2</f>
        <v/>
      </c>
      <c r="W210" s="14">
        <f>ROUNDDOWN((LEN(P210)+1)/2,0)</f>
        <v/>
      </c>
      <c r="X210" s="14">
        <f>ROUNDDOWN((LEN(Q210)+1)/2,0)</f>
        <v/>
      </c>
      <c r="Y210" s="14">
        <f>ROUNDDOWN((LEN(R210)+1)/2,0)</f>
        <v/>
      </c>
      <c r="Z210" s="14">
        <f>ROUNDDOWN((LEN(S210)+1)/2,0)</f>
        <v/>
      </c>
      <c r="AA210" s="56" t="n">
        <v>46150.55852258432</v>
      </c>
    </row>
    <row r="211" ht="102" customHeight="1">
      <c r="B211" s="46" t="inlineStr">
        <is>
          <t>U+8B00-U+8BFF</t>
        </is>
      </c>
      <c r="C211" s="46" t="inlineStr">
        <is>
          <t>CJK Unified Ideographs</t>
        </is>
      </c>
      <c r="D211" s="54">
        <f>HEX2DEC(MID(B211,3,FIND("-",E211)-3))</f>
        <v/>
      </c>
      <c r="E211" s="46" t="inlineStr">
        <is>
          <t>U+4E00-U+9FFF</t>
        </is>
      </c>
      <c r="F211" s="12" t="n">
        <v>3</v>
      </c>
      <c r="J211" s="19">
        <f>ROUNDDOWN(W211,0)/$V211</f>
        <v/>
      </c>
      <c r="K211" s="19">
        <f>ROUNDDOWN(X211,0)/$V211</f>
        <v/>
      </c>
      <c r="L211" s="19">
        <f>ROUNDDOWN(Y211,0)/$V211</f>
        <v/>
      </c>
      <c r="M211" s="19">
        <f>ROUNDDOWN(Z211,0)/$V211</f>
        <v/>
      </c>
      <c r="O211" s="36" t="inlineStr">
        <is>
          <t>謀 謁 謂 謃 謄 謅 謆 謇 謈 謉 謊 謋 謌 謍 謎 謏 謐 謑 謒 謓 謔 謕 謖 謗 謘 謙 謚 講 謜 謝 謞 謟 謠 謡 謢 謣 謤 謥 謦 謧 謨 謩 謪 謫 謬 謭 謮 謯 謰 謱 謲 謳 謴 謵 謶 謷 謸 謹 謺 謻 謼 謽 謾 謿 譀 譁 譂 譃 譄 譅 譆 譇 譈 證 譊 譋 譌 譍 譎 譏 譐 譑 譒 譓 譔 譕 譖 譗 識 譙 譚 譛 譜 譝 譞 譟 譠 譡 譢 譣 譤 譥 警 譧 譨 譩 譪 譫 譬 譭 譮 譯 議 譱 譲 譳 譴 譵 譶 護 譸 譹 譺 譻 譼 譽 譾 譿 讀 讁 讂 讃 讄 讅 讆 讇 讈 讉 變 讋 讌 讍 讎 讏 讐 讑 讒 讓 讔 讕 讖 讗 讘 讙 讚 讛 讜 讝 讞 讟 讠 计 订 讣 认 讥 讦 讧 讨 让 讪 讫 讬 训 议 讯 记 讱 讲 讳 讴 讵 讶 讷 许 讹 论 讻 讼 讽 设 访 诀 证 诂 诃 评 诅 识 诇 诈 诉 诊 诋 诌 词 诎 诏 诐 译 诒 诓 诔 试 诖 诗 诘 诙 诚 诛 诜 话 诞 诟 诠 诡 询 诣 诤 该 详 诧 诨 诩 诪 诫 诬 语 诮 误 诰 诱 诲 诳 说 诵 诶 请 诸 诹 诺 读 诼 诽 课 诿</t>
        </is>
      </c>
      <c r="P211" s="37" t="inlineStr">
        <is>
          <t>謀 謁 謂 謃 謄 謅 謆 謇 謈 謉 謊 謋 謌 謍 謎 謏 謐 謑 謒 謓 謔 謕 謖 謗 謘 謙 謚 講 謜 謝 謞 謟 謠 謡 謢 謣 謤 謥 謦 謧 謨 謩 謪 謫 謬 謭 謮 謯 謰 謱 謲 謳 謴 謵 謶 謷 謸 謹 謺 謻 謼 謽 謾 謿 譀 譁 譂 譃 譄 譅 譆 譇 譈 證 譊 譋 譌 譍 譎 譏 譐 譑 譒 譓 譔 譕 譖 譗 識 譙 譚 譛 譜 譝 譞 譟 譠 譡 譢 譣 譤 譥 警 譧 譨 譩 譪 譫 譬 譭 譮 譯 議 譱 譲 譳 譴 譵 譶 護 譸 譹 譺 譻 譼 譽 譾 譿 讀 讁 讂 讃 讄 讅 讆 讇 讈 讉 變 讋 讌 讍 讎 讏 讐 讑 讒 讓 讔 讕 讖 讗 讘 讙 讚 讛 讜 讝 讞 讟 讠 计 订 讣 认 讥 讦 讧 讨 让 讪 讫 讬 训 议 讯 记 讱 讲 讳 讴 讵 讶 讷 许 讹 论 讻 讼 讽 设 访 诀 证 诂 诃 评 诅 识 诇 诈 诉 诊 诋 诌 词 诎 诏 诐 译 诒 诓 诔 试 诖 诗 诘 诙 诚 诛 诜 话 诞 诟 诠 诡 询 诣 诤 该 详 诧 诨 诩 诪 诫 诬 语 诮 误 诰 诱 诲 诳 说 诵 诶 请 诸 诹 诺 读 诼 诽 课 诿</t>
        </is>
      </c>
      <c r="Q211" s="38" t="inlineStr">
        <is>
          <t>謀 謁 謂 謃 謄 謅 謆 謇 謈 謉 謊 謋 謌 謍 謎 謏 謐 謑 謒 謓 謔 謕 謖 謗 謘 謙 謚 講 謜 謝 謞 謟 謠 謡 謢 謣 謤 謥 謦 謧 謨 謩 謪 謫 謬 謭 謮 謯 謰 謱 謲 謳 謴 謵 謶 謷 謸 謹 謺 謻 謼 謽 謾 謿 譀 譁 譂 譃 譄 譅 譆 譇 譈 證 譊 譋 譌 譍 譎 譏 譐 譑 譒 譓 譔 譕 譖 譗 識 譙 譚 譛 譜 譝 譞 譟 譠 譡 譢 譣 譤 譥 警 譧 譨 譩 譪 譫 譬 譭 譮 譯 議 譱 譲 譳 譴 譵 譶 護 譸 譹 譺 譻 譼 譽 譾 譿 讀 讁 讂 讃 讄 讅 讆 讇 讈 讉 變 讋 讌 讍 讎 讏 讐 讑 讒 讓 讔 讕 讖 讗 讘 讙 讚 讛 讜 讝 讞 讟 讠 计 订 讣 认 讥 讦 讧 讨 让 讪 讫 讬 训 议 讯 记 讱 讲 讳 讴 讵 讶 讷 许 讹 论 讻 讼 讽 设 访 诀 证 诂 诃 评 诅 识 诇 诈 诉 诊 诋 诌 词 诎 诏 诐 译 诒 诓 诔 试 诖 诗 诘 诙 诚 诛 诜 话 诞 诟 诠 诡 询 诣 诤 该 详 诧 诨 诩 诪 诫 诬 语 诮 误 诰 诱 诲 诳 说 诵 诶 请 诸 诹 诺 读 诼 诽 课 诿</t>
        </is>
      </c>
      <c r="R211" s="43" t="inlineStr">
        <is>
          <t>謀 謁 謃 謄 謅 謆 謇 謈 謉 謊 謋 謌 謍 謎 謏 謐 謑 謒 謓 謔 謕 謖 謗 謘 謙 謚 講 謜 謝 謞 謢 謣 謤 謥 謦 謧 謨 謩 謪 謫 謭 謮 謯 謰 謲 謳 謶 謷 謸 謹 謺 謻 謼 謽 謾 謿 譀 譁 譂 譃 譅 譆 譇 譈 證 譊 譋 譌 譍 譎 譏 譐 譒 譓 譕 譖 譗 識 譙 譛 譝 譞 譟 譠 譢 譣 譤 譥 警 譧 譨 譩 譪 譫 譬 譭 譮 譯 議 譱 譲 譴 譵 譶 護 譸 譹 譺 譻 譼 譽 譾 譿 讀 讁 讂 讅 讆 讇 讈 讉 變 讋 讌 讏 讐 讒 讓 讔 讕 讖 讗 讘 讙 讚 讛 讜 讝 讞 计 订 认 讥 讦 讧 讨 让 讫 讬 议 讯 讱 讲 讳 讴 讵 讶 讷 许 讹 论 讻 讼 讽 设 访 诀 证 诂 诃 评 诅 识 诇 诈 诉 诊 诋 诌 词 诏 诐 译 诒 诓 诔 试 诖 诗 诘 诙 诚 诛 诜 话 诞 诟 诠 诡 询 诤 该 详 诧 诨 诪 诫 诬 语 误 诰 诱 诲 诳 说 诵 诶 请 诸 诹 诺 读 诼 课 诿</t>
        </is>
      </c>
      <c r="S211" s="40" t="n"/>
      <c r="V211" s="14">
        <f>(LEN(O211)+1)/2</f>
        <v/>
      </c>
      <c r="W211" s="14">
        <f>ROUNDDOWN((LEN(P211)+1)/2,0)</f>
        <v/>
      </c>
      <c r="X211" s="14">
        <f>ROUNDDOWN((LEN(Q211)+1)/2,0)</f>
        <v/>
      </c>
      <c r="Y211" s="14">
        <f>ROUNDDOWN((LEN(R211)+1)/2,0)</f>
        <v/>
      </c>
      <c r="Z211" s="14">
        <f>ROUNDDOWN((LEN(S211)+1)/2,0)</f>
        <v/>
      </c>
      <c r="AA211" s="56" t="n">
        <v>46150.55852558109</v>
      </c>
    </row>
    <row r="212" ht="102" customHeight="1">
      <c r="B212" s="46" t="inlineStr">
        <is>
          <t>U+8C00-U+8CFF</t>
        </is>
      </c>
      <c r="C212" s="46" t="inlineStr">
        <is>
          <t>CJK Unified Ideographs</t>
        </is>
      </c>
      <c r="D212" s="54">
        <f>HEX2DEC(MID(B212,3,FIND("-",E212)-3))</f>
        <v/>
      </c>
      <c r="E212" s="46" t="inlineStr">
        <is>
          <t>U+4E00-U+9FFF</t>
        </is>
      </c>
      <c r="F212" s="12" t="n">
        <v>3</v>
      </c>
      <c r="J212" s="19">
        <f>ROUNDDOWN(W212,0)/$V212</f>
        <v/>
      </c>
      <c r="K212" s="19">
        <f>ROUNDDOWN(X212,0)/$V212</f>
        <v/>
      </c>
      <c r="L212" s="19">
        <f>ROUNDDOWN(Y212,0)/$V212</f>
        <v/>
      </c>
      <c r="M212" s="19">
        <f>ROUNDDOWN(Z212,0)/$V212</f>
        <v/>
      </c>
      <c r="O212" s="36" t="inlineStr">
        <is>
          <t>谀 谁 谂 调 谄 谅 谆 谇 谈 谉 谊 谋 谌 谍 谎 谏 谐 谑 谒 谓 谔 谕 谖 谗 谘 谙 谚 谛 谜 谝 谞 谟 谠 谡 谢 谣 谤 谥 谦 谧 谨 谩 谪 谫 谬 谭 谮 谯 谰 谱 谲 谳 谴 谵 谶 谷 谸 谹 谺 谻 谼 谽 谾 谿 豀 豁 豂 豃 豄 豅 豆 豇 豈 豉 豊 豋 豌 豍 豎 豏 豐 豑 豒 豓 豔 豕 豖 豗 豘 豙 豚 豛 豜 豝 豞 豟 豠 象 豢 豣 豤 豥 豦 豧 豨 豩 豪 豫 豬 豭 豮 豯 豰 豱 豲 豳 豴 豵 豶 豷 豸 豹 豺 豻 豼 豽 豾 豿 貀 貁 貂 貃 貄 貅 貆 貇 貈 貉 貊 貋 貌 貍 貎 貏 貐 貑 貒 貓 貔 貕 貖 貗 貘 貙 貚 貛 貜 貝 貞 貟 負 財 貢 貣 貤 貥 貦 貧 貨 販 貪 貫 責 貭 貮 貯 貰 貱 貲 貳 貴 貵 貶 買 貸 貹 貺 費 貼 貽 貾 貿 賀 賁 賂 賃 賄 賅 賆 資 賈 賉 賊 賋 賌 賍 賎 賏 賐 賑 賒 賓 賔 賕 賖 賗 賘 賙 賚 賛 賜 賝 賞 賟 賠 賡 賢 賣 賤 賥 賦 賧 賨 賩 質 賫 賬 賭 賮 賯 賰 賱 賲 賳 賴 賵 賶 賷 賸 賹 賺 賻 購 賽 賾 賿</t>
        </is>
      </c>
      <c r="P212" s="37" t="inlineStr">
        <is>
          <t>谀 谁 谂 调 谄 谅 谆 谇 谈 谉 谊 谋 谌 谍 谎 谏 谐 谑 谒 谓 谔 谕 谖 谗 谘 谙 谚 谛 谜 谝 谞 谟 谠 谡 谢 谣 谤 谥 谦 谧 谨 谩 谪 谫 谬 谭 谮 谯 谰 谱 谲 谳 谴 谵 谶 谷 谸 谹 谺 谻 谼 谽 谾 谿 豀 豁 豂 豃 豄 豅 豆 豇 豈 豉 豊 豋 豌 豍 豎 豏 豐 豑 豒 豓 豔 豕 豖 豗 豘 豙 豚 豛 豜 豝 豞 豟 豠 象 豢 豣 豤 豥 豦 豧 豨 豩 豪 豫 豬 豭 豮 豯 豰 豱 豲 豳 豴 豵 豶 豷 豸 豹 豺 豻 豼 豽 豾 豿 貀 貁 貂 貃 貄 貅 貆 貇 貈 貉 貊 貋 貌 貍 貎 貏 貐 貑 貒 貓 貔 貕 貖 貗 貘 貙 貚 貛 貜 貝 貞 貟 負 財 貢 貣 貤 貥 貦 貧 貨 販 貪 貫 責 貭 貮 貯 貰 貱 貲 貳 貴 貵 貶 買 貸 貹 貺 費 貼 貽 貾 貿 賀 賁 賂 賃 賄 賅 賆 資 賈 賉 賊 賋 賌 賍 賎 賏 賐 賑 賒 賓 賔 賕 賖 賗 賘 賙 賚 賛 賜 賝 賞 賟 賠 賡 賢 賣 賤 賥 賦 賧 賨 賩 質 賫 賬 賭 賮 賯 賰 賱 賲 賳 賴 賵 賶 賷 賸 賹 賺 賻 購 賽 賾 賿</t>
        </is>
      </c>
      <c r="Q212" s="38" t="inlineStr">
        <is>
          <t>谀 谁 谂 调 谄 谅 谆 谇 谈 谉 谊 谋 谌 谍 谎 谏 谐 谑 谒 谓 谔 谕 谖 谗 谘 谙 谚 谛 谜 谝 谞 谟 谠 谡 谢 谣 谤 谥 谦 谧 谨 谩 谪 谫 谬 谭 谮 谯 谰 谱 谲 谳 谴 谵 谶 谷 谸 谹 谺 谻 谼 谽 谾 谿 豀 豁 豂 豃 豄 豅 豆 豇 豈 豉 豊 豋 豌 豍 豎 豏 豐 豑 豒 豓 豔 豕 豖 豗 豘 豙 豚 豛 豜 豝 豞 豟 豠 象 豢 豣 豤 豥 豦 豧 豨 豩 豪 豫 豬 豭 豮 豯 豰 豱 豲 豳 豴 豵 豶 豷 豸 豹 豺 豻 豼 豽 豾 豿 貀 貁 貂 貃 貄 貅 貆 貇 貈 貉 貊 貋 貌 貍 貎 貏 貐 貑 貒 貓 貔 貕 貖 貗 貘 貙 貚 貛 貜 貝 貞 貟 負 財 貢 貣 貤 貥 貦 貧 貨 販 貪 貫 責 貭 貮 貯 貰 貱 貲 貳 貴 貵 貶 買 貸 貹 貺 費 貼 貽 貾 貿 賀 賁 賂 賃 賄 賅 賆 資 賈 賉 賊 賋 賌 賍 賎 賏 賐 賑 賒 賓 賔 賕 賖 賗 賘 賙 賚 賛 賜 賝 賞 賟 賠 賡 賢 賣 賤 賥 賦 賧 賨 賩 質 賫 賬 賭 賮 賯 賰 賱 賲 賳 賴 賵 賶 賷 賸 賹 賺 賻 購 賽 賾 賿</t>
        </is>
      </c>
      <c r="R212" s="43" t="inlineStr">
        <is>
          <t>谀 谁 谂 调 谄 谅 谆 谇 谈 谉 谊 谋 谌 谍 谎 谏 谐 谑 谒 谓 谔 谕 谖 谗 谘 谙 谚 谛 谜 谝 谞 谟 谠 谡 谢 谣 谤 谥 谦 谧 谨 谩 谪 谫 谬 谭 谮 谯 谰 谱 谲 谳 谴 谵 谶 谷 谸 谹 谺 谻 谼 谽 谾 谿 豀 豁 豂 豃 豄 豇 豈 豉 豊 豋 豌 豍 豎 豏 豐 豑 豒 豓 豔 豕 豖 豗 豘 豙 豛 豜 豞 豟 豠 象 豢 豥 豦 豧 豨 豪 豫 豬 豮 豰 豱 豲 豳 豵 豶 豷 豸 豹 豺 豻 豽 豾 豿 貀 貁 貂 貃 貄 貅 貆 貇 貈 貉 貋 貌 貍 貎 貏 貐 貑 貒 貓 貔 貕 貖 貗 貘 貙 貚 貛 貜 貝 貞 貟 負 貢 貣 貥 貦 貧 貨 販 貪 貫 責 貭 貮 貯 貰 貱 貲 貳 貴 貵 貶 買 貸 貺 費 貿 賀 賁 賂 賃 賄 賆 資 賈 賉 賊 賋 賌 賍 賐 賑 賒 賓 賔 賕 賖 賘 賙 賚 賛 賜 賝 賞 賟 賡 賢 賣 賥 賦 賧 賨 賩 質 賫 賬 賭 賮 賯 賰 賲 賳 賴 賶 賷 賸 賹 賺 賻 賽 賾</t>
        </is>
      </c>
      <c r="S212" s="40" t="n"/>
      <c r="V212" s="14">
        <f>(LEN(O212)+1)/2</f>
        <v/>
      </c>
      <c r="W212" s="14">
        <f>ROUNDDOWN((LEN(P212)+1)/2,0)</f>
        <v/>
      </c>
      <c r="X212" s="14">
        <f>ROUNDDOWN((LEN(Q212)+1)/2,0)</f>
        <v/>
      </c>
      <c r="Y212" s="14">
        <f>ROUNDDOWN((LEN(R212)+1)/2,0)</f>
        <v/>
      </c>
      <c r="Z212" s="14">
        <f>ROUNDDOWN((LEN(S212)+1)/2,0)</f>
        <v/>
      </c>
      <c r="AA212" s="56" t="n">
        <v>46150.55852865289</v>
      </c>
    </row>
    <row r="213" ht="102" customHeight="1">
      <c r="B213" s="46" t="inlineStr">
        <is>
          <t>U+8D00-U+8DFF</t>
        </is>
      </c>
      <c r="C213" s="46" t="inlineStr">
        <is>
          <t>CJK Unified Ideographs</t>
        </is>
      </c>
      <c r="D213" s="54">
        <f>HEX2DEC(MID(B213,3,FIND("-",E213)-3))</f>
        <v/>
      </c>
      <c r="E213" s="46" t="inlineStr">
        <is>
          <t>U+4E00-U+9FFF</t>
        </is>
      </c>
      <c r="F213" s="12" t="n">
        <v>3</v>
      </c>
      <c r="J213" s="19">
        <f>ROUNDDOWN(W213,0)/$V213</f>
        <v/>
      </c>
      <c r="K213" s="19">
        <f>ROUNDDOWN(X213,0)/$V213</f>
        <v/>
      </c>
      <c r="L213" s="19">
        <f>ROUNDDOWN(Y213,0)/$V213</f>
        <v/>
      </c>
      <c r="M213" s="19">
        <f>ROUNDDOWN(Z213,0)/$V213</f>
        <v/>
      </c>
      <c r="O213" s="36" t="inlineStr">
        <is>
          <t>贀 贁 贂 贃 贄 贅 贆 贇 贈 贉 贊 贋 贌 贍 贎 贏 贐 贑 贒 贓 贔 贕 贖 贗 贘 贙 贚 贛 贜 贝 贞 负 贠 贡 财 责 贤 败 账 货 质 贩 贪 贫 贬 购 贮 贯 贰 贱 贲 贳 贴 贵 贶 贷 贸 费 贺 贻 贼 贽 贾 贿 赀 赁 赂 赃 资 赅 赆 赇 赈 赉 赊 赋 赌 赍 赎 赏 赐 赑 赒 赓 赔 赕 赖 赗 赘 赙 赚 赛 赜 赝 赞 赟 赠 赡 赢 赣 赤 赥 赦 赧 赨 赩 赪 赫 赬 赭 赮 赯 走 赱 赲 赳 赴 赵 赶 起 赸 赹 赺 赻 赼 赽 赾 赿 趀 趁 趂 趃 趄 超 趆 趇 趈 趉 越 趋 趌 趍 趎 趏 趐 趑 趒 趓 趔 趕 趖 趗 趘 趙 趚 趛 趜 趝 趞 趟 趠 趡 趢 趣 趤 趥 趦 趧 趨 趩 趪 趫 趬 趭 趮 趯 趰 趱 趲 足 趴 趵 趶 趷 趸 趹 趺 趻 趼 趽 趾 趿 跀 跁 跂 跃 跄 跅 跆 跇 跈 跉 跊 跋 跌 跍 跎 跏 跐 跑 跒 跓 跔 跕 跖 跗 跘 跙 跚 跛 跜 距 跞 跟 跠 跡 跢 跣 跤 跥 跦 跧 跨 跩 跪 跫 跬 跭 跮 路 跰 跱 跲 跳 跴 践 跶 跷 跸 跹 跺 跻 跼 跽 跾 跿</t>
        </is>
      </c>
      <c r="P213" s="37" t="inlineStr">
        <is>
          <t>贀 贁 贂 贃 贄 贅 贆 贇 贈 贉 贊 贋 贌 贍 贎 贏 贐 贑 贒 贓 贔 贕 贖 贗 贘 贙 贚 贛 贜 贝 贞 负 贠 贡 财 责 贤 败 账 货 质 贩 贪 贫 贬 购 贮 贯 贰 贱 贲 贳 贴 贵 贶 贷 贸 费 贺 贻 贼 贽 贾 贿 赀 赁 赂 赃 资 赅 赆 赇 赈 赉 赊 赋 赌 赍 赎 赏 赐 赑 赒 赓 赔 赕 赖 赗 赘 赙 赚 赛 赜 赝 赞 赟 赠 赡 赢 赣 赤 赥 赦 赧 赨 赩 赪 赫 赬 赭 赮 赯 走 赱 赲 赳 赴 赵 赶 起 赸 赹 赺 赻 赼 赽 赾 赿 趀 趁 趂 趃 趄 超 趆 趇 趈 趉 越 趋 趌 趍 趎 趏 趐 趑 趒 趓 趔 趕 趖 趗 趘 趙 趚 趛 趜 趝 趞 趟 趠 趡 趢 趣 趤 趥 趦 趧 趨 趩 趪 趫 趬 趭 趮 趯 趰 趱 趲 足 趴 趵 趶 趷 趸 趹 趺 趻 趼 趽 趾 趿 跀 跁 跂 跃 跄 跅 跆 跇 跈 跉 跊 跋 跌 跍 跎 跏 跐 跑 跒 跓 跔 跕 跖 跗 跘 跙 跚 跛 跜 距 跞 跟 跠 跡 跢 跣 跤 跥 跦 跧 跨 跩 跪 跫 跬 跭 跮 路 跰 跱 跲 跳 跴 践 跶 跷 跸 跹 跺 跻 跼 跽 跾 跿</t>
        </is>
      </c>
      <c r="Q213" s="38" t="inlineStr">
        <is>
          <t>贀 贁 贂 贃 贄 贅 贆 贇 贈 贉 贊 贋 贌 贍 贎 贏 贐 贑 贒 贓 贔 贕 贖 贗 贘 贙 贚 贛 贜 贝 贞 负 贠 贡 财 责 贤 败 账 货 质 贩 贪 贫 贬 购 贮 贯 贰 贱 贲 贳 贴 贵 贶 贷 贸 费 贺 贻 贼 贽 贾 贿 赀 赁 赂 赃 资 赅 赆 赇 赈 赉 赊 赋 赌 赍 赎 赏 赐 赑 赒 赓 赔 赕 赖 赗 赘 赙 赚 赛 赜 赝 赞 赟 赠 赡 赢 赣 赤 赥 赦 赧 赨 赩 赪 赫 赬 赭 赮 赯 走 赱 赲 赳 赴 赵 赶 起 赸 赹 赺 赻 赼 赽 赾 赿 趀 趁 趂 趃 趄 超 趆 趇 趈 趉 越 趋 趌 趍 趎 趏 趐 趑 趒 趓 趔 趕 趖 趗 趘 趙 趚 趛 趜 趝 趞 趟 趠 趡 趢 趣 趤 趥 趦 趧 趨 趩 趪 趫 趬 趭 趮 趯 趰 趱 趲 足 趴 趵 趶 趷 趸 趹 趺 趻 趼 趽 趾 趿 跀 跁 跂 跃 跄 跅 跆 跇 跈 跉 跊 跋 跌 跍 跎 跏 跐 跑 跒 跓 跔 跕 跖 跗 跘 跙 跚 跛 跜 距 跞 跟 跠 跡 跢 跣 跤 跥 跦 跧 跨 跩 跪 跫 跬 跭 跮 路 跰 跱 跲 跳 跴 践 跶 跷 跸 跹 跺 跻 跼 跽 跾 跿</t>
        </is>
      </c>
      <c r="R213" s="43" t="inlineStr">
        <is>
          <t>贀 贁 贂 贃 贄 贅 贆 贇 贊 贋 贌 贍 贏 贐 贑 贒 贓 贔 贗 贙 贛 贜 贝 贞 负 贠 责 贤 败 货 质 贩 贪 贫 贬 购 贮 贯 贰 贱 贲 贳 贵 贶 贷 贸 费 贺 贼 贽 贾 贿 赀 赁 赃 资 赅 赆 赇 赈 赉 赊 赋 赌 赍 赎 赏 赐 赑 赒 赓 赔 赕 赖 赘 赙 赚 赛 赜 赝 赞 赟 赡 赢 赣 赤 赥 赦 赧 赨 赩 赪 赫 赬 赭 赮 赯 走 赱 赲 赳 赴 赵 赶 起 赸 赹 赺 赻 赼 赽 赾 赿 趀 趁 趂 趃 趄 超 趆 趇 趈 趉 越 趋 趌 趍 趎 趏 趐 趑 趒 趓 趔 趕 趖 趗 趘 趙 趚 趛 趜 趝 趞 趟 趠 趡 趢 趣 趤 趥 趦 趧 趨 趩 趪 趫 趬 趭 趮 趯 趰 趱 趲 足 趶 趷 趸 趹 趺 趻 趼 趽 趾 趿 跀 跂 跃 跄 跅 跆 跇 跈 跉 跊 跋 跌 跍 跎 跑 跓 跔 跖 跗 跘 跙 跚 跛 跜 跞 跠 跡 跣 跤 跥 跦 跧 跨 跩 跪 跫 跬 跭 跮 跰 跱 跲 跴 践 跶 跷 跸 跹 跺 跻 跼 跽 跾 跿</t>
        </is>
      </c>
      <c r="S213" s="40" t="n"/>
      <c r="V213" s="14">
        <f>(LEN(O213)+1)/2</f>
        <v/>
      </c>
      <c r="W213" s="14">
        <f>ROUNDDOWN((LEN(P213)+1)/2,0)</f>
        <v/>
      </c>
      <c r="X213" s="14">
        <f>ROUNDDOWN((LEN(Q213)+1)/2,0)</f>
        <v/>
      </c>
      <c r="Y213" s="14">
        <f>ROUNDDOWN((LEN(R213)+1)/2,0)</f>
        <v/>
      </c>
      <c r="Z213" s="14">
        <f>ROUNDDOWN((LEN(S213)+1)/2,0)</f>
        <v/>
      </c>
      <c r="AA213" s="56" t="n">
        <v>46150.55853169206</v>
      </c>
    </row>
    <row r="214" ht="102" customHeight="1">
      <c r="B214" s="46" t="inlineStr">
        <is>
          <t>U+8E00-U+8EFF</t>
        </is>
      </c>
      <c r="C214" s="46" t="inlineStr">
        <is>
          <t>CJK Unified Ideographs</t>
        </is>
      </c>
      <c r="D214" s="54">
        <f>HEX2DEC(MID(B214,3,FIND("-",E214)-3))</f>
        <v/>
      </c>
      <c r="E214" s="46" t="inlineStr">
        <is>
          <t>U+4E00-U+9FFF</t>
        </is>
      </c>
      <c r="F214" s="12" t="n">
        <v>3</v>
      </c>
      <c r="J214" s="19">
        <f>ROUNDDOWN(W214,0)/$V214</f>
        <v/>
      </c>
      <c r="K214" s="19">
        <f>ROUNDDOWN(X214,0)/$V214</f>
        <v/>
      </c>
      <c r="L214" s="19">
        <f>ROUNDDOWN(Y214,0)/$V214</f>
        <v/>
      </c>
      <c r="M214" s="19">
        <f>ROUNDDOWN(Z214,0)/$V214</f>
        <v/>
      </c>
      <c r="O214" s="36" t="inlineStr">
        <is>
          <t>踀 踁 踂 踃 踄 踅 踆 踇 踈 踉 踊 踋 踌 踍 踎 踏 踐 踑 踒 踓 踔 踕 踖 踗 踘 踙 踚 踛 踜 踝 踞 踟 踠 踡 踢 踣 踤 踥 踦 踧 踨 踩 踪 踫 踬 踭 踮 踯 踰 踱 踲 踳 踴 踵 踶 踷 踸 踹 踺 踻 踼 踽 踾 踿 蹀 蹁 蹂 蹃 蹄 蹅 蹆 蹇 蹈 蹉 蹊 蹋 蹌 蹍 蹎 蹏 蹐 蹑 蹒 蹓 蹔 蹕 蹖 蹗 蹘 蹙 蹚 蹛 蹜 蹝 蹞 蹟 蹠 蹡 蹢 蹣 蹤 蹥 蹦 蹧 蹨 蹩 蹪 蹫 蹬 蹭 蹮 蹯 蹰 蹱 蹲 蹳 蹴 蹵 蹶 蹷 蹸 蹹 蹺 蹻 蹼 蹽 蹾 蹿 躀 躁 躂 躃 躄 躅 躆 躇 躈 躉 躊 躋 躌 躍 躎 躏 躐 躑 躒 躓 躔 躕 躖 躗 躘 躙 躚 躛 躜 躝 躞 躟 躠 躡 躢 躣 躤 躥 躦 躧 躨 躩 躪 身 躬 躭 躮 躯 躰 躱 躲 躳 躴 躵 躶 躷 躸 躹 躺 躻 躼 躽 躾 躿 軀 軁 軂 軃 軄 軅 軆 軇 軈 軉 車 軋 軌 軍 軎 軏 軐 軑 軒 軓 軔 軕 軖 軗 軘 軙 軚 軛 軜 軝 軞 軟 軠 軡 転 軣 軤 軥 軦 軧 軨 軩 軪 軫 軬 軭 軮 軯 軰 軱 軲 軳 軴 軵 軶 軷 軸 軹 軺 軻 軼 軽 軾 軿</t>
        </is>
      </c>
      <c r="P214" s="37" t="inlineStr">
        <is>
          <t>踀 踁 踂 踃 踄 踅 踆 踇 踈 踉 踊 踋 踌 踍 踎 踏 踐 踑 踒 踓 踔 踕 踖 踗 踘 踙 踚 踛 踜 踝 踞 踟 踠 踡 踢 踣 踤 踥 踦 踧 踨 踩 踪 踫 踬 踭 踮 踯 踰 踱 踲 踳 踴 踵 踶 踷 踸 踹 踺 踻 踼 踽 踾 踿 蹀 蹁 蹂 蹃 蹄 蹅 蹆 蹇 蹈 蹉 蹊 蹋 蹌 蹍 蹎 蹏 蹐 蹑 蹒 蹓 蹔 蹕 蹖 蹗 蹘 蹙 蹚 蹛 蹜 蹝 蹞 蹟 蹠 蹡 蹢 蹣 蹤 蹥 蹦 蹧 蹨 蹩 蹪 蹫 蹬 蹭 蹮 蹯 蹰 蹱 蹲 蹳 蹴 蹵 蹶 蹷 蹸 蹹 蹺 蹻 蹼 蹽 蹾 蹿 躀 躁 躂 躃 躄 躅 躆 躇 躈 躉 躊 躋 躌 躍 躎 躏 躐 躑 躒 躓 躔 躕 躖 躗 躘 躙 躚 躛 躜 躝 躞 躟 躠 躡 躢 躣 躤 躥 躦 躧 躨 躩 躪 身 躬 躭 躮 躯 躰 躱 躲 躳 躴 躵 躶 躷 躸 躹 躺 躻 躼 躽 躾 躿 軀 軁 軂 軃 軄 軅 軆 軇 軈 軉 車 軋 軌 軍 軎 軏 軐 軑 軒 軓 軔 軕 軖 軗 軘 軙 軚 軛 軜 軝 軞 軟 軠 軡 転 軣 軤 軥 軦 軧 軨 軩 軪 軫 軬 軭 軮 軯 軰 軱 軲 軳 軴 軵 軶 軷 軸 軹 軺 軻 軼 軽 軾 軿</t>
        </is>
      </c>
      <c r="Q214" s="38" t="inlineStr">
        <is>
          <t>踀 踁 踂 踃 踄 踅 踆 踇 踈 踉 踊 踋 踌 踍 踎 踏 踐 踑 踒 踓 踔 踕 踖 踗 踘 踙 踚 踛 踜 踝 踞 踟 踠 踡 踢 踣 踤 踥 踦 踧 踨 踩 踪 踫 踬 踭 踮 踯 踰 踱 踲 踳 踴 踵 踶 踷 踸 踹 踺 踻 踼 踽 踾 踿 蹀 蹁 蹂 蹃 蹄 蹅 蹆 蹇 蹈 蹉 蹊 蹋 蹌 蹍 蹎 蹏 蹐 蹑 蹒 蹓 蹔 蹕 蹖 蹗 蹘 蹙 蹚 蹛 蹜 蹝 蹞 蹟 蹠 蹡 蹢 蹣 蹤 蹥 蹦 蹧 蹨 蹩 蹪 蹫 蹬 蹭 蹮 蹯 蹰 蹱 蹲 蹳 蹴 蹵 蹶 蹷 蹸 蹹 蹺 蹻 蹼 蹽 蹾 蹿 躀 躁 躂 躃 躄 躅 躆 躇 躈 躉 躊 躋 躌 躍 躎 躏 躐 躑 躒 躓 躔 躕 躖 躗 躘 躙 躚 躛 躜 躝 躞 躟 躠 躡 躢 躣 躤 躥 躦 躧 躨 躩 躪 身 躬 躭 躮 躯 躰 躱 躲 躳 躴 躵 躶 躷 躸 躹 躺 躻 躼 躽 躾 躿 軀 軁 軂 軃 軄 軅 軆 軇 軈 軉 車 軋 軌 軍 軎 軏 軐 軑 軒 軓 軔 軕 軖 軗 軘 軙 軚 軛 軜 軝 軞 軟 軠 軡 転 軣 軤 軥 軦 軧 軨 軩 軪 軫 軬 軭 軮 軯 軰 軱 軲 軳 軴 軵 軶 軷 軸 軹 軺 軻 軼 軽 軾 軿</t>
        </is>
      </c>
      <c r="R214" s="43" t="inlineStr">
        <is>
          <t>踀 踁 踂 踄 踅 踆 踇 踈 踌 踍 踏 踑 踒 踓 踔 踕 踗 踘 踙 踚 踛 踜 踝 踞 踟 踠 踡 踢 踣 踤 踥 踦 踧 踨 踩 踪 踫 踬 踭 踮 踯 踰 踱 踲 踳 踴 踵 踶 踷 踸 踹 踺 踼 踽 踿 蹀 蹁 蹂 蹃 蹄 蹅 蹆 蹇 蹉 蹊 蹋 蹌 蹍 蹎 蹏 蹐 蹑 蹔 蹕 蹖 蹗 蹘 蹙 蹚 蹛 蹜 蹝 蹞 蹟 蹠 蹡 蹢 蹣 蹤 蹥 蹦 蹧 蹨 蹩 蹪 蹫 蹬 蹭 蹮 蹯 蹰 蹱 蹲 蹳 蹴 蹵 蹶 蹷 蹸 蹹 蹺 蹻 蹼 蹽 蹾 蹿 躀 躁 躂 躃 躄 躅 躆 躇 躈 躉 躊 躋 躌 躍 躎 躐 躒 躓 躔 躕 躖 躗 躙 躚 躛 躜 躝 躞 躟 躠 躡 躢 躣 躤 躥 躦 躧 躨 躩 躪 身 躭 躮 躰 躱 躲 躵 躶 躷 躸 躹 躻 躼 躾 躿 軁 軃 軄 軅 軆 軈 車 軌 軍 軎 軏 軐 軑 軓 軔 軕 軖 軗 軘 軙 軚 軛 軜 軞 軟 軠 軡 転 軣 軤 軥 軦 軨 軩 軫 軬 軮 軯 軰 軱 軲 軳 軴 軵 軶 軷 軸 軹 軺 軻 軼 軽 軾 軿</t>
        </is>
      </c>
      <c r="S214" s="40" t="n"/>
      <c r="V214" s="14">
        <f>(LEN(O214)+1)/2</f>
        <v/>
      </c>
      <c r="W214" s="14">
        <f>ROUNDDOWN((LEN(P214)+1)/2,0)</f>
        <v/>
      </c>
      <c r="X214" s="14">
        <f>ROUNDDOWN((LEN(Q214)+1)/2,0)</f>
        <v/>
      </c>
      <c r="Y214" s="14">
        <f>ROUNDDOWN((LEN(R214)+1)/2,0)</f>
        <v/>
      </c>
      <c r="Z214" s="14">
        <f>ROUNDDOWN((LEN(S214)+1)/2,0)</f>
        <v/>
      </c>
      <c r="AA214" s="56" t="n">
        <v>46150.55853469553</v>
      </c>
    </row>
    <row r="215" ht="102" customHeight="1">
      <c r="B215" s="46" t="inlineStr">
        <is>
          <t>U+8F00-U+8FFF</t>
        </is>
      </c>
      <c r="C215" s="46" t="inlineStr">
        <is>
          <t>CJK Unified Ideographs</t>
        </is>
      </c>
      <c r="D215" s="54">
        <f>HEX2DEC(MID(B215,3,FIND("-",E215)-3))</f>
        <v/>
      </c>
      <c r="E215" s="46" t="inlineStr">
        <is>
          <t>U+4E00-U+9FFF</t>
        </is>
      </c>
      <c r="F215" s="12" t="n">
        <v>3</v>
      </c>
      <c r="J215" s="19">
        <f>ROUNDDOWN(W215,0)/$V215</f>
        <v/>
      </c>
      <c r="K215" s="19">
        <f>ROUNDDOWN(X215,0)/$V215</f>
        <v/>
      </c>
      <c r="L215" s="19">
        <f>ROUNDDOWN(Y215,0)/$V215</f>
        <v/>
      </c>
      <c r="M215" s="19">
        <f>ROUNDDOWN(Z215,0)/$V215</f>
        <v/>
      </c>
      <c r="O215" s="36" t="inlineStr">
        <is>
          <t>輀 輁 輂 較 輄 輅 輆 輇 輈 載 輊 輋 輌 輍 輎 輏 輐 輑 輒 輓 輔 輕 輖 輗 輘 輙 輚 輛 輜 輝 輞 輟 輠 輡 輢 輣 輤 輥 輦 輧 輨 輩 輪 輫 輬 輭 輮 輯 輰 輱 輲 輳 輴 輵 輶 輷 輸 輹 輺 輻 輼 輽 輾 輿 轀 轁 轂 轃 轄 轅 轆 轇 轈 轉 轊 轋 轌 轍 轎 轏 轐 轑 轒 轓 轔 轕 轖 轗 轘 轙 轚 轛 轜 轝 轞 轟 轠 轡 轢 轣 轤 轥 车 轧 轨 轩 轪 轫 转 轭 轮 软 轰 轱 轲 轳 轴 轵 轶 轷 轸 轹 轺 轻 轼 载 轾 轿 辀 辁 辂 较 辄 辅 辆 辇 辈 辉 辊 辋 辌 辍 辎 辏 辐 辑 辒 输 辔 辕 辖 辗 辘 辙 辚 辛 辜 辝 辞 辟 辠 辡 辢 辣 辤 辥 辦 辧 辨 辩 辪 辫 辬 辭 辮 辯 辰 辱 農 辳 辴 辵 辶 辷 辸 边 辺 辻 込 辽 达 辿 迀 迁 迂 迃 迄 迅 迆 过 迈 迉 迊 迋 迌 迍 迎 迏 运 近 迒 迓 返 迕 迖 迗 还 这 迚 进 远 违 连 迟 迠 迡 迢 迣 迤 迥 迦 迧 迨 迩 迪 迫 迬 迭 迮 迯 述 迱 迲 迳 迴 迵 迶 迷 迸 迹 迺 迻 迼 追 迾 迿</t>
        </is>
      </c>
      <c r="P215" s="37" t="inlineStr">
        <is>
          <t>輀 輁 輂 較 輄 輅 輆 輇 輈 載 輊 輋 輌 輍 輎 輏 輐 輑 輒 輓 輔 輕 輖 輗 輘 輙 輚 輛 輜 輝 輞 輟 輠 輡 輢 輣 輤 輥 輦 輧 輨 輩 輪 輫 輬 輭 輮 輯 輰 輱 輲 輳 輴 輵 輶 輷 輸 輹 輺 輻 輼 輽 輾 輿 轀 轁 轂 轃 轄 轅 轆 轇 轈 轉 轊 轋 轌 轍 轎 轏 轐 轑 轒 轓 轔 轕 轖 轗 轘 轙 轚 轛 轜 轝 轞 轟 轠 轡 轢 轣 轤 轥 车 轧 轨 轩 轪 轫 转 轭 轮 软 轰 轱 轲 轳 轴 轵 轶 轷 轸 轹 轺 轻 轼 载 轾 轿 辀 辁 辂 较 辄 辅 辆 辇 辈 辉 辊 辋 辌 辍 辎 辏 辐 辑 辒 输 辔 辕 辖 辗 辘 辙 辚 辛 辜 辝 辞 辟 辠 辡 辢 辣 辤 辥 辦 辧 辨 辩 辪 辫 辬 辭 辮 辯 辰 辱 農 辳 辴 辵 辶 辷 辸 边 辺 辻 込 辽 达 辿 迀 迁 迂 迃 迄 迅 迆 过 迈 迉 迊 迋 迌 迍 迎 迏 运 近 迒 迓 返 迕 迖 迗 还 这 迚 进 远 违 连 迟 迠 迡 迢 迣 迤 迥 迦 迧 迨 迩 迪 迫 迬 迭 迮 迯 述 迱 迲 迳 迴 迵 迶 迷 迸 迹 迺 迻 迼 追 迾 迿</t>
        </is>
      </c>
      <c r="Q215" s="38" t="inlineStr">
        <is>
          <t>輀 輁 輂 較 輄 輅 輆 輇 輈 載 輊 輋 輌 輍 輎 輏 輐 輑 輒 輓 輔 輕 輖 輗 輘 輙 輚 輛 輜 輝 輞 輟 輠 輡 輢 輣 輤 輥 輦 輧 輨 輩 輪 輫 輬 輭 輮 輯 輰 輱 輲 輳 輴 輵 輶 輷 輸 輹 輺 輻 輼 輽 輾 輿 轀 轁 轂 轃 轄 轅 轆 轇 轈 轉 轊 轋 轌 轍 轎 轏 轐 轑 轒 轓 轔 轕 轖 轗 轘 轙 轚 轛 轜 轝 轞 轟 轠 轡 轢 轣 轤 轥 车 轧 轨 轩 轪 轫 转 轭 轮 软 轰 轱 轲 轳 轴 轵 轶 轷 轸 轹 轺 轻 轼 载 轾 轿 辀 辁 辂 较 辄 辅 辆 辇 辈 辉 辊 辋 辌 辍 辎 辏 辐 辑 辒 输 辔 辕 辖 辗 辘 辙 辚 辛 辜 辝 辞 辟 辠 辡 辢 辣 辤 辥 辦 辧 辨 辩 辪 辫 辬 辭 辮 辯 辰 辱 農 辳 辴 辵 辶 辷 辸 边 辺 辻 込 辽 达 辿 迀 迁 迂 迃 迄 迅 迆 过 迈 迉 迊 迋 迌 迍 迎 迏 运 近 迒 迓 返 迕 迖 迗 还 这 迚 进 远 违 连 迟 迠 迡 迢 迣 迤 迥 迦 迧 迨 迩 迪 迫 迬 迭 迮 迯 述 迱 迲 迳 迴 迵 迶 迷 迸 迹 迺 迻 迼 追 迾 迿</t>
        </is>
      </c>
      <c r="R215" s="43" t="inlineStr">
        <is>
          <t>輀 輁 輂 較 輄 輅 輇 輈 載 輊 輋 輍 輏 輐 輑 輒 輓 輔 輕 輖 輗 輙 輚 輜 輝 輟 輠 輡 輢 輣 輤 輦 輨 輩 輪 輬 輭 輮 輯 輰 輱 輲 輳 輴 輵 輷 輸 輹 輺 輼 輽 輾 輿 轀 轁 轂 轃 轄 轅 轆 轈 轉 轊 轋 轌 轍 轎 轏 轐 轑 轒 轓 轔 轕 轖 轗 轘 轙 轚 轛 轝 轞 轟 轡 轣 轤 车 轨 轩 轪 轫 转 轭 轮 软 轰 轱 轳 轵 轶 轷 轸 轹 轺 轻 轼 载 轾 轿 辀 辁 辂 较 辄 辅 辆 辇 辈 辉 辋 辌 辍 辎 辏 辑 辒 输 辔 辕 辖 辗 辘 辙 辚 辛 辜 辝 辞 辠 辢 辣 辩 辪 辫 辬 辭 辮 辰 辱 農 辳 辴 辵 辷 辸 边 辺 辻 込 辽 达 辿 迀 迁 迂 迃 迄 迅 迆 过 迈 迉 迊 迋 迌 迍 迎 迏 运 近 迓 返 迕 迖 迗 还 这 迚 进 远 违 连 迟 迠 迡 迢 迣 迤 迥 迦 迧 迨 迩 迪 迫 迬 迭 迮 迯 述 迱 迲 迳 迴 迵 迶 迷 迸 迹 迺 迻 迼 追 迾 迿</t>
        </is>
      </c>
      <c r="S215" s="40" t="n"/>
      <c r="V215" s="14">
        <f>(LEN(O215)+1)/2</f>
        <v/>
      </c>
      <c r="W215" s="14">
        <f>ROUNDDOWN((LEN(P215)+1)/2,0)</f>
        <v/>
      </c>
      <c r="X215" s="14">
        <f>ROUNDDOWN((LEN(Q215)+1)/2,0)</f>
        <v/>
      </c>
      <c r="Y215" s="14">
        <f>ROUNDDOWN((LEN(R215)+1)/2,0)</f>
        <v/>
      </c>
      <c r="Z215" s="14">
        <f>ROUNDDOWN((LEN(S215)+1)/2,0)</f>
        <v/>
      </c>
      <c r="AA215" s="56" t="n">
        <v>46150.55853754546</v>
      </c>
    </row>
    <row r="216" ht="102" customHeight="1">
      <c r="B216" s="46" t="inlineStr">
        <is>
          <t>U+9000-U+90FF</t>
        </is>
      </c>
      <c r="C216" s="46" t="inlineStr">
        <is>
          <t>CJK Unified Ideographs</t>
        </is>
      </c>
      <c r="D216" s="54">
        <f>HEX2DEC(MID(B216,3,FIND("-",E216)-3))</f>
        <v/>
      </c>
      <c r="E216" s="46" t="inlineStr">
        <is>
          <t>U+4E00-U+9FFF</t>
        </is>
      </c>
      <c r="F216" s="12" t="n">
        <v>3</v>
      </c>
      <c r="J216" s="19">
        <f>ROUNDDOWN(W216,0)/$V216</f>
        <v/>
      </c>
      <c r="K216" s="19">
        <f>ROUNDDOWN(X216,0)/$V216</f>
        <v/>
      </c>
      <c r="L216" s="19">
        <f>ROUNDDOWN(Y216,0)/$V216</f>
        <v/>
      </c>
      <c r="M216" s="19">
        <f>ROUNDDOWN(Z216,0)/$V216</f>
        <v/>
      </c>
      <c r="O216" s="36" t="inlineStr">
        <is>
          <t>退 送 适 逃 逄 逅 逆 逇 逈 选 逊 逋 逌 逍 逎 透 逐 逑 递 逓 途 逕 逖 逗 逘 這 通 逛 逜 逝 逞 速 造 逡 逢 連 逤 逥 逦 逧 逨 逩 逪 逫 逬 逭 逮 逯 逰 週 進 逳 逴 逵 逶 逷 逸 逹 逺 逻 逼 逽 逾 逿 遀 遁 遂 遃 遄 遅 遆 遇 遈 遉 遊 運 遌 遍 過 遏 遐 遑 遒 道 達 違 遖 遗 遘 遙 遚 遛 遜 遝 遞 遟 遠 遡 遢 遣 遤 遥 遦 遧 遨 適 遪 遫 遬 遭 遮 遯 遰 遱 遲 遳 遴 遵 遶 遷 選 遹 遺 遻 遼 遽 遾 避 邀 邁 邂 邃 還 邅 邆 邇 邈 邉 邊 邋 邌 邍 邎 邏 邐 邑 邒 邓 邔 邕 邖 邗 邘 邙 邚 邛 邜 邝 邞 邟 邠 邡 邢 那 邤 邥 邦 邧 邨 邩 邪 邫 邬 邭 邮 邯 邰 邱 邲 邳 邴 邵 邶 邷 邸 邹 邺 邻 邼 邽 邾 邿 郀 郁 郂 郃 郄 郅 郆 郇 郈 郉 郊 郋 郌 郍 郎 郏 郐 郑 郒 郓 郔 郕 郖 郗 郘 郙 郚 郛 郜 郝 郞 郟 郠 郡 郢 郣 郤 郥 郦 郧 部 郩 郪 郫 郬 郭 郮 郯 郰 郱 郲 郳 郴 郵 郶 郷 郸 郹 郺 郻 郼 都 郾 郿</t>
        </is>
      </c>
      <c r="P216" s="37" t="inlineStr">
        <is>
          <t>退 送 适 逃 逄 逅 逆 逇 逈 选 逊 逋 逌 逍 逎 透 逐 逑 递 逓 途 逕 逖 逗 逘 這 通 逛 逜 逝 逞 速 造 逡 逢 連 逤 逥 逦 逧 逨 逩 逪 逫 逬 逭 逮 逯 逰 週 進 逳 逴 逵 逶 逷 逸 逹 逺 逻 逼 逽 逾 逿 遀 遁 遂 遃 遄 遅 遆 遇 遈 遉 遊 運 遌 遍 過 遏 遐 遑 遒 道 達 違 遖 遗 遘 遙 遚 遛 遜 遝 遞 遟 遠 遡 遢 遣 遤 遥 遦 遧 遨 適 遪 遫 遬 遭 遮 遯 遰 遱 遲 遳 遴 遵 遶 遷 選 遹 遺 遻 遼 遽 遾 避 邀 邁 邂 邃 還 邅 邆 邇 邈 邉 邊 邋 邌 邍 邎 邏 邐 邑 邒 邓 邔 邕 邖 邗 邘 邙 邚 邛 邜 邝 邞 邟 邠 邡 邢 那 邤 邥 邦 邧 邨 邩 邪 邫 邬 邭 邮 邯 邰 邱 邲 邳 邴 邵 邶 邷 邸 邹 邺 邻 邼 邽 邾 邿 郀 郁 郂 郃 郄 郅 郆 郇 郈 郉 郊 郋 郌 郍 郎 郏 郐 郑 郒 郓 郔 郕 郖 郗 郘 郙 郚 郛 郜 郝 郞 郟 郠 郡 郢 郣 郤 郥 郦 郧 部 郩 郪 郫 郬 郭 郮 郯 郰 郱 郲 郳 郴 郵 郶 郷 郸 郹 郺 郻 郼 都 郾 郿</t>
        </is>
      </c>
      <c r="Q216" s="38" t="inlineStr">
        <is>
          <t>退 送 适 逃 逄 逅 逆 逇 逈 选 逊 逋 逌 逍 逎 透 逐 逑 递 逓 途 逕 逖 逗 逘 這 通 逛 逜 逝 逞 速 造 逡 逢 連 逤 逥 逦 逧 逨 逩 逪 逫 逬 逭 逮 逯 逰 週 進 逳 逴 逵 逶 逷 逸 逹 逺 逻 逼 逽 逾 逿 遀 遁 遂 遃 遄 遅 遆 遇 遈 遉 遊 運 遌 遍 過 遏 遐 遑 遒 道 達 違 遖 遗 遘 遙 遚 遛 遜 遝 遞 遟 遠 遡 遢 遣 遤 遥 遦 遧 遨 適 遪 遫 遬 遭 遮 遯 遰 遱 遲 遳 遴 遵 遶 遷 選 遹 遺 遻 遼 遽 遾 避 邀 邁 邂 邃 還 邅 邆 邇 邈 邉 邊 邋 邌 邍 邎 邏 邐 邑 邒 邓 邔 邕 邖 邗 邘 邙 邚 邛 邜 邝 邞 邟 邠 邡 邢 那 邤 邥 邦 邧 邨 邩 邪 邫 邬 邭 邮 邯 邰 邱 邲 邳 邴 邵 邶 邷 邸 邹 邺 邻 邼 邽 邾 邿 郀 郁 郂 郃 郄 郅 郆 郇 郈 郉 郊 郋 郌 郍 郎 郏 郐 郑 郒 郓 郔 郕 郖 郗 郘 郙 郚 郛 郜 郝 郞 郟 郠 郡 郢 郣 郤 郥 郦 郧 部 郩 郪 郫 郬 郭 郮 郯 郰 郱 郲 郳 郴 郵 郶 郷 郸 郹 郺 郻 郼 都 郾 郿</t>
        </is>
      </c>
      <c r="R216" s="43" t="inlineStr">
        <is>
          <t>退 送 适 逃 逄 逅 逆 逇 逈 选 逊 逋 逌 逍 逎 透 逐 逑 递 逓 途 逕 逖 逗 逘 這 通 逛 逜 逝 逞 速 造 逡 逢 連 逤 逥 逦 逧 逨 逩 逪 逫 逬 逭 逮 逯 逰 週 進 逳 逴 逵 逶 逷 逸 逹 逺 逻 逼 逽 逾 逿 遀 遁 遂 遃 遄 遅 遆 遇 遈 遉 遊 運 遌 遍 過 遏 遐 遑 遒 道 達 違 遖 遗 遘 遙 遚 遛 遜 遝 遞 遟 遠 遡 遢 遣 遤 遥 遦 遧 遨 適 遪 遫 遬 遭 遮 遯 遰 遱 遲 遳 遴 遵 遶 遷 選 遹 遺 遻 遼 遽 遾 避 邀 邁 邂 邃 還 邅 邆 邇 邈 邉 邊 邋 邌 邍 邎 邏 邐 邑 邕 邗 邘 邞 邢 邤 邪 邫 邻 邽 邾 郃 郔 郗 郚 郡 部 郶 郺 郼 都</t>
        </is>
      </c>
      <c r="S216" s="40" t="n"/>
      <c r="V216" s="14">
        <f>(LEN(O216)+1)/2</f>
        <v/>
      </c>
      <c r="W216" s="14">
        <f>ROUNDDOWN((LEN(P216)+1)/2,0)</f>
        <v/>
      </c>
      <c r="X216" s="14">
        <f>ROUNDDOWN((LEN(Q216)+1)/2,0)</f>
        <v/>
      </c>
      <c r="Y216" s="14">
        <f>ROUNDDOWN((LEN(R216)+1)/2,0)</f>
        <v/>
      </c>
      <c r="Z216" s="14">
        <f>ROUNDDOWN((LEN(S216)+1)/2,0)</f>
        <v/>
      </c>
      <c r="AA216" s="56" t="n">
        <v>46150.55854045839</v>
      </c>
    </row>
    <row r="217" ht="102" customHeight="1">
      <c r="B217" s="46" t="inlineStr">
        <is>
          <t>U+9100-U+91FF</t>
        </is>
      </c>
      <c r="C217" s="46" t="inlineStr">
        <is>
          <t>CJK Unified Ideographs</t>
        </is>
      </c>
      <c r="D217" s="54">
        <f>HEX2DEC(MID(B217,3,FIND("-",E217)-3))</f>
        <v/>
      </c>
      <c r="E217" s="46" t="inlineStr">
        <is>
          <t>U+4E00-U+9FFF</t>
        </is>
      </c>
      <c r="F217" s="12" t="n">
        <v>3</v>
      </c>
      <c r="J217" s="19">
        <f>ROUNDDOWN(W217,0)/$V217</f>
        <v/>
      </c>
      <c r="K217" s="19">
        <f>ROUNDDOWN(X217,0)/$V217</f>
        <v/>
      </c>
      <c r="L217" s="19">
        <f>ROUNDDOWN(Y217,0)/$V217</f>
        <v/>
      </c>
      <c r="M217" s="19">
        <f>ROUNDDOWN(Z217,0)/$V217</f>
        <v/>
      </c>
      <c r="O217" s="36" t="inlineStr">
        <is>
          <t>鄀 鄁 鄂 鄃 鄄 鄅 鄆 鄇 鄈 鄉 鄊 鄋 鄌 鄍 鄎 鄏 鄐 鄑 鄒 鄓 鄔 鄕 鄖 鄗 鄘 鄙 鄚 鄛 鄜 鄝 鄞 鄟 鄠 鄡 鄢 鄣 鄤 鄥 鄦 鄧 鄨 鄩 鄪 鄫 鄬 鄭 鄮 鄯 鄰 鄱 鄲 鄳 鄴 鄵 鄶 鄷 鄸 鄹 鄺 鄻 鄼 鄽 鄾 鄿 酀 酁 酂 酃 酄 酅 酆 酇 酈 酉 酊 酋 酌 配 酎 酏 酐 酑 酒 酓 酔 酕 酖 酗 酘 酙 酚 酛 酜 酝 酞 酟 酠 酡 酢 酣 酤 酥 酦 酧 酨 酩 酪 酫 酬 酭 酮 酯 酰 酱 酲 酳 酴 酵 酶 酷 酸 酹 酺 酻 酼 酽 酾 酿 醀 醁 醂 醃 醄 醅 醆 醇 醈 醉 醊 醋 醌 醍 醎 醏 醐 醑 醒 醓 醔 醕 醖 醗 醘 醙 醚 醛 醜 醝 醞 醟 醠 醡 醢 醣 醤 醥 醦 醧 醨 醩 醪 醫 醬 醭 醮 醯 醰 醱 醲 醳 醴 醵 醶 醷 醸 醹 醺 醻 醼 醽 醾 醿 釀 釁 釂 釃 釄 釅 釆 采 釈 釉 释 釋 里 重 野 量 釐 金 釒 釓 釔 釕 釖 釗 釘 釙 釚 釛 釜 針 釞 釟 釠 釡 釢 釣 釤 釥 釦 釧 釨 釩 釪 釫 釬 釭 釮 釯 釰 釱 釲 釳 釴 釵 釶 釷 釸 釹 釺 釻 釼 釽 釾 釿</t>
        </is>
      </c>
      <c r="P217" s="37" t="inlineStr">
        <is>
          <t>鄀 鄁 鄂 鄃 鄄 鄅 鄆 鄇 鄈 鄉 鄊 鄋 鄌 鄍 鄎 鄏 鄐 鄑 鄒 鄓 鄔 鄕 鄖 鄗 鄘 鄙 鄚 鄛 鄜 鄝 鄞 鄟 鄠 鄡 鄢 鄣 鄤 鄥 鄦 鄧 鄨 鄩 鄪 鄫 鄬 鄭 鄮 鄯 鄰 鄱 鄲 鄳 鄴 鄵 鄶 鄷 鄸 鄹 鄺 鄻 鄼 鄽 鄾 鄿 酀 酁 酂 酃 酄 酅 酆 酇 酈 酉 酊 酋 酌 配 酎 酏 酐 酑 酒 酓 酔 酕 酖 酗 酘 酙 酚 酛 酜 酝 酞 酟 酠 酡 酢 酣 酤 酥 酦 酧 酨 酩 酪 酫 酬 酭 酮 酯 酰 酱 酲 酳 酴 酵 酶 酷 酸 酹 酺 酻 酼 酽 酾 酿 醀 醁 醂 醃 醄 醅 醆 醇 醈 醉 醊 醋 醌 醍 醎 醏 醐 醑 醒 醓 醔 醕 醖 醗 醘 醙 醚 醛 醜 醝 醞 醟 醠 醡 醢 醣 醤 醥 醦 醧 醨 醩 醪 醫 醬 醭 醮 醯 醰 醱 醲 醳 醴 醵 醶 醷 醸 醹 醺 醻 醼 醽 醾 醿 釀 釁 釂 釃 釄 釅 釆 采 釈 釉 释 釋 里 重 野 量 釐 金 釒 釓 釔 釕 釖 釗 釘 釙 釚 釛 釜 針 釞 釟 釠 釡 釢 釣 釤 釥 釦 釧 釨 釩 釪 釫 釬 釭 釮 釯 釰 釱 釲 釳 釴 釵 釶 釷 釸 釹 釺 釻 釼 釽 釾 釿</t>
        </is>
      </c>
      <c r="Q217" s="38" t="inlineStr">
        <is>
          <t>鄀 鄁 鄂 鄃 鄄 鄅 鄆 鄇 鄈 鄉 鄊 鄋 鄌 鄍 鄎 鄏 鄐 鄑 鄒 鄓 鄔 鄕 鄖 鄗 鄘 鄙 鄚 鄛 鄜 鄝 鄞 鄟 鄠 鄡 鄢 鄣 鄤 鄥 鄦 鄧 鄨 鄩 鄪 鄫 鄬 鄭 鄮 鄯 鄰 鄱 鄲 鄳 鄴 鄵 鄶 鄷 鄸 鄹 鄺 鄻 鄼 鄽 鄾 鄿 酀 酁 酂 酃 酄 酅 酆 酇 酈 酉 酊 酋 酌 配 酎 酏 酐 酑 酒 酓 酔 酕 酖 酗 酘 酙 酚 酛 酜 酝 酞 酟 酠 酡 酢 酣 酤 酥 酦 酧 酨 酩 酪 酫 酬 酭 酮 酯 酰 酱 酲 酳 酴 酵 酶 酷 酸 酹 酺 酻 酼 酽 酾 酿 醀 醁 醂 醃 醄 醅 醆 醇 醈 醉 醊 醋 醌 醍 醎 醏 醐 醑 醒 醓 醔 醕 醖 醗 醘 醙 醚 醛 醜 醝 醞 醟 醠 醡 醢 醣 醤 醥 醦 醧 醨 醩 醪 醫 醬 醭 醮 醯 醰 醱 醲 醳 醴 醵 醶 醷 醸 醹 醺 醻 醼 醽 醾 醿 釀 釁 釂 釃 釄 釅 釆 采 釈 釉 释 釋 里 重 野 量 釐 金 釒 釓 釔 釕 釖 釗 釘 釙 釚 釛 釜 針 釞 釟 釠 釡 釢 釣 釤 釥 釦 釧 釨 釩 釪 釫 釬 釭 釮 釯 釰 釱 釲 釳 釴 釵 釶 釷 釸 釹 釺 釻 釼 釽 釾 釿</t>
        </is>
      </c>
      <c r="R217" s="43" t="inlineStr">
        <is>
          <t>鄇 鄊 鄑 鄔 鄙 鄛 鄞 鄨 鄶 酂 酇 酉 酊 酋 酏 酑 酒 酓 酔 酖 酘 酚 酛 酜 酞 酟 酢 酦 酧 酨 酩 酬 酭 酰 酱 酴 酵 酶 酹 酼 酽 醀 醂 醃 醄 醈 醉 醊 醋 醍 醎 醏 醐 醓 醔 醕 醖 醗 醘 醚 醜 醝 醞 醟 醠 醡 醢 醣 醤 醪 醫 醬 醮 醱 醲 醳 醵 醶 醷 醸 醼 醾 醿 釀 釁 釃 釄 釅 釆 采 釈 释 釋 里 重 量 釐 金 釒 釕 釖 釘 釚 釛 釜 針 釞 釠 釡 釢 釣 釤 釨 釩 釪 釫 釬 釭 釮 釯 釰 釱 釳 釴 釵 釶 釷 釸 釹 釺 釻 釼 釽 釾 釿</t>
        </is>
      </c>
      <c r="S217" s="40" t="n"/>
      <c r="V217" s="14">
        <f>(LEN(O217)+1)/2</f>
        <v/>
      </c>
      <c r="W217" s="14">
        <f>ROUNDDOWN((LEN(P217)+1)/2,0)</f>
        <v/>
      </c>
      <c r="X217" s="14">
        <f>ROUNDDOWN((LEN(Q217)+1)/2,0)</f>
        <v/>
      </c>
      <c r="Y217" s="14">
        <f>ROUNDDOWN((LEN(R217)+1)/2,0)</f>
        <v/>
      </c>
      <c r="Z217" s="14">
        <f>ROUNDDOWN((LEN(S217)+1)/2,0)</f>
        <v/>
      </c>
      <c r="AA217" s="56" t="n">
        <v>46150.55854373481</v>
      </c>
    </row>
    <row r="218" ht="102" customHeight="1">
      <c r="B218" s="46" t="inlineStr">
        <is>
          <t>U+9200-U+92FF</t>
        </is>
      </c>
      <c r="C218" s="46" t="inlineStr">
        <is>
          <t>CJK Unified Ideographs</t>
        </is>
      </c>
      <c r="D218" s="54">
        <f>HEX2DEC(MID(B218,3,FIND("-",E218)-3))</f>
        <v/>
      </c>
      <c r="E218" s="46" t="inlineStr">
        <is>
          <t>U+4E00-U+9FFF</t>
        </is>
      </c>
      <c r="F218" s="12" t="n">
        <v>3</v>
      </c>
      <c r="J218" s="19">
        <f>ROUNDDOWN(W218,0)/$V218</f>
        <v/>
      </c>
      <c r="K218" s="19">
        <f>ROUNDDOWN(X218,0)/$V218</f>
        <v/>
      </c>
      <c r="L218" s="19">
        <f>ROUNDDOWN(Y218,0)/$V218</f>
        <v/>
      </c>
      <c r="M218" s="19">
        <f>ROUNDDOWN(Z218,0)/$V218</f>
        <v/>
      </c>
      <c r="O218" s="36" t="inlineStr">
        <is>
          <t>鈀 鈁 鈂 鈃 鈄 鈅 鈆 鈇 鈈 鈉 鈊 鈋 鈌 鈍 鈎 鈏 鈐 鈑 鈒 鈓 鈔 鈕 鈖 鈗 鈘 鈙 鈚 鈛 鈜 鈝 鈞 鈟 鈠 鈡 鈢 鈣 鈤 鈥 鈦 鈧 鈨 鈩 鈪 鈫 鈬 鈭 鈮 鈯 鈰 鈱 鈲 鈳 鈴 鈵 鈶 鈷 鈸 鈹 鈺 鈻 鈼 鈽 鈾 鈿 鉀 鉁 鉂 鉃 鉄 鉅 鉆 鉇 鉈 鉉 鉊 鉋 鉌 鉍 鉎 鉏 鉐 鉑 鉒 鉓 鉔 鉕 鉖 鉗 鉘 鉙 鉚 鉛 鉜 鉝 鉞 鉟 鉠 鉡 鉢 鉣 鉤 鉥 鉦 鉧 鉨 鉩 鉪 鉫 鉬 鉭 鉮 鉯 鉰 鉱 鉲 鉳 鉴 鉵 鉶 鉷 鉸 鉹 鉺 鉻 鉼 鉽 鉾 鉿 銀 銁 銂 銃 銄 銅 銆 銇 銈 銉 銊 銋 銌 銍 銎 銏 銐 銑 銒 銓 銔 銕 銖 銗 銘 銙 銚 銛 銜 銝 銞 銟 銠 銡 銢 銣 銤 銥 銦 銧 銨 銩 銪 銫 銬 銭 銮 銯 銰 銱 銲 銳 銴 銵 銶 銷 銸 銹 銺 銻 銼 銽 銾 銿 鋀 鋁 鋂 鋃 鋄 鋅 鋆 鋇 鋈 鋉 鋊 鋋 鋌 鋍 鋎 鋏 鋐 鋑 鋒 鋓 鋔 鋕 鋖 鋗 鋘 鋙 鋚 鋛 鋜 鋝 鋞 鋟 鋠 鋡 鋢 鋣 鋤 鋥 鋦 鋧 鋨 鋩 鋪 鋫 鋬 鋭 鋮 鋯 鋰 鋱 鋲 鋳 鋴 鋵 鋶 鋷 鋸 鋹 鋺 鋻 鋼 鋽 鋾 鋿</t>
        </is>
      </c>
      <c r="P218" s="37" t="inlineStr">
        <is>
          <t>鈀 鈁 鈂 鈃 鈄 鈅 鈆 鈇 鈈 鈉 鈊 鈋 鈌 鈍 鈎 鈏 鈐 鈑 鈒 鈓 鈔 鈕 鈖 鈗 鈘 鈙 鈚 鈛 鈜 鈝 鈞 鈟 鈠 鈡 鈢 鈣 鈤 鈥 鈦 鈧 鈨 鈩 鈪 鈫 鈬 鈭 鈮 鈯 鈰 鈱 鈲 鈳 鈴 鈵 鈶 鈷 鈸 鈹 鈺 鈻 鈼 鈽 鈾 鈿 鉀 鉁 鉂 鉃 鉄 鉅 鉆 鉇 鉈 鉉 鉊 鉋 鉌 鉍 鉎 鉏 鉐 鉑 鉒 鉓 鉔 鉕 鉖 鉗 鉘 鉙 鉚 鉛 鉜 鉝 鉞 鉟 鉠 鉡 鉢 鉣 鉤 鉥 鉦 鉧 鉨 鉩 鉪 鉫 鉬 鉭 鉮 鉯 鉰 鉱 鉲 鉳 鉴 鉵 鉶 鉷 鉸 鉹 鉺 鉻 鉼 鉽 鉾 鉿 銀 銁 銂 銃 銄 銅 銆 銇 銈 銉 銊 銋 銌 銍 銎 銏 銐 銑 銒 銓 銔 銕 銖 銗 銘 銙 銚 銛 銜 銝 銞 銟 銠 銡 銢 銣 銤 銥 銦 銧 銨 銩 銪 銫 銬 銭 銮 銯 銰 銱 銲 銳 銴 銵 銶 銷 銸 銹 銺 銻 銼 銽 銾 銿 鋀 鋁 鋂 鋃 鋄 鋅 鋆 鋇 鋈 鋉 鋊 鋋 鋌 鋍 鋎 鋏 鋐 鋑 鋒 鋓 鋔 鋕 鋖 鋗 鋘 鋙 鋚 鋛 鋜 鋝 鋞 鋟 鋠 鋡 鋢 鋣 鋤 鋥 鋦 鋧 鋨 鋩 鋪 鋫 鋬 鋭 鋮 鋯 鋰 鋱 鋲 鋳 鋴 鋵 鋶 鋷 鋸 鋹 鋺 鋻 鋼 鋽 鋾 鋿</t>
        </is>
      </c>
      <c r="Q218" s="38" t="inlineStr">
        <is>
          <t>鈀 鈁 鈂 鈃 鈄 鈅 鈆 鈇 鈈 鈉 鈊 鈋 鈌 鈍 鈎 鈏 鈐 鈑 鈒 鈓 鈔 鈕 鈖 鈗 鈘 鈙 鈚 鈛 鈜 鈝 鈞 鈟 鈠 鈡 鈢 鈣 鈤 鈥 鈦 鈧 鈨 鈩 鈪 鈫 鈬 鈭 鈮 鈯 鈰 鈱 鈲 鈳 鈴 鈵 鈶 鈷 鈸 鈹 鈺 鈻 鈼 鈽 鈾 鈿 鉀 鉁 鉂 鉃 鉄 鉅 鉆 鉇 鉈 鉉 鉊 鉋 鉌 鉍 鉎 鉏 鉐 鉑 鉒 鉓 鉔 鉕 鉖 鉗 鉘 鉙 鉚 鉛 鉜 鉝 鉞 鉟 鉠 鉡 鉢 鉣 鉤 鉥 鉦 鉧 鉨 鉩 鉪 鉫 鉬 鉭 鉮 鉯 鉰 鉱 鉲 鉳 鉴 鉵 鉶 鉷 鉸 鉹 鉺 鉻 鉼 鉽 鉾 鉿 銀 銁 銂 銃 銄 銅 銆 銇 銈 銉 銊 銋 銌 銍 銎 銏 銐 銑 銒 銓 銔 銕 銖 銗 銘 銙 銚 銛 銜 銝 銞 銟 銠 銡 銢 銣 銤 銥 銦 銧 銨 銩 銪 銫 銬 銭 銮 銯 銰 銱 銲 銳 銴 銵 銶 銷 銸 銹 銺 銻 銼 銽 銾 銿 鋀 鋁 鋂 鋃 鋄 鋅 鋆 鋇 鋈 鋉 鋊 鋋 鋌 鋍 鋎 鋏 鋐 鋑 鋒 鋓 鋔 鋕 鋖 鋗 鋘 鋙 鋚 鋛 鋜 鋝 鋞 鋟 鋠 鋡 鋢 鋣 鋤 鋥 鋦 鋧 鋨 鋩 鋪 鋫 鋬 鋭 鋮 鋯 鋰 鋱 鋲 鋳 鋴 鋵 鋶 鋷 鋸 鋹 鋺 鋻 鋼 鋽 鋾 鋿</t>
        </is>
      </c>
      <c r="R218" s="43" t="inlineStr">
        <is>
          <t>鈁 鈂 鈃 鈄 鈅 鈇 鈈 鈋 鈌 鈎 鈐 鈑 鈒 鈓 鈔 鈕 鈖 鈗 鈘 鈙 鈛 鈜 鈝 鈞 鈟 鈠 鈢 鈥 鈦 鈧 鈨 鈩 鈪 鈫 鈬 鈭 鈮 鈲 鈳 鈴 鈶 鈷 鈸 鈹 鈺 鈼 鈽 鉁 鉂 鉃 鉄 鉇 鉈 鉋 鉌 鉍 鉎 鉏 鉐 鉒 鉓 鉖 鉗 鉙 鉛 鉜 鉟 鉠 鉡 鉢 鉣 鉤 鉥 鉦 鉧 鉨 鉩 鉪 鉭 鉰 鉱 鉲 鉴 鉸 鉺 鉼 鉿 銁 銂 銃 銆 銇 銈 銉 銊 銋 銌 銍 銎 銏 銐 銑 銓 銔 銕 銖 銗 銘 銛 銜 銝 銞 銠 銡 銢 銤 銥 銧 銨 銩 銪 銫 銬 銭 銮 銯 銰 銲 銳 銴 銵 銶 銸 銹 銺 銻 銼 銽 銾 鋀 鋁 鋂 鋄 鋅 鋆 鋇 鋈 鋉 鋊 鋋 鋌 鋍 鋎 鋏 鋐 鋑 鋒 鋔 鋕 鋖 鋘 鋙 鋚 鋜 鋞 鋟 鋠 鋡 鋢 鋤 鋥 鋦 鋧 鋩 鋪 鋫 鋬 鋭 鋮 鋯 鋰 鋱 鋲 鋳 鋴 鋵 鋶 鋷 鋸 鋹 鋺 鋻 鋽</t>
        </is>
      </c>
      <c r="S218" s="40" t="n"/>
      <c r="V218" s="14">
        <f>(LEN(O218)+1)/2</f>
        <v/>
      </c>
      <c r="W218" s="14">
        <f>ROUNDDOWN((LEN(P218)+1)/2,0)</f>
        <v/>
      </c>
      <c r="X218" s="14">
        <f>ROUNDDOWN((LEN(Q218)+1)/2,0)</f>
        <v/>
      </c>
      <c r="Y218" s="14">
        <f>ROUNDDOWN((LEN(R218)+1)/2,0)</f>
        <v/>
      </c>
      <c r="Z218" s="14">
        <f>ROUNDDOWN((LEN(S218)+1)/2,0)</f>
        <v/>
      </c>
      <c r="AA218" s="56" t="n">
        <v>46150.55854692112</v>
      </c>
    </row>
    <row r="219" ht="102" customHeight="1">
      <c r="B219" s="46" t="inlineStr">
        <is>
          <t>U+9300-U+93FF</t>
        </is>
      </c>
      <c r="C219" s="46" t="inlineStr">
        <is>
          <t>CJK Unified Ideographs</t>
        </is>
      </c>
      <c r="D219" s="54">
        <f>HEX2DEC(MID(B219,3,FIND("-",E219)-3))</f>
        <v/>
      </c>
      <c r="E219" s="46" t="inlineStr">
        <is>
          <t>U+4E00-U+9FFF</t>
        </is>
      </c>
      <c r="F219" s="12" t="n">
        <v>3</v>
      </c>
      <c r="J219" s="19">
        <f>ROUNDDOWN(W219,0)/$V219</f>
        <v/>
      </c>
      <c r="K219" s="19">
        <f>ROUNDDOWN(X219,0)/$V219</f>
        <v/>
      </c>
      <c r="L219" s="19">
        <f>ROUNDDOWN(Y219,0)/$V219</f>
        <v/>
      </c>
      <c r="M219" s="19">
        <f>ROUNDDOWN(Z219,0)/$V219</f>
        <v/>
      </c>
      <c r="O219" s="36" t="inlineStr">
        <is>
          <t>錀 錁 錂 錃 錄 錅 錆 錇 錈 錉 錊 錋 錌 錍 錎 錏 錐 錑 錒 錓 錔 錕 錖 錗 錘 錙 錚 錛 錜 錝 錞 錟 錠 錡 錢 錣 錤 錥 錦 錧 錨 錩 錪 錫 錬 錭 錮 錯 錰 錱 録 錳 錴 錵 錶 錷 錸 錹 錺 錻 錼 錽 錾 錿 鍀 鍁 鍂 鍃 鍄 鍅 鍆 鍇 鍈 鍉 鍊 鍋 鍌 鍍 鍎 鍏 鍐 鍑 鍒 鍓 鍔 鍕 鍖 鍗 鍘 鍙 鍚 鍛 鍜 鍝 鍞 鍟 鍠 鍡 鍢 鍣 鍤 鍥 鍦 鍧 鍨 鍩 鍪 鍫 鍬 鍭 鍮 鍯 鍰 鍱 鍲 鍳 鍴 鍵 鍶 鍷 鍸 鍹 鍺 鍻 鍼 鍽 鍾 鍿 鎀 鎁 鎂 鎃 鎄 鎅 鎆 鎇 鎈 鎉 鎊 鎋 鎌 鎍 鎎 鎏 鎐 鎑 鎒 鎓 鎔 鎕 鎖 鎗 鎘 鎙 鎚 鎛 鎜 鎝 鎞 鎟 鎠 鎡 鎢 鎣 鎤 鎥 鎦 鎧 鎨 鎩 鎪 鎫 鎬 鎭 鎮 鎯 鎰 鎱 鎲 鎳 鎴 鎵 鎶 鎷 鎸 鎹 鎺 鎻 鎼 鎽 鎾 鎿 鏀 鏁 鏂 鏃 鏄 鏅 鏆 鏇 鏈 鏉 鏊 鏋 鏌 鏍 鏎 鏏 鏐 鏑 鏒 鏓 鏔 鏕 鏖 鏗 鏘 鏙 鏚 鏛 鏜 鏝 鏞 鏟 鏠 鏡 鏢 鏣 鏤 鏥 鏦 鏧 鏨 鏩 鏪 鏫 鏬 鏭 鏮 鏯 鏰 鏱 鏲 鏳 鏴 鏵 鏶 鏷 鏸 鏹 鏺 鏻 鏼 鏽 鏾 鏿</t>
        </is>
      </c>
      <c r="P219" s="37" t="inlineStr">
        <is>
          <t>錀 錁 錂 錃 錄 錅 錆 錇 錈 錉 錊 錋 錌 錍 錎 錏 錐 錑 錒 錓 錔 錕 錖 錗 錘 錙 錚 錛 錜 錝 錞 錟 錠 錡 錢 錣 錤 錥 錦 錧 錨 錩 錪 錫 錬 錭 錮 錯 錰 錱 録 錳 錴 錵 錶 錷 錸 錹 錺 錻 錼 錽 錾 錿 鍀 鍁 鍂 鍃 鍄 鍅 鍆 鍇 鍈 鍉 鍊 鍋 鍌 鍍 鍎 鍏 鍐 鍑 鍒 鍓 鍔 鍕 鍖 鍗 鍘 鍙 鍚 鍛 鍜 鍝 鍞 鍟 鍠 鍡 鍢 鍣 鍤 鍥 鍦 鍧 鍨 鍩 鍪 鍫 鍬 鍭 鍮 鍯 鍰 鍱 鍲 鍳 鍴 鍵 鍶 鍷 鍸 鍹 鍺 鍻 鍼 鍽 鍾 鍿 鎀 鎁 鎂 鎃 鎄 鎅 鎆 鎇 鎈 鎉 鎊 鎋 鎌 鎍 鎎 鎏 鎐 鎑 鎒 鎓 鎔 鎕 鎖 鎗 鎘 鎙 鎚 鎛 鎜 鎝 鎞 鎟 鎠 鎡 鎢 鎣 鎤 鎥 鎦 鎧 鎨 鎩 鎪 鎫 鎬 鎭 鎮 鎯 鎰 鎱 鎲 鎳 鎴 鎵 鎶 鎷 鎸 鎹 鎺 鎻 鎼 鎽 鎾 鎿 鏀 鏁 鏂 鏃 鏄 鏅 鏆 鏇 鏈 鏉 鏊 鏋 鏌 鏍 鏎 鏏 鏐 鏑 鏒 鏓 鏔 鏕 鏖 鏗 鏘 鏙 鏚 鏛 鏜 鏝 鏞 鏟 鏠 鏡 鏢 鏣 鏤 鏥 鏦 鏧 鏨 鏩 鏪 鏫 鏬 鏭 鏮 鏯 鏰 鏱 鏲 鏳 鏴 鏵 鏶 鏷 鏸 鏹 鏺 鏻 鏼 鏽 鏾 鏿</t>
        </is>
      </c>
      <c r="Q219" s="38" t="inlineStr">
        <is>
          <t>錀 錁 錂 錃 錄 錅 錆 錇 錈 錉 錊 錋 錌 錍 錎 錏 錐 錑 錒 錓 錔 錕 錖 錗 錘 錙 錚 錛 錜 錝 錞 錟 錠 錡 錢 錣 錤 錥 錦 錧 錨 錩 錪 錫 錬 錭 錮 錯 錰 錱 録 錳 錴 錵 錶 錷 錸 錹 錺 錻 錼 錽 錾 錿 鍀 鍁 鍂 鍃 鍄 鍅 鍆 鍇 鍈 鍉 鍊 鍋 鍌 鍍 鍎 鍏 鍐 鍑 鍒 鍓 鍔 鍕 鍖 鍗 鍘 鍙 鍚 鍛 鍜 鍝 鍞 鍟 鍠 鍡 鍢 鍣 鍤 鍥 鍦 鍧 鍨 鍩 鍪 鍫 鍬 鍭 鍮 鍯 鍰 鍱 鍲 鍳 鍴 鍵 鍶 鍷 鍸 鍹 鍺 鍻 鍼 鍽 鍾 鍿 鎀 鎁 鎂 鎃 鎄 鎅 鎆 鎇 鎈 鎉 鎊 鎋 鎌 鎍 鎎 鎏 鎐 鎑 鎒 鎓 鎔 鎕 鎖 鎗 鎘 鎙 鎚 鎛 鎜 鎝 鎞 鎟 鎠 鎡 鎢 鎣 鎤 鎥 鎦 鎧 鎨 鎩 鎪 鎫 鎬 鎭 鎮 鎯 鎰 鎱 鎲 鎳 鎴 鎵 鎶 鎷 鎸 鎹 鎺 鎻 鎼 鎽 鎾 鎿 鏀 鏁 鏂 鏃 鏄 鏅 鏆 鏇 鏈 鏉 鏊 鏋 鏌 鏍 鏎 鏏 鏐 鏑 鏒 鏓 鏔 鏕 鏖 鏗 鏘 鏙 鏚 鏛 鏜 鏝 鏞 鏟 鏠 鏡 鏢 鏣 鏤 鏥 鏦 鏧 鏨 鏩 鏪 鏫 鏬 鏭 鏮 鏯 鏰 鏱 鏲 鏳 鏴 鏵 鏶 鏷 鏸 鏹 鏺 鏻 鏼 鏽 鏾 鏿</t>
        </is>
      </c>
      <c r="R219" s="43" t="inlineStr">
        <is>
          <t>錀 錁 錂 錃 錄 錅 錆 錇 錈 錉 錊 錋 錌 錍 錎 錏 錐 錑 錓 錔 錖 錗 錙 錚 錛 錜 錝 錞 錟 錠 錡 錢 錣 錤 錥 錧 錨 錪 錫 錬 錭 錯 錰 錱 録 錳 錴 錵 錶 錸 錹 錺 錻 錽 錾 錿 鍀 鍁 鍂 鍃 鍄 鍅 鍈 鍉 鍊 鍌 鍍 鍎 鍐 鍑 鍒 鍓 鍕 鍖 鍗 鍙 鍚 鍛 鍝 鍞 鍟 鍡 鍣 鍤 鍥 鍦 鍧 鍨 鍩 鍪 鍫 鍬 鍭 鍮 鍯 鍰 鍱 鍳 鍴 鍵 鍶 鍷 鍹 鍺 鍻 鍼 鍽 鍾 鍿 鎀 鎂 鎃 鎄 鎅 鎇 鎈 鎉 鎊 鎋 鎌 鎍 鎎 鎏 鎐 鎑 鎒 鎓 鎔 鎕 鎗 鎙 鎚 鎛 鎜 鎝 鎟 鎠 鎢 鎣 鎤 鎥 鎧 鎨 鎩 鎪 鎫 鎮 鎰 鎱 鎲 鎳 鎴 鎶 鎸 鎹 鎺 鎻 鎼 鎾 鎿 鏁 鏃 鏄 鏅 鏆 鏇 鏈 鏉 鏊 鏌 鏍 鏑 鏒 鏓 鏔 鏕 鏖 鏙 鏚 鏛 鏜 鏝 鏞 鏟 鏠 鏡 鏢 鏣 鏤 鏥 鏦 鏧 鏨 鏩 鏪 鏫 鏬 鏭 鏮 鏯 鏰 鏱 鏴 鏵 鏶 鏷 鏸 鏹 鏺 鏻 鏼 鏽 鏾</t>
        </is>
      </c>
      <c r="S219" s="40" t="n"/>
      <c r="V219" s="14">
        <f>(LEN(O219)+1)/2</f>
        <v/>
      </c>
      <c r="W219" s="14">
        <f>ROUNDDOWN((LEN(P219)+1)/2,0)</f>
        <v/>
      </c>
      <c r="X219" s="14">
        <f>ROUNDDOWN((LEN(Q219)+1)/2,0)</f>
        <v/>
      </c>
      <c r="Y219" s="14">
        <f>ROUNDDOWN((LEN(R219)+1)/2,0)</f>
        <v/>
      </c>
      <c r="Z219" s="14">
        <f>ROUNDDOWN((LEN(S219)+1)/2,0)</f>
        <v/>
      </c>
      <c r="AA219" s="56" t="n">
        <v>46150.55855018622</v>
      </c>
    </row>
    <row r="220" ht="102" customHeight="1">
      <c r="B220" s="46" t="inlineStr">
        <is>
          <t>U+9400-U+94FF</t>
        </is>
      </c>
      <c r="C220" s="46" t="inlineStr">
        <is>
          <t>CJK Unified Ideographs</t>
        </is>
      </c>
      <c r="D220" s="54">
        <f>HEX2DEC(MID(B220,3,FIND("-",E220)-3))</f>
        <v/>
      </c>
      <c r="E220" s="46" t="inlineStr">
        <is>
          <t>U+4E00-U+9FFF</t>
        </is>
      </c>
      <c r="F220" s="12" t="n">
        <v>3</v>
      </c>
      <c r="J220" s="19">
        <f>ROUNDDOWN(W220,0)/$V220</f>
        <v/>
      </c>
      <c r="K220" s="19">
        <f>ROUNDDOWN(X220,0)/$V220</f>
        <v/>
      </c>
      <c r="L220" s="19">
        <f>ROUNDDOWN(Y220,0)/$V220</f>
        <v/>
      </c>
      <c r="M220" s="19">
        <f>ROUNDDOWN(Z220,0)/$V220</f>
        <v/>
      </c>
      <c r="O220" s="36" t="inlineStr">
        <is>
          <t>鐀 鐁 鐂 鐃 鐄 鐅 鐆 鐇 鐈 鐉 鐊 鐋 鐌 鐍 鐎 鐏 鐐 鐑 鐒 鐓 鐔 鐕 鐖 鐗 鐘 鐙 鐚 鐛 鐜 鐝 鐞 鐟 鐠 鐡 鐢 鐣 鐤 鐥 鐦 鐧 鐨 鐩 鐪 鐫 鐬 鐭 鐮 鐯 鐰 鐱 鐲 鐳 鐴 鐵 鐶 鐷 鐸 鐹 鐺 鐻 鐼 鐽 鐾 鐿 鑀 鑁 鑂 鑃 鑄 鑅 鑆 鑇 鑈 鑉 鑊 鑋 鑌 鑍 鑎 鑏 鑐 鑑 鑒 鑓 鑔 鑕 鑖 鑗 鑘 鑙 鑚 鑛 鑜 鑝 鑞 鑟 鑠 鑡 鑢 鑣 鑤 鑥 鑦 鑧 鑨 鑩 鑪 鑫 鑬 鑭 鑮 鑯 鑰 鑱 鑲 鑳 鑴 鑵 鑶 鑷 鑸 鑹 鑺 鑻 鑼 鑽 鑾 鑿 钀 钁 钂 钃 钄 钅 钆 钇 针 钉 钊 钋 钌 钍 钎 钏 钐 钑 钒 钓 钔 钕 钖 钗 钘 钙 钚 钛 钜 钝 钞 钟 钠 钡 钢 钣 钤 钥 钦 钧 钨 钩 钪 钫 钬 钭 钮 钯 钰 钱 钲 钳 钴 钵 钶 钷 钸 钹 钺 钻 钼 钽 钾 钿 铀 铁 铂 铃 铄 铅 铆 铇 铈 铉 铊 铋 铌 铍 铎 铏 铐 铑 铒 铓 铔 铕 铖 铗 铘 铙 铚 铛 铜 铝 铞 铟 铠 铡 铢 铣 铤 铥 铦 铧 铨 铩 铪 铫 铬 铭 铮 铯 铰 铱 铲 铳 铴 铵 银 铷 铸 铹 铺 铻 铼 铽 链 铿</t>
        </is>
      </c>
      <c r="P220" s="37" t="inlineStr">
        <is>
          <t>鐀 鐁 鐂 鐃 鐄 鐅 鐆 鐇 鐈 鐉 鐊 鐋 鐌 鐍 鐎 鐏 鐐 鐑 鐒 鐓 鐔 鐕 鐖 鐗 鐘 鐙 鐚 鐛 鐜 鐝 鐞 鐟 鐠 鐡 鐢 鐣 鐤 鐥 鐦 鐧 鐨 鐩 鐪 鐫 鐬 鐭 鐮 鐯 鐰 鐱 鐲 鐳 鐴 鐵 鐶 鐷 鐸 鐹 鐺 鐻 鐼 鐽 鐾 鐿 鑀 鑁 鑂 鑃 鑄 鑅 鑆 鑇 鑈 鑉 鑊 鑋 鑌 鑍 鑎 鑏 鑐 鑑 鑒 鑓 鑔 鑕 鑖 鑗 鑘 鑙 鑚 鑛 鑜 鑝 鑞 鑟 鑠 鑡 鑢 鑣 鑤 鑥 鑦 鑧 鑨 鑩 鑪 鑫 鑬 鑭 鑮 鑯 鑰 鑱 鑲 鑳 鑴 鑵 鑶 鑷 鑸 鑹 鑺 鑻 鑼 鑽 鑾 鑿 钀 钁 钂 钃 钄 钅 钆 钇 针 钉 钊 钋 钌 钍 钎 钏 钐 钑 钒 钓 钔 钕 钖 钗 钘 钙 钚 钛 钜 钝 钞 钟 钠 钡 钢 钣 钤 钥 钦 钧 钨 钩 钪 钫 钬 钭 钮 钯 钰 钱 钲 钳 钴 钵 钶 钷 钸 钹 钺 钻 钼 钽 钾 钿 铀 铁 铂 铃 铄 铅 铆 铇 铈 铉 铊 铋 铌 铍 铎 铏 铐 铑 铒 铓 铔 铕 铖 铗 铘 铙 铚 铛 铜 铝 铞 铟 铠 铡 铢 铣 铤 铥 铦 铧 铨 铩 铪 铫 铬 铭 铮 铯 铰 铱 铲 铳 铴 铵 银 铷 铸 铹 铺 铻 铼 铽 链 铿</t>
        </is>
      </c>
      <c r="Q220" s="38" t="inlineStr">
        <is>
          <t>鐀 鐁 鐂 鐃 鐄 鐅 鐆 鐇 鐈 鐉 鐊 鐋 鐌 鐍 鐎 鐏 鐐 鐑 鐒 鐓 鐔 鐕 鐖 鐗 鐘 鐙 鐚 鐛 鐜 鐝 鐞 鐟 鐠 鐡 鐢 鐣 鐤 鐥 鐦 鐧 鐨 鐩 鐪 鐫 鐬 鐭 鐮 鐯 鐰 鐱 鐲 鐳 鐴 鐵 鐶 鐷 鐸 鐹 鐺 鐻 鐼 鐽 鐾 鐿 鑀 鑁 鑂 鑃 鑄 鑅 鑆 鑇 鑈 鑉 鑊 鑋 鑌 鑍 鑎 鑏 鑐 鑑 鑒 鑓 鑔 鑕 鑖 鑗 鑘 鑙 鑚 鑛 鑜 鑝 鑞 鑟 鑠 鑡 鑢 鑣 鑤 鑥 鑦 鑧 鑨 鑩 鑪 鑫 鑬 鑭 鑮 鑯 鑰 鑱 鑲 鑳 鑴 鑵 鑶 鑷 鑸 鑹 鑺 鑻 鑼 鑽 鑾 鑿 钀 钁 钂 钃 钄 钅 钆 钇 针 钉 钊 钋 钌 钍 钎 钏 钐 钑 钒 钓 钔 钕 钖 钗 钘 钙 钚 钛 钜 钝 钞 钟 钠 钡 钢 钣 钤 钥 钦 钧 钨 钩 钪 钫 钬 钭 钮 钯 钰 钱 钲 钳 钴 钵 钶 钷 钸 钹 钺 钻 钼 钽 钾 钿 铀 铁 铂 铃 铄 铅 铆 铇 铈 铉 铊 铋 铌 铍 铎 铏 铐 铑 铒 铓 铔 铕 铖 铗 铘 铙 铚 铛 铜 铝 铞 铟 铠 铡 铢 铣 铤 铥 铦 铧 铨 铩 铪 铫 铬 铭 铮 铯 铰 铱 铲 铳 铴 铵 银 铷 铸 铹 铺 铻 铼 铽 链 铿</t>
        </is>
      </c>
      <c r="R220" s="43" t="inlineStr">
        <is>
          <t>鐀 鐁 鐃 鐄 鐅 鐆 鐇 鐈 鐉 鐊 鐋 鐌 鐍 鐎 鐏 鐐 鐒 鐕 鐖 鐘 鐙 鐚 鐛 鐜 鐝 鐞 鐟 鐠 鐡 鐢 鐣 鐤 鐥 鐨 鐩 鐪 鐬 鐭 鐮 鐯 鐰 鐱 鐲 鐳 鐴 鐶 鐷 鐸 鐹 鐺 鐻 鐼 鐽 鐾 鐿 鑀 鑁 鑂 鑃 鑅 鑆 鑇 鑈 鑉 鑊 鑋 鑍 鑏 鑐 鑑 鑒 鑓 鑔 鑕 鑖 鑗 鑘 鑙 鑚 鑛 鑜 鑝 鑟 鑠 鑡 鑢 鑣 鑤 鑥 鑦 鑧 鑪 鑫 鑬 鑮 鑰 鑱 鑲 鑳 鑴 鑵 鑶 鑷 鑸 鑹 鑺 鑻 鑼 鑽 鑾 鑿 钀 钁 钂 钃 钅 针 钌 钍 钎 钐 钑 钒 钓 钕 钗 钘 钙 钚 钛 钝 钞 钡 钣 钤 钥 钦 钧 钩 钪 钫 钬 钭 钮 钰 钱 钲 钳 钴 钵 钸 钹 钽 铁 铃 铄 铅 铇 铈 铊 铋 铌 铍 铎 铐 铑 铔 铕 铖 铗 铙 铚 铛 铣 铤 铥 铧 铨 铩 铪 铭 铯 铰 铱 铲 铳 铴 铵 铸 铹 铻 铼 铽 链</t>
        </is>
      </c>
      <c r="S220" s="40" t="n"/>
      <c r="V220" s="14">
        <f>(LEN(O220)+1)/2</f>
        <v/>
      </c>
      <c r="W220" s="14">
        <f>ROUNDDOWN((LEN(P220)+1)/2,0)</f>
        <v/>
      </c>
      <c r="X220" s="14">
        <f>ROUNDDOWN((LEN(Q220)+1)/2,0)</f>
        <v/>
      </c>
      <c r="Y220" s="14">
        <f>ROUNDDOWN((LEN(R220)+1)/2,0)</f>
        <v/>
      </c>
      <c r="Z220" s="14">
        <f>ROUNDDOWN((LEN(S220)+1)/2,0)</f>
        <v/>
      </c>
      <c r="AA220" s="56" t="n">
        <v>46150.55855326723</v>
      </c>
    </row>
    <row r="221" ht="102" customHeight="1">
      <c r="B221" s="46" t="inlineStr">
        <is>
          <t>U+9500-U+95FF</t>
        </is>
      </c>
      <c r="C221" s="46" t="inlineStr">
        <is>
          <t>CJK Unified Ideographs</t>
        </is>
      </c>
      <c r="D221" s="54">
        <f>HEX2DEC(MID(B221,3,FIND("-",E221)-3))</f>
        <v/>
      </c>
      <c r="E221" s="46" t="inlineStr">
        <is>
          <t>U+4E00-U+9FFF</t>
        </is>
      </c>
      <c r="F221" s="12" t="n">
        <v>3</v>
      </c>
      <c r="J221" s="19">
        <f>ROUNDDOWN(W221,0)/$V221</f>
        <v/>
      </c>
      <c r="K221" s="19">
        <f>ROUNDDOWN(X221,0)/$V221</f>
        <v/>
      </c>
      <c r="L221" s="19">
        <f>ROUNDDOWN(Y221,0)/$V221</f>
        <v/>
      </c>
      <c r="M221" s="19">
        <f>ROUNDDOWN(Z221,0)/$V221</f>
        <v/>
      </c>
      <c r="O221" s="36" t="inlineStr">
        <is>
          <t>销 锁 锂 锃 锄 锅 锆 锇 锈 锉 锊 锋 锌 锍 锎 锏 锐 锑 锒 锓 锔 锕 锖 锗 锘 错 锚 锛 锜 锝 锞 锟 锠 锡 锢 锣 锤 锥 锦 锧 锨 锩 锪 锫 锬 锭 键 锯 锰 锱 锲 锳 锴 锵 锶 锷 锸 锹 锺 锻 锼 锽 锾 锿 镀 镁 镂 镃 镄 镅 镆 镇 镈 镉 镊 镋 镌 镍 镎 镏 镐 镑 镒 镓 镔 镕 镖 镗 镘 镙 镚 镛 镜 镝 镞 镟 镠 镡 镢 镣 镤 镥 镦 镧 镨 镩 镪 镫 镬 镭 镮 镯 镰 镱 镲 镳 镴 镵 镶 長 镸 镹 镺 镻 镼 镽 镾 长 門 閁 閂 閃 閄 閅 閆 閇 閈 閉 閊 開 閌 閍 閎 閏 閐 閑 閒 間 閔 閕 閖 閗 閘 閙 閚 閛 閜 閝 閞 閟 閠 閡 関 閣 閤 閥 閦 閧 閨 閩 閪 閫 閬 閭 閮 閯 閰 閱 閲 閳 閴 閵 閶 閷 閸 閹 閺 閻 閼 閽 閾 閿 闀 闁 闂 闃 闄 闅 闆 闇 闈 闉 闊 闋 闌 闍 闎 闏 闐 闑 闒 闓 闔 闕 闖 闗 闘 闙 闚 闛 關 闝 闞 闟 闠 闡 闢 闣 闤 闥 闦 闧 门 闩 闪 闫 闬 闭 问 闯 闰 闱 闲 闳 间 闵 闶 闷 闸 闹 闺 闻 闼 闽 闾 闿</t>
        </is>
      </c>
      <c r="P221" s="37" t="inlineStr">
        <is>
          <t>销 锁 锂 锃 锄 锅 锆 锇 锈 锉 锊 锋 锌 锍 锎 锏 锐 锑 锒 锓 锔 锕 锖 锗 锘 错 锚 锛 锜 锝 锞 锟 锠 锡 锢 锣 锤 锥 锦 锧 锨 锩 锪 锫 锬 锭 键 锯 锰 锱 锲 锳 锴 锵 锶 锷 锸 锹 锺 锻 锼 锽 锾 锿 镀 镁 镂 镃 镄 镅 镆 镇 镈 镉 镊 镋 镌 镍 镎 镏 镐 镑 镒 镓 镔 镕 镖 镗 镘 镙 镚 镛 镜 镝 镞 镟 镠 镡 镢 镣 镤 镥 镦 镧 镨 镩 镪 镫 镬 镭 镮 镯 镰 镱 镲 镳 镴 镵 镶 長 镸 镹 镺 镻 镼 镽 镾 长 門 閁 閂 閃 閄 閅 閆 閇 閈 閉 閊 開 閌 閍 閎 閏 閐 閑 閒 間 閔 閕 閖 閗 閘 閙 閚 閛 閜 閝 閞 閟 閠 閡 関 閣 閤 閥 閦 閧 閨 閩 閪 閫 閬 閭 閮 閯 閰 閱 閲 閳 閴 閵 閶 閷 閸 閹 閺 閻 閼 閽 閾 閿 闀 闁 闂 闃 闄 闅 闆 闇 闈 闉 闊 闋 闌 闍 闎 闏 闐 闑 闒 闓 闔 闕 闖 闗 闘 闙 闚 闛 關 闝 闞 闟 闠 闡 闢 闣 闤 闥 闦 闧 门 闩 闪 闫 闬 闭 问 闯 闰 闱 闲 闳 间 闵 闶 闷 闸 闹 闺 闻 闼 闽 闾 闿</t>
        </is>
      </c>
      <c r="Q221" s="38" t="inlineStr">
        <is>
          <t>销 锁 锂 锃 锄 锅 锆 锇 锈 锉 锊 锋 锌 锍 锎 锏 锐 锑 锒 锓 锔 锕 锖 锗 锘 错 锚 锛 锜 锝 锞 锟 锠 锡 锢 锣 锤 锥 锦 锧 锨 锩 锪 锫 锬 锭 键 锯 锰 锱 锲 锳 锴 锵 锶 锷 锸 锹 锺 锻 锼 锽 锾 锿 镀 镁 镂 镃 镄 镅 镆 镇 镈 镉 镊 镋 镌 镍 镎 镏 镐 镑 镒 镓 镔 镕 镖 镗 镘 镙 镚 镛 镜 镝 镞 镟 镠 镡 镢 镣 镤 镥 镦 镧 镨 镩 镪 镫 镬 镭 镮 镯 镰 镱 镲 镳 镴 镵 镶 長 镸 镹 镺 镻 镼 镽 镾 长 門 閁 閂 閃 閄 閅 閆 閇 閈 閉 閊 開 閌 閍 閎 閏 閐 閑 閒 間 閔 閕 閖 閗 閘 閙 閚 閛 閜 閝 閞 閟 閠 閡 関 閣 閤 閥 閦 閧 閨 閩 閪 閫 閬 閭 閮 閯 閰 閱 閲 閳 閴 閵 閶 閷 閸 閹 閺 閻 閼 閽 閾 閿 闀 闁 闂 闃 闄 闅 闆 闇 闈 闉 闊 闋 闌 闍 闎 闏 闐 闑 闒 闓 闔 闕 闖 闗 闘 闙 闚 闛 關 闝 闞 闟 闠 闡 闢 闣 闤 闥 闦 闧 门 闩 闪 闫 闬 闭 问 闯 闰 闱 闲 闳 间 闵 闶 闷 闸 闹 闺 闻 闼 闽 闾 闿</t>
        </is>
      </c>
      <c r="R221" s="43" t="inlineStr">
        <is>
          <t>锁 锂 锃 锄 锈 锉 锋 锌 锍 锐 锑 锓 锔 错 锜 锝 锞 锡 锣 锥 锦 锧 锨 锩 锪 锫 锬 锭 键 锯 锰 锱 锲 锳 锵 锶 锹 锺 锻 锼 锾 锿 镀 镂 镄 镅 镇 镊 镌 镍 镎 镑 镒 镔 镖 镘 镙 镚 镛 镜 镞 镟 镢 镣 镤 镥 镧 镨 镪 镫 镭 镮 镯 镰 镱 镲 镳 镵 镶 長 镸 镹 镺 镻 镼 镽 镾 长 閁 閂 閃 閅 閆 閇 閈 閉 閊 開 閌 閍 閎 閏 閐 閑 閒 間 閔 閕 閖 閗 閘 閙 閚 閛 閜 閝 閞 閟 閠 閡 関 閣 閤 閥 閦 閧 閨 閩 閪 閫 閬 閭 閮 閯 閰 閱 閲 閳 閴 閵 閶 閸 閹 閺 閻 閼 閽 閾 閿 闀 闂 闃 闄 闅 闆 闇 闈 闉 闊 闋 闌 闍 闎 闏 闐 闑 闒 闓 闔 闕 闖 闗 闘 闙 闚 闛 闝 闞 闟 闠 闡 闢 闣 闤 闥 闦 闧 闩 闪 闫 闬 闭 闯 闰 闱 闲 闳 闵 闶 闸 闹 闺 闻 闼 闽 闾 闿</t>
        </is>
      </c>
      <c r="S221" s="40" t="n"/>
      <c r="V221" s="14">
        <f>(LEN(O221)+1)/2</f>
        <v/>
      </c>
      <c r="W221" s="14">
        <f>ROUNDDOWN((LEN(P221)+1)/2,0)</f>
        <v/>
      </c>
      <c r="X221" s="14">
        <f>ROUNDDOWN((LEN(Q221)+1)/2,0)</f>
        <v/>
      </c>
      <c r="Y221" s="14">
        <f>ROUNDDOWN((LEN(R221)+1)/2,0)</f>
        <v/>
      </c>
      <c r="Z221" s="14">
        <f>ROUNDDOWN((LEN(S221)+1)/2,0)</f>
        <v/>
      </c>
      <c r="AA221" s="56" t="n">
        <v>46150.55855627789</v>
      </c>
    </row>
    <row r="222" ht="102" customHeight="1">
      <c r="B222" s="46" t="inlineStr">
        <is>
          <t>U+9600-U+96FF</t>
        </is>
      </c>
      <c r="C222" s="46" t="inlineStr">
        <is>
          <t>CJK Unified Ideographs</t>
        </is>
      </c>
      <c r="D222" s="54">
        <f>HEX2DEC(MID(B222,3,FIND("-",E222)-3))</f>
        <v/>
      </c>
      <c r="E222" s="46" t="inlineStr">
        <is>
          <t>U+4E00-U+9FFF</t>
        </is>
      </c>
      <c r="F222" s="12" t="n">
        <v>3</v>
      </c>
      <c r="J222" s="19">
        <f>ROUNDDOWN(W222,0)/$V222</f>
        <v/>
      </c>
      <c r="K222" s="19">
        <f>ROUNDDOWN(X222,0)/$V222</f>
        <v/>
      </c>
      <c r="L222" s="19">
        <f>ROUNDDOWN(Y222,0)/$V222</f>
        <v/>
      </c>
      <c r="M222" s="19">
        <f>ROUNDDOWN(Z222,0)/$V222</f>
        <v/>
      </c>
      <c r="O222" s="36" t="inlineStr">
        <is>
          <t>阀 阁 阂 阃 阄 阅 阆 阇 阈 阉 阊 阋 阌 阍 阎 阏 阐 阑 阒 阓 阔 阕 阖 阗 阘 阙 阚 阛 阜 阝 阞 队 阠 阡 阢 阣 阤 阥 阦 阧 阨 阩 阪 阫 阬 阭 阮 阯 阰 阱 防 阳 阴 阵 阶 阷 阸 阹 阺 阻 阼 阽 阾 阿 陀 陁 陂 陃 附 际 陆 陇 陈 陉 陊 陋 陌 降 陎 陏 限 陑 陒 陓 陔 陕 陖 陗 陘 陙 陚 陛 陜 陝 陞 陟 陠 陡 院 陣 除 陥 陦 陧 陨 险 陪 陫 陬 陭 陮 陯 陰 陱 陲 陳 陴 陵 陶 陷 陸 陹 険 陻 陼 陽 陾 陿 隀 隁 隂 隃 隄 隅 隆 隇 隈 隉 隊 隋 隌 隍 階 随 隐 隑 隒 隓 隔 隕 隖 隗 隘 隙 隚 際 障 隝 隞 隟 隠 隡 隢 隣 隤 隥 隦 隧 隨 隩 險 隫 隬 隭 隮 隯 隰 隱 隲 隳 隴 隵 隶 隷 隸 隹 隺 隻 隼 隽 难 隿 雀 雁 雂 雃 雄 雅 集 雇 雈 雉 雊 雋 雌 雍 雎 雏 雐 雑 雒 雓 雔 雕 雖 雗 雘 雙 雚 雛 雜 雝 雞 雟 雠 雡 離 難 雤 雥 雦 雧 雨 雩 雪 雫 雬 雭 雮 雯 雰 雱 雲 雳 雴 雵 零 雷 雸 雹 雺 電 雼 雽 雾 雿</t>
        </is>
      </c>
      <c r="P222" s="37" t="inlineStr">
        <is>
          <t>阀 阁 阂 阃 阄 阅 阆 阇 阈 阉 阊 阋 阌 阍 阎 阏 阐 阑 阒 阓 阔 阕 阖 阗 阘 阙 阚 阛 阜 阝 阞 队 阠 阡 阢 阣 阤 阥 阦 阧 阨 阩 阪 阫 阬 阭 阮 阯 阰 阱 防 阳 阴 阵 阶 阷 阸 阹 阺 阻 阼 阽 阾 阿 陀 陁 陂 陃 附 际 陆 陇 陈 陉 陊 陋 陌 降 陎 陏 限 陑 陒 陓 陔 陕 陖 陗 陘 陙 陚 陛 陜 陝 陞 陟 陠 陡 院 陣 除 陥 陦 陧 陨 险 陪 陫 陬 陭 陮 陯 陰 陱 陲 陳 陴 陵 陶 陷 陸 陹 険 陻 陼 陽 陾 陿 隀 隁 隂 隃 隄 隅 隆 隇 隈 隉 隊 隋 隌 隍 階 随 隐 隑 隒 隓 隔 隕 隖 隗 隘 隙 隚 際 障 隝 隞 隟 隠 隡 隢 隣 隤 隥 隦 隧 隨 隩 險 隫 隬 隭 隮 隯 隰 隱 隲 隳 隴 隵 隶 隷 隸 隹 隺 隻 隼 隽 难 隿 雀 雁 雂 雃 雄 雅 集 雇 雈 雉 雊 雋 雌 雍 雎 雏 雐 雑 雒 雓 雔 雕 雖 雗 雘 雙 雚 雛 雜 雝 雞 雟 雠 雡 離 難 雤 雥 雦 雧 雨 雩 雪 雫 雬 雭 雮 雯 雰 雱 雲 雳 雴 雵 零 雷 雸 雹 雺 電 雼 雽 雾 雿</t>
        </is>
      </c>
      <c r="Q222" s="38" t="inlineStr">
        <is>
          <t>阀 阁 阂 阃 阄 阅 阆 阇 阈 阉 阊 阋 阌 阍 阎 阏 阐 阑 阒 阓 阔 阕 阖 阗 阘 阙 阚 阛 阜 阝 阞 队 阠 阡 阢 阣 阤 阥 阦 阧 阨 阩 阪 阫 阬 阭 阮 阯 阰 阱 防 阳 阴 阵 阶 阷 阸 阹 阺 阻 阼 阽 阾 阿 陀 陁 陂 陃 附 际 陆 陇 陈 陉 陊 陋 陌 降 陎 陏 限 陑 陒 陓 陔 陕 陖 陗 陘 陙 陚 陛 陜 陝 陞 陟 陠 陡 院 陣 除 陥 陦 陧 陨 险 陪 陫 陬 陭 陮 陯 陰 陱 陲 陳 陴 陵 陶 陷 陸 陹 険 陻 陼 陽 陾 陿 隀 隁 隂 隃 隄 隅 隆 隇 隈 隉 隊 隋 隌 隍 階 随 隐 隑 隒 隓 隔 隕 隖 隗 隘 隙 隚 際 障 隝 隞 隟 隠 隡 隢 隣 隤 隥 隦 隧 隨 隩 險 隫 隬 隭 隮 隯 隰 隱 隲 隳 隴 隵 隶 隷 隸 隹 隺 隻 隼 隽 难 隿 雀 雁 雂 雃 雄 雅 集 雇 雈 雉 雊 雋 雌 雍 雎 雏 雐 雑 雒 雓 雔 雕 雖 雗 雘 雙 雚 雛 雜 雝 雞 雟 雠 雡 離 難 雤 雥 雦 雧 雨 雩 雪 雫 雬 雭 雮 雯 雰 雱 雲 雳 雴 雵 零 雷 雸 雹 雺 電 雼 雽 雾 雿</t>
        </is>
      </c>
      <c r="R222" s="43" t="inlineStr">
        <is>
          <t>阀 阁 阂 阃 阄 阅 阆 阇 阈 阉 阊 阋 阌 阍 阎 阏 阐 阑 阒 阓 阔 阕 阖 阗 阘 阙 阚 阛 阜 阝 阞 队 阡 阢 阣 阤 阥 阦 阨 阩 阪 阫 阬 阭 阮 阯 阱 防 阴 阵 阶 阷 阸 阹 阻 阼 阾 陀 陁 陂 附 际 陆 陇 陈 陉 降 陎 陏 陒 陔 陕 陖 陘 陙 陚 陛 陜 陝 陞 陟 陡 院 陣 除 陥 陦 陧 陨 险 陪 陬 陭 陮 陯 陰 陱 陲 陳 陴 陵 陶 陷 陸 陹 険 陻 陼 陽 隀 隂 隃 隄 隆 隇 隈 隉 隊 隋 隌 隍 随 隐 隑 隒 隓 隖 隗 隘 隙 隚 際 障 隝 隞 隟 隠 隡 隢 隣 隤 隥 隦 隧 隨 隩 險 隫 隬 隮 隰 隱 隲 隳 隵 隶 隷 隸 隹 隺 隻 隼 隽 难 隿 雀 雁 雂 雃 雄 雅 集 雇 雈 雉 雊 雋 雌 雍 雎 雏 雐 雑 雒 雓 雔 雕 雖 雗 雘 雙 雚 雛 雜 雝 雞 雟 雠 雡 離 難 雤 雥 雦 雧 雨 雩 雪 雫 雬 雭 雮 雯 雰 雱 雳 雴 雵 零 雷 雸 雹 雺 電 雼 雽 雾 雿</t>
        </is>
      </c>
      <c r="S222" s="40" t="n"/>
      <c r="V222" s="14">
        <f>(LEN(O222)+1)/2</f>
        <v/>
      </c>
      <c r="W222" s="14">
        <f>ROUNDDOWN((LEN(P222)+1)/2,0)</f>
        <v/>
      </c>
      <c r="X222" s="14">
        <f>ROUNDDOWN((LEN(Q222)+1)/2,0)</f>
        <v/>
      </c>
      <c r="Y222" s="14">
        <f>ROUNDDOWN((LEN(R222)+1)/2,0)</f>
        <v/>
      </c>
      <c r="Z222" s="14">
        <f>ROUNDDOWN((LEN(S222)+1)/2,0)</f>
        <v/>
      </c>
      <c r="AA222" s="56" t="n">
        <v>46150.55855930022</v>
      </c>
    </row>
    <row r="223" ht="102" customHeight="1">
      <c r="B223" s="46" t="inlineStr">
        <is>
          <t>U+9700-U+97FF</t>
        </is>
      </c>
      <c r="C223" s="46" t="inlineStr">
        <is>
          <t>CJK Unified Ideographs</t>
        </is>
      </c>
      <c r="D223" s="54">
        <f>HEX2DEC(MID(B223,3,FIND("-",E223)-3))</f>
        <v/>
      </c>
      <c r="E223" s="46" t="inlineStr">
        <is>
          <t>U+4E00-U+9FFF</t>
        </is>
      </c>
      <c r="F223" s="12" t="n">
        <v>3</v>
      </c>
      <c r="J223" s="19">
        <f>ROUNDDOWN(W223,0)/$V223</f>
        <v/>
      </c>
      <c r="K223" s="19">
        <f>ROUNDDOWN(X223,0)/$V223</f>
        <v/>
      </c>
      <c r="L223" s="19">
        <f>ROUNDDOWN(Y223,0)/$V223</f>
        <v/>
      </c>
      <c r="M223" s="19">
        <f>ROUNDDOWN(Z223,0)/$V223</f>
        <v/>
      </c>
      <c r="O223" s="36" t="inlineStr">
        <is>
          <t>需 霁 霂 霃 霄 霅 霆 震 霈 霉 霊 霋 霌 霍 霎 霏 霐 霑 霒 霓 霔 霕 霖 霗 霘 霙 霚 霛 霜 霝 霞 霟 霠 霡 霢 霣 霤 霥 霦 霧 霨 霩 霪 霫 霬 霭 霮 霯 霰 霱 露 霳 霴 霵 霶 霷 霸 霹 霺 霻 霼 霽 霾 霿 靀 靁 靂 靃 靄 靅 靆 靇 靈 靉 靊 靋 靌 靍 靎 靏 靐 靑 青 靓 靔 靕 靖 靗 靘 静 靚 靛 靜 靝 非 靟 靠 靡 面 靣 靤 靥 靦 靧 靨 革 靪 靫 靬 靭 靮 靯 靰 靱 靲 靳 靴 靵 靶 靷 靸 靹 靺 靻 靼 靽 靾 靿 鞀 鞁 鞂 鞃 鞄 鞅 鞆 鞇 鞈 鞉 鞊 鞋 鞌 鞍 鞎 鞏 鞐 鞑 鞒 鞓 鞔 鞕 鞖 鞗 鞘 鞙 鞚 鞛 鞜 鞝 鞞 鞟 鞠 鞡 鞢 鞣 鞤 鞥 鞦 鞧 鞨 鞩 鞪 鞫 鞬 鞭 鞮 鞯 鞰 鞱 鞲 鞳 鞴 鞵 鞶 鞷 鞸 鞹 鞺 鞻 鞼 鞽 鞾 鞿 韀 韁 韂 韃 韄 韅 韆 韇 韈 韉 韊 韋 韌 韍 韎 韏 韐 韑 韒 韓 韔 韕 韖 韗 韘 韙 韚 韛 韜 韝 韞 韟 韠 韡 韢 韣 韤 韥 韦 韧 韨 韩 韪 韫 韬 韭 韮 韯 韰 韱 韲 音 韴 韵 韶 韷 韸 韹 韺 韻 韼 韽 韾 響</t>
        </is>
      </c>
      <c r="P223" s="37" t="inlineStr">
        <is>
          <t>需 霁 霂 霃 霄 霅 霆 震 霈 霉 霊 霋 霌 霍 霎 霏 霐 霑 霒 霓 霔 霕 霖 霗 霘 霙 霚 霛 霜 霝 霞 霟 霠 霡 霢 霣 霤 霥 霦 霧 霨 霩 霪 霫 霬 霭 霮 霯 霰 霱 露 霳 霴 霵 霶 霷 霸 霹 霺 霻 霼 霽 霾 霿 靀 靁 靂 靃 靄 靅 靆 靇 靈 靉 靊 靋 靌 靍 靎 靏 靐 靑 青 靓 靔 靕 靖 靗 靘 静 靚 靛 靜 靝 非 靟 靠 靡 面 靣 靤 靥 靦 靧 靨 革 靪 靫 靬 靭 靮 靯 靰 靱 靲 靳 靴 靵 靶 靷 靸 靹 靺 靻 靼 靽 靾 靿 鞀 鞁 鞂 鞃 鞄 鞅 鞆 鞇 鞈 鞉 鞊 鞋 鞌 鞍 鞎 鞏 鞐 鞑 鞒 鞓 鞔 鞕 鞖 鞗 鞘 鞙 鞚 鞛 鞜 鞝 鞞 鞟 鞠 鞡 鞢 鞣 鞤 鞥 鞦 鞧 鞨 鞩 鞪 鞫 鞬 鞭 鞮 鞯 鞰 鞱 鞲 鞳 鞴 鞵 鞶 鞷 鞸 鞹 鞺 鞻 鞼 鞽 鞾 鞿 韀 韁 韂 韃 韄 韅 韆 韇 韈 韉 韊 韋 韌 韍 韎 韏 韐 韑 韒 韓 韔 韕 韖 韗 韘 韙 韚 韛 韜 韝 韞 韟 韠 韡 韢 韣 韤 韥 韦 韧 韨 韩 韪 韫 韬 韭 韮 韯 韰 韱 韲 音 韴 韵 韶 韷 韸 韹 韺 韻 韼 韽 韾 響</t>
        </is>
      </c>
      <c r="Q223" s="38" t="inlineStr">
        <is>
          <t>需 霁 霂 霃 霄 霅 霆 震 霈 霉 霊 霋 霌 霍 霎 霏 霐 霑 霒 霓 霔 霕 霖 霗 霘 霙 霚 霛 霜 霝 霞 霟 霠 霡 霢 霣 霤 霥 霦 霧 霨 霩 霪 霫 霬 霭 霮 霯 霰 霱 露 霳 霴 霵 霶 霷 霸 霹 霺 霻 霼 霽 霾 霿 靀 靁 靂 靃 靄 靅 靆 靇 靈 靉 靊 靋 靌 靍 靎 靏 靐 靑 青 靓 靔 靕 靖 靗 靘 静 靚 靛 靜 靝 非 靟 靠 靡 面 靣 靤 靥 靦 靧 靨 革 靪 靫 靬 靭 靮 靯 靰 靱 靲 靳 靴 靵 靶 靷 靸 靹 靺 靻 靼 靽 靾 靿 鞀 鞁 鞂 鞃 鞄 鞅 鞆 鞇 鞈 鞉 鞊 鞋 鞌 鞍 鞎 鞏 鞐 鞑 鞒 鞓 鞔 鞕 鞖 鞗 鞘 鞙 鞚 鞛 鞜 鞝 鞞 鞟 鞠 鞡 鞢 鞣 鞤 鞥 鞦 鞧 鞨 鞩 鞪 鞫 鞬 鞭 鞮 鞯 鞰 鞱 鞲 鞳 鞴 鞵 鞶 鞷 鞸 鞹 鞺 鞻 鞼 鞽 鞾 鞿 韀 韁 韂 韃 韄 韅 韆 韇 韈 韉 韊 韋 韌 韍 韎 韏 韐 韑 韒 韓 韔 韕 韖 韗 韘 韙 韚 韛 韜 韝 韞 韟 韠 韡 韢 韣 韤 韥 韦 韧 韨 韩 韪 韫 韬 韭 韮 韯 韰 韱 韲 音 韴 韵 韶 韷 韸 韹 韺 韻 韼 韽 韾 響</t>
        </is>
      </c>
      <c r="R223" s="43" t="inlineStr">
        <is>
          <t>需 霁 霂 霃 霄 霅 霆 震 霈 霉 霊 霋 霌 霍 霎 霏 霐 霑 霒 霓 霔 霕 霖 霗 霘 霙 霚 霛 霜 霝 霞 霟 霠 霡 霢 霣 霤 霥 霦 霧 霨 霩 霪 霫 霬 霭 霮 霯 霰 霱 露 霳 霴 霵 霶 霷 霸 霹 霺 霻 霼 霽 霾 霿 靀 靁 靂 靃 靄 靆 靇 靈 靉 靊 靋 靌 靍 靎 靏 靐 靑 青 靓 靔 靖 靗 靘 静 靚 靛 靜 靝 靟 靠 靡 面 靣 靤 靥 靦 靧 靨 革 靪 靫 靬 靭 靮 靯 靰 靱 靲 靳 靴 靵 靸 靹 靺 靻 靼 靽 靾 鞀 鞁 鞄 鞅 鞈 鞊 鞋 鞌 鞍 鞏 鞐 鞑 鞒 鞓 鞔 鞕 鞖 鞙 鞚 鞛 鞜 鞠 鞡 鞢 鞣 鞤 鞥 鞦 鞧 鞨 鞪 鞫 鞬 鞭 鞮 鞯 鞰 鞳 鞴 鞵 鞶 鞷 鞸 鞺 鞻 鞼 鞽 鞾 鞿 韀 韁 韂 韃 韄 韅 韆 韇 韈 韉 韋 韌 韍 韎 韏 韐 韑 韒 韓 韔 韕 韖 韗 韘 韙 韚 韛 韜 韝 韞 韟 韠 韡 韢 韣 韤 韥 韦 韧 韨 韩 韪 韫 韭 韮 韯 韰 韱 韲 音 韴 韵 韶 韸 韹 韺 韼 韾 響</t>
        </is>
      </c>
      <c r="S223" s="40" t="n"/>
      <c r="V223" s="14">
        <f>(LEN(O223)+1)/2</f>
        <v/>
      </c>
      <c r="W223" s="14">
        <f>ROUNDDOWN((LEN(P223)+1)/2,0)</f>
        <v/>
      </c>
      <c r="X223" s="14">
        <f>ROUNDDOWN((LEN(Q223)+1)/2,0)</f>
        <v/>
      </c>
      <c r="Y223" s="14">
        <f>ROUNDDOWN((LEN(R223)+1)/2,0)</f>
        <v/>
      </c>
      <c r="Z223" s="14">
        <f>ROUNDDOWN((LEN(S223)+1)/2,0)</f>
        <v/>
      </c>
      <c r="AA223" s="56" t="n">
        <v>46150.55856233284</v>
      </c>
    </row>
    <row r="224" ht="102" customHeight="1">
      <c r="B224" s="46" t="inlineStr">
        <is>
          <t>U+9800-U+98FF</t>
        </is>
      </c>
      <c r="C224" s="46" t="inlineStr">
        <is>
          <t>CJK Unified Ideographs</t>
        </is>
      </c>
      <c r="D224" s="54">
        <f>HEX2DEC(MID(B224,3,FIND("-",E224)-3))</f>
        <v/>
      </c>
      <c r="E224" s="46" t="inlineStr">
        <is>
          <t>U+4E00-U+9FFF</t>
        </is>
      </c>
      <c r="F224" s="12" t="n">
        <v>3</v>
      </c>
      <c r="J224" s="19">
        <f>ROUNDDOWN(W224,0)/$V224</f>
        <v/>
      </c>
      <c r="K224" s="19">
        <f>ROUNDDOWN(X224,0)/$V224</f>
        <v/>
      </c>
      <c r="L224" s="19">
        <f>ROUNDDOWN(Y224,0)/$V224</f>
        <v/>
      </c>
      <c r="M224" s="19">
        <f>ROUNDDOWN(Z224,0)/$V224</f>
        <v/>
      </c>
      <c r="O224" s="36" t="inlineStr">
        <is>
          <t>頀 頁 頂 頃 頄 項 順 頇 須 頉 頊 頋 頌 頍 頎 頏 預 頑 頒 頓 頔 頕 頖 頗 領 頙 頚 頛 頜 頝 頞 頟 頠 頡 頢 頣 頤 頥 頦 頧 頨 頩 頪 頫 頬 頭 頮 頯 頰 頱 頲 頳 頴 頵 頶 頷 頸 頹 頺 頻 頼 頽 頾 頿 顀 顁 顂 顃 顄 顅 顆 顇 顈 顉 顊 顋 題 額 顎 顏 顐 顑 顒 顓 顔 顕 顖 顗 願 顙 顚 顛 顜 顝 類 顟 顠 顡 顢 顣 顤 顥 顦 顧 顨 顩 顪 顫 顬 顭 顮 顯 顰 顱 顲 顳 顴 页 顶 顷 顸 项 顺 须 顼 顽 顾 顿 颀 颁 颂 颃 预 颅 领 颇 颈 颉 颊 颋 颌 颍 颎 颏 颐 频 颒 颓 颔 颕 颖 颗 题 颙 颚 颛 颜 额 颞 颟 颠 颡 颢 颣 颤 颥 颦 颧 風 颩 颪 颫 颬 颭 颮 颯 颰 颱 颲 颳 颴 颵 颶 颷 颸 颹 颺 颻 颼 颽 颾 颿 飀 飁 飂 飃 飄 飅 飆 飇 飈 飉 飊 飋 飌 飍 风 飏 飐 飑 飒 飓 飔 飕 飖 飗 飘 飙 飚 飛 飜 飝 飞 食 飠 飡 飢 飣 飤 飥 飦 飧 飨 飩 飪 飫 飬 飭 飮 飯 飰 飱 飲 飳 飴 飵 飶 飷 飸 飹 飺 飻 飼 飽 飾 飿</t>
        </is>
      </c>
      <c r="P224" s="37" t="inlineStr">
        <is>
          <t>頀 頁 頂 頃 頄 項 順 頇 須 頉 頊 頋 頌 頍 頎 頏 預 頑 頒 頓 頔 頕 頖 頗 領 頙 頚 頛 頜 頝 頞 頟 頠 頡 頢 頣 頤 頥 頦 頧 頨 頩 頪 頫 頬 頭 頮 頯 頰 頱 頲 頳 頴 頵 頶 頷 頸 頹 頺 頻 頼 頽 頾 頿 顀 顁 顂 顃 顄 顅 顆 顇 顈 顉 顊 顋 題 額 顎 顏 顐 顑 顒 顓 顔 顕 顖 顗 願 顙 顚 顛 顜 顝 類 顟 顠 顡 顢 顣 顤 顥 顦 顧 顨 顩 顪 顫 顬 顭 顮 顯 顰 顱 顲 顳 顴 页 顶 顷 顸 项 顺 须 顼 顽 顾 顿 颀 颁 颂 颃 预 颅 领 颇 颈 颉 颊 颋 颌 颍 颎 颏 颐 频 颒 颓 颔 颕 颖 颗 题 颙 颚 颛 颜 额 颞 颟 颠 颡 颢 颣 颤 颥 颦 颧 風 颩 颪 颫 颬 颭 颮 颯 颰 颱 颲 颳 颴 颵 颶 颷 颸 颹 颺 颻 颼 颽 颾 颿 飀 飁 飂 飃 飄 飅 飆 飇 飈 飉 飊 飋 飌 飍 风 飏 飐 飑 飒 飓 飔 飕 飖 飗 飘 飙 飚 飛 飜 飝 飞 食 飠 飡 飢 飣 飤 飥 飦 飧 飨 飩 飪 飫 飬 飭 飮 飯 飰 飱 飲 飳 飴 飵 飶 飷 飸 飹 飺 飻 飼 飽 飾 飿</t>
        </is>
      </c>
      <c r="Q224" s="38" t="inlineStr">
        <is>
          <t>頀 頁 頂 頃 頄 項 順 頇 須 頉 頊 頋 頌 頍 頎 頏 預 頑 頒 頓 頔 頕 頖 頗 領 頙 頚 頛 頜 頝 頞 頟 頠 頡 頢 頣 頤 頥 頦 頧 頨 頩 頪 頫 頬 頭 頮 頯 頰 頱 頲 頳 頴 頵 頶 頷 頸 頹 頺 頻 頼 頽 頾 頿 顀 顁 顂 顃 顄 顅 顆 顇 顈 顉 顊 顋 題 額 顎 顏 顐 顑 顒 顓 顔 顕 顖 顗 願 顙 顚 顛 顜 顝 類 顟 顠 顡 顢 顣 顤 顥 顦 顧 顨 顩 顪 顫 顬 顭 顮 顯 顰 顱 顲 顳 顴 页 顶 顷 顸 项 顺 须 顼 顽 顾 顿 颀 颁 颂 颃 预 颅 领 颇 颈 颉 颊 颋 颌 颍 颎 颏 颐 频 颒 颓 颔 颕 颖 颗 题 颙 颚 颛 颜 额 颞 颟 颠 颡 颢 颣 颤 颥 颦 颧 風 颩 颪 颫 颬 颭 颮 颯 颰 颱 颲 颳 颴 颵 颶 颷 颸 颹 颺 颻 颼 颽 颾 颿 飀 飁 飂 飃 飄 飅 飆 飇 飈 飉 飊 飋 飌 飍 风 飏 飐 飑 飒 飓 飔 飕 飖 飗 飘 飙 飚 飛 飜 飝 飞 食 飠 飡 飢 飣 飤 飥 飦 飧 飨 飩 飪 飫 飬 飭 飮 飯 飰 飱 飲 飳 飴 飵 飶 飷 飸 飹 飺 飻 飼 飽 飾 飿</t>
        </is>
      </c>
      <c r="R224" s="43" t="inlineStr">
        <is>
          <t>頀 頁 頂 頃 頄 項 頇 須 頉 頊 頋 頌 頍 頎 頏 預 頑 頒 頓 頔 頕 頖 頗 領 頙 頚 頛 頜 頝 頞 頟 頠 頡 頢 頣 頤 頦 頧 頨 頩 頪 頬 頯 頰 頱 頳 頴 頵 頶 頷 頸 頹 頺 頻 頼 頽 頾 頿 顀 顂 顃 顅 顇 顈 顉 顊 顋 題 額 顎 顏 顐 顑 顒 顓 顔 顕 顖 顙 顚 顛 顝 類 顟 顠 顡 顤 顥 顦 顧 顨 顩 顪 顫 顮 顯 顰 顱 顳 顴 页 顶 顷 顸 项 须 顼 顽 顾 顿 颀 颁 颂 颃 预 颅 领 颇 颈 颉 颊 颋 颌 颍 颎 颏 颐 频 颒 颓 颔 颕 颖 颗 题 颙 颚 颛 颜 额 颞 颟 颠 颡 颢 颤 颥 颦 颧 風 颩 颪 颫 颬 颭 颮 颯 颰 颱 颲 颳 颴 颵 颶 颷 颸 颹 颺 颻 颼 颽 颾 颿 飀 飁 飂 飃 飄 飅 飆 飇 飈 飉 飊 飋 飌 飍 风 飏 飐 飑 飒 飓 飔 飕 飖 飗 飘 飙 飚 飛 飜 飝 飞 食 飠 飡 飢 飣 飤 飥 飦 飧 飨 飩 飪 飫 飬 飭 飮 飯 飰 飱 飲 飳 飴 飵 飶 飷 飸 飺 飻 飼 飽 飾 飿</t>
        </is>
      </c>
      <c r="S224" s="40" t="n"/>
      <c r="V224" s="14">
        <f>(LEN(O224)+1)/2</f>
        <v/>
      </c>
      <c r="W224" s="14">
        <f>ROUNDDOWN((LEN(P224)+1)/2,0)</f>
        <v/>
      </c>
      <c r="X224" s="14">
        <f>ROUNDDOWN((LEN(Q224)+1)/2,0)</f>
        <v/>
      </c>
      <c r="Y224" s="14">
        <f>ROUNDDOWN((LEN(R224)+1)/2,0)</f>
        <v/>
      </c>
      <c r="Z224" s="14">
        <f>ROUNDDOWN((LEN(S224)+1)/2,0)</f>
        <v/>
      </c>
      <c r="AA224" s="56" t="n">
        <v>46150.55856536248</v>
      </c>
    </row>
    <row r="225" ht="102" customHeight="1">
      <c r="B225" s="46" t="inlineStr">
        <is>
          <t>U+9900-U+99FF</t>
        </is>
      </c>
      <c r="C225" s="46" t="inlineStr">
        <is>
          <t>CJK Unified Ideographs</t>
        </is>
      </c>
      <c r="D225" s="54">
        <f>HEX2DEC(MID(B225,3,FIND("-",E225)-3))</f>
        <v/>
      </c>
      <c r="E225" s="46" t="inlineStr">
        <is>
          <t>U+4E00-U+9FFF</t>
        </is>
      </c>
      <c r="F225" s="12" t="n">
        <v>3</v>
      </c>
      <c r="J225" s="19">
        <f>ROUNDDOWN(W225,0)/$V225</f>
        <v/>
      </c>
      <c r="K225" s="19">
        <f>ROUNDDOWN(X225,0)/$V225</f>
        <v/>
      </c>
      <c r="L225" s="19">
        <f>ROUNDDOWN(Y225,0)/$V225</f>
        <v/>
      </c>
      <c r="M225" s="19">
        <f>ROUNDDOWN(Z225,0)/$V225</f>
        <v/>
      </c>
      <c r="O225" s="36" t="inlineStr">
        <is>
          <t>餀 餁 餂 餃 餄 餅 餆 餇 餈 餉 養 餋 餌 餍 餎 餏 餐 餑 餒 餓 餔 餕 餖 餗 餘 餙 餚 餛 餜 餝 餞 餟 餠 餡 餢 餣 餤 餥 餦 餧 館 餩 餪 餫 餬 餭 餮 餯 餰 餱 餲 餳 餴 餵 餶 餷 餸 餹 餺 餻 餼 餽 餾 餿 饀 饁 饂 饃 饄 饅 饆 饇 饈 饉 饊 饋 饌 饍 饎 饏 饐 饑 饒 饓 饔 饕 饖 饗 饘 饙 饚 饛 饜 饝 饞 饟 饠 饡 饢 饣 饤 饥 饦 饧 饨 饩 饪 饫 饬 饭 饮 饯 饰 饱 饲 饳 饴 饵 饶 饷 饸 饹 饺 饻 饼 饽 饾 饿 馀 馁 馂 馃 馄 馅 馆 馇 馈 馉 馊 馋 馌 馍 馎 馏 馐 馑 馒 馓 馔 馕 首 馗 馘 香 馚 馛 馜 馝 馞 馟 馠 馡 馢 馣 馤 馥 馦 馧 馨 馩 馪 馫 馬 馭 馮 馯 馰 馱 馲 馳 馴 馵 馶 馷 馸 馹 馺 馻 馼 馽 馾 馿 駀 駁 駂 駃 駄 駅 駆 駇 駈 駉 駊 駋 駌 駍 駎 駏 駐 駑 駒 駓 駔 駕 駖 駗 駘 駙 駚 駛 駜 駝 駞 駟 駠 駡 駢 駣 駤 駥 駦 駧 駨 駩 駪 駫 駬 駭 駮 駯 駰 駱 駲 駳 駴 駵 駶 駷 駸 駹 駺 駻 駼 駽 駾 駿</t>
        </is>
      </c>
      <c r="P225" s="37" t="inlineStr">
        <is>
          <t>餀 餁 餂 餃 餄 餅 餆 餇 餈 餉 養 餋 餌 餍 餎 餏 餐 餑 餒 餓 餔 餕 餖 餗 餘 餙 餚 餛 餜 餝 餞 餟 餠 餡 餢 餣 餤 餥 餦 餧 館 餩 餪 餫 餬 餭 餮 餯 餰 餱 餲 餳 餴 餵 餶 餷 餸 餹 餺 餻 餼 餽 餾 餿 饀 饁 饂 饃 饄 饅 饆 饇 饈 饉 饊 饋 饌 饍 饎 饏 饐 饑 饒 饓 饔 饕 饖 饗 饘 饙 饚 饛 饜 饝 饞 饟 饠 饡 饢 饣 饤 饥 饦 饧 饨 饩 饪 饫 饬 饭 饮 饯 饰 饱 饲 饳 饴 饵 饶 饷 饸 饹 饺 饻 饼 饽 饾 饿 馀 馁 馂 馃 馄 馅 馆 馇 馈 馉 馊 馋 馌 馍 馎 馏 馐 馑 馒 馓 馔 馕 首 馗 馘 香 馚 馛 馜 馝 馞 馟 馠 馡 馢 馣 馤 馥 馦 馧 馨 馩 馪 馫 馬 馭 馮 馯 馰 馱 馲 馳 馴 馵 馶 馷 馸 馹 馺 馻 馼 馽 馾 馿 駀 駁 駂 駃 駄 駅 駆 駇 駈 駉 駊 駋 駌 駍 駎 駏 駐 駑 駒 駓 駔 駕 駖 駗 駘 駙 駚 駛 駜 駝 駞 駟 駠 駡 駢 駣 駤 駥 駦 駧 駨 駩 駪 駫 駬 駭 駮 駯 駰 駱 駲 駳 駴 駵 駶 駷 駸 駹 駺 駻 駼 駽 駾 駿</t>
        </is>
      </c>
      <c r="Q225" s="38" t="inlineStr">
        <is>
          <t>餀 餁 餂 餃 餄 餅 餆 餇 餈 餉 養 餋 餌 餍 餎 餏 餐 餑 餒 餓 餔 餕 餖 餗 餘 餙 餚 餛 餜 餝 餞 餟 餠 餡 餢 餣 餤 餥 餦 餧 館 餩 餪 餫 餬 餭 餮 餯 餰 餱 餲 餳 餴 餵 餶 餷 餸 餹 餺 餻 餼 餽 餾 餿 饀 饁 饂 饃 饄 饅 饆 饇 饈 饉 饊 饋 饌 饍 饎 饏 饐 饑 饒 饓 饔 饕 饖 饗 饘 饙 饚 饛 饜 饝 饞 饟 饠 饡 饢 饣 饤 饥 饦 饧 饨 饩 饪 饫 饬 饭 饮 饯 饰 饱 饲 饳 饴 饵 饶 饷 饸 饹 饺 饻 饼 饽 饾 饿 馀 馁 馂 馃 馄 馅 馆 馇 馈 馉 馊 馋 馌 馍 馎 馏 馐 馑 馒 馓 馔 馕 首 馗 馘 香 馚 馛 馜 馝 馞 馟 馠 馡 馢 馣 馤 馥 馦 馧 馨 馩 馪 馫 馬 馭 馮 馯 馰 馱 馲 馳 馴 馵 馶 馷 馸 馹 馺 馻 馼 馽 馾 馿 駀 駁 駂 駃 駄 駅 駆 駇 駈 駉 駊 駋 駌 駍 駎 駏 駐 駑 駒 駓 駔 駕 駖 駗 駘 駙 駚 駛 駜 駝 駞 駟 駠 駡 駢 駣 駤 駥 駦 駧 駨 駩 駪 駫 駬 駭 駮 駯 駰 駱 駲 駳 駴 駵 駶 駷 駸 駹 駺 駻 駼 駽 駾 駿</t>
        </is>
      </c>
      <c r="R225" s="43" t="inlineStr">
        <is>
          <t>餀 餁 餂 餃 餄 餅 餇 餈 餉 養 餋 餌 餍 餎 餏 餐 餑 餒 餓 餔 餕 餖 餗 餘 餙 餚 餛 餜 餝 餞 餟 餡 餢 餣 餤 餥 餦 餧 館 餩 餪 餫 餬 餭 餮 餯 餰 餱 餲 餳 餴 餵 餶 餷 餸 餹 餺 餻 餼 餽 餾 餿 饀 饁 饂 饃 饄 饅 饆 饇 饈 饉 饊 饋 饌 饍 饎 饏 饐 饑 饒 饓 饔 饕 饖 饗 饘 饙 饚 饛 饜 饝 饞 饟 饠 饡 饢 饣 饥 饦 饧 饩 饪 饫 饬 饭 饮 饯 饰 饱 饲 饴 饵 饶 饸 饹 饺 饻 饼 饽 饾 饿 馀 馁 馂 馃 馅 馆 馇 馈 馉 馊 馋 馌 馍 馎 馐 馑 馒 馓 馕 首 馗 馘 香 馚 馛 馜 馝 馞 馟 馠 馣 馤 馥 馦 馧 馨 馩 馪 馫 馬 馭 馮 馯 馰 馱 馲 馳 馵 馸 馺 馻 馽 馾 馿 駀 駁 駂 駃 駄 駅 駇 駈 駊 駋 駌 駍 駐 駑 駒 駓 駔 駕 駖 駗 駘 駙 駚 駛 駜 駝 駡 駢 駤 駥 駦 駨 駩 駪 駫 駬 駮 駱 駲 駳 駴 駶 駷 駸 駹 駻 駼 駾</t>
        </is>
      </c>
      <c r="S225" s="40" t="n"/>
      <c r="V225" s="14">
        <f>(LEN(O225)+1)/2</f>
        <v/>
      </c>
      <c r="W225" s="14">
        <f>ROUNDDOWN((LEN(P225)+1)/2,0)</f>
        <v/>
      </c>
      <c r="X225" s="14">
        <f>ROUNDDOWN((LEN(Q225)+1)/2,0)</f>
        <v/>
      </c>
      <c r="Y225" s="14">
        <f>ROUNDDOWN((LEN(R225)+1)/2,0)</f>
        <v/>
      </c>
      <c r="Z225" s="14">
        <f>ROUNDDOWN((LEN(S225)+1)/2,0)</f>
        <v/>
      </c>
      <c r="AA225" s="56" t="n">
        <v>46150.55856850757</v>
      </c>
    </row>
    <row r="226" ht="102" customHeight="1">
      <c r="B226" s="46" t="inlineStr">
        <is>
          <t>U+9A00-U+9AFF</t>
        </is>
      </c>
      <c r="C226" s="46" t="inlineStr">
        <is>
          <t>CJK Unified Ideographs</t>
        </is>
      </c>
      <c r="D226" s="54">
        <f>HEX2DEC(MID(B226,3,FIND("-",E226)-3))</f>
        <v/>
      </c>
      <c r="E226" s="46" t="inlineStr">
        <is>
          <t>U+4E00-U+9FFF</t>
        </is>
      </c>
      <c r="F226" s="12" t="n">
        <v>3</v>
      </c>
      <c r="J226" s="19">
        <f>ROUNDDOWN(W226,0)/$V226</f>
        <v/>
      </c>
      <c r="K226" s="19">
        <f>ROUNDDOWN(X226,0)/$V226</f>
        <v/>
      </c>
      <c r="L226" s="19">
        <f>ROUNDDOWN(Y226,0)/$V226</f>
        <v/>
      </c>
      <c r="M226" s="19">
        <f>ROUNDDOWN(Z226,0)/$V226</f>
        <v/>
      </c>
      <c r="O226" s="36" t="inlineStr">
        <is>
          <t>騀 騁 騂 騃 騄 騅 騆 騇 騈 騉 騊 騋 騌 騍 騎 騏 騐 騑 騒 験 騔 騕 騖 騗 騘 騙 騚 騛 騜 騝 騞 騟 騠 騡 騢 騣 騤 騥 騦 騧 騨 騩 騪 騫 騬 騭 騮 騯 騰 騱 騲 騳 騴 騵 騶 騷 騸 騹 騺 騻 騼 騽 騾 騿 驀 驁 驂 驃 驄 驅 驆 驇 驈 驉 驊 驋 驌 驍 驎 驏 驐 驑 驒 驓 驔 驕 驖 驗 驘 驙 驚 驛 驜 驝 驞 驟 驠 驡 驢 驣 驤 驥 驦 驧 驨 驩 驪 驫 马 驭 驮 驯 驰 驱 驲 驳 驴 驵 驶 驷 驸 驹 驺 驻 驼 驽 驾 驿 骀 骁 骂 骃 骄 骅 骆 骇 骈 骉 骊 骋 验 骍 骎 骏 骐 骑 骒 骓 骔 骕 骖 骗 骘 骙 骚 骛 骜 骝 骞 骟 骠 骡 骢 骣 骤 骥 骦 骧 骨 骩 骪 骫 骬 骭 骮 骯 骰 骱 骲 骳 骴 骵 骶 骷 骸 骹 骺 骻 骼 骽 骾 骿 髀 髁 髂 髃 髄 髅 髆 髇 髈 髉 髊 髋 髌 髍 髎 髏 髐 髑 髒 髓 體 髕 髖 髗 高 髙 髚 髛 髜 髝 髞 髟 髠 髡 髢 髣 髤 髥 髦 髧 髨 髩 髪 髫 髬 髭 髮 髯 髰 髱 髲 髳 髴 髵 髶 髷 髸 髹 髺 髻 髼 髽 髾 髿</t>
        </is>
      </c>
      <c r="P226" s="37" t="inlineStr">
        <is>
          <t>騀 騁 騂 騃 騄 騅 騆 騇 騈 騉 騊 騋 騌 騍 騎 騏 騐 騑 騒 験 騔 騕 騖 騗 騘 騙 騚 騛 騜 騝 騞 騟 騠 騡 騢 騣 騤 騥 騦 騧 騨 騩 騪 騫 騬 騭 騮 騯 騰 騱 騲 騳 騴 騵 騶 騷 騸 騹 騺 騻 騼 騽 騾 騿 驀 驁 驂 驃 驄 驅 驆 驇 驈 驉 驊 驋 驌 驍 驎 驏 驐 驑 驒 驓 驔 驕 驖 驗 驘 驙 驚 驛 驜 驝 驞 驟 驠 驡 驢 驣 驤 驥 驦 驧 驨 驩 驪 驫 马 驭 驮 驯 驰 驱 驲 驳 驴 驵 驶 驷 驸 驹 驺 驻 驼 驽 驾 驿 骀 骁 骂 骃 骄 骅 骆 骇 骈 骉 骊 骋 验 骍 骎 骏 骐 骑 骒 骓 骔 骕 骖 骗 骘 骙 骚 骛 骜 骝 骞 骟 骠 骡 骢 骣 骤 骥 骦 骧 骨 骩 骪 骫 骬 骭 骮 骯 骰 骱 骲 骳 骴 骵 骶 骷 骸 骹 骺 骻 骼 骽 骾 骿 髀 髁 髂 髃 髄 髅 髆 髇 髈 髉 髊 髋 髌 髍 髎 髏 髐 髑 髒 髓 體 髕 髖 髗 高 髙 髚 髛 髜 髝 髞 髟 髠 髡 髢 髣 髤 髥 髦 髧 髨 髩 髪 髫 髬 髭 髮 髯 髰 髱 髲 髳 髴 髵 髶 髷 髸 髹 髺 髻 髼 髽 髾 髿</t>
        </is>
      </c>
      <c r="Q226" s="38" t="inlineStr">
        <is>
          <t>騀 騁 騂 騃 騄 騅 騆 騇 騈 騉 騊 騋 騌 騍 騎 騏 騐 騑 騒 験 騔 騕 騖 騗 騘 騙 騚 騛 騜 騝 騞 騟 騠 騡 騢 騣 騤 騥 騦 騧 騨 騩 騪 騫 騬 騭 騮 騯 騰 騱 騲 騳 騴 騵 騶 騷 騸 騹 騺 騻 騼 騽 騾 騿 驀 驁 驂 驃 驄 驅 驆 驇 驈 驉 驊 驋 驌 驍 驎 驏 驐 驑 驒 驓 驔 驕 驖 驗 驘 驙 驚 驛 驜 驝 驞 驟 驠 驡 驢 驣 驤 驥 驦 驧 驨 驩 驪 驫 马 驭 驮 驯 驰 驱 驲 驳 驴 驵 驶 驷 驸 驹 驺 驻 驼 驽 驾 驿 骀 骁 骂 骃 骄 骅 骆 骇 骈 骉 骊 骋 验 骍 骎 骏 骐 骑 骒 骓 骔 骕 骖 骗 骘 骙 骚 骛 骜 骝 骞 骟 骠 骡 骢 骣 骤 骥 骦 骧 骨 骩 骪 骫 骬 骭 骮 骯 骰 骱 骲 骳 骴 骵 骶 骷 骸 骹 骺 骻 骼 骽 骾 骿 髀 髁 髂 髃 髄 髅 髆 髇 髈 髉 髊 髋 髌 髍 髎 髏 髐 髑 髒 髓 體 髕 髖 髗 高 髙 髚 髛 髜 髝 髞 髟 髠 髡 髢 髣 髤 髥 髦 髧 髨 髩 髪 髫 髬 髭 髮 髯 髰 髱 髲 髳 髴 髵 髶 髷 髸 髹 髺 髻 髼 髽 髾 髿</t>
        </is>
      </c>
      <c r="R226" s="43" t="inlineStr">
        <is>
          <t>騁 騂 騃 騅 騆 騊 騎 騏 騐 騒 騔 騕 騖 騗 騘 騙 騛 騝 騞 騟 騠 騡 騤 騥 騦 騨 騩 騫 騬 騭 騰 騲 騵 騶 騷 騸 騹 騺 騼 騾 驀 驁 驄 驇 驈 驉 驋 驌 驍 驎 驏 驒 驗 驘 驚 驛 驜 驝 驟 驠 驡 驢 驣 驤 驦 驧 驨 驩 驪 驫 马 驭 驮 驰 驳 驴 驵 驶 驸 驹 驺 驻 驼 驽 驾 驿 骀 骁 骂 骄 骅 骆 骈 骉 骋 验 骍 骏 骐 骑 骒 骓 骔 骕 骖 骗 骘 骙 骚 骛 骜 骞 骟 骠 骡 骢 骣 骤 骥 骦 骨 骩 骪 骫 骬 骭 骯 骰 骱 骲 骳 骴 骵 骷 骸 骹 骺 骻 骼 骽 骾 骿 髀 髁 髂 髃 髄 髅 髆 髇 髉 髊 髋 髌 髍 髎 髏 髐 髑 髒 髓 體 髕 髖 髗 高 髙 髚 髛 髝 髞 髟 髠 髡 髢 髣 髤 髥 髦 髧 髨 髩 髪 髫 髬 髭 髮 髯 髰 髱 髲 髳 髴 髵 髶 髷 髸 髹 髺 髻 髼 髽 髾 髿</t>
        </is>
      </c>
      <c r="S226" s="40" t="n"/>
      <c r="V226" s="14">
        <f>(LEN(O226)+1)/2</f>
        <v/>
      </c>
      <c r="W226" s="14">
        <f>ROUNDDOWN((LEN(P226)+1)/2,0)</f>
        <v/>
      </c>
      <c r="X226" s="14">
        <f>ROUNDDOWN((LEN(Q226)+1)/2,0)</f>
        <v/>
      </c>
      <c r="Y226" s="14">
        <f>ROUNDDOWN((LEN(R226)+1)/2,0)</f>
        <v/>
      </c>
      <c r="Z226" s="14">
        <f>ROUNDDOWN((LEN(S226)+1)/2,0)</f>
        <v/>
      </c>
      <c r="AA226" s="56" t="n">
        <v>46150.5585715364</v>
      </c>
    </row>
    <row r="227" ht="102" customHeight="1">
      <c r="B227" s="46" t="inlineStr">
        <is>
          <t>U+9B00-U+9BFF</t>
        </is>
      </c>
      <c r="C227" s="46" t="inlineStr">
        <is>
          <t>CJK Unified Ideographs</t>
        </is>
      </c>
      <c r="D227" s="54">
        <f>HEX2DEC(MID(B227,3,FIND("-",E227)-3))</f>
        <v/>
      </c>
      <c r="E227" s="46" t="inlineStr">
        <is>
          <t>U+4E00-U+9FFF</t>
        </is>
      </c>
      <c r="F227" s="12" t="n">
        <v>3</v>
      </c>
      <c r="J227" s="19">
        <f>ROUNDDOWN(W227,0)/$V227</f>
        <v/>
      </c>
      <c r="K227" s="19">
        <f>ROUNDDOWN(X227,0)/$V227</f>
        <v/>
      </c>
      <c r="L227" s="19">
        <f>ROUNDDOWN(Y227,0)/$V227</f>
        <v/>
      </c>
      <c r="M227" s="19">
        <f>ROUNDDOWN(Z227,0)/$V227</f>
        <v/>
      </c>
      <c r="O227" s="36" t="inlineStr">
        <is>
          <t>鬀 鬁 鬂 鬃 鬄 鬅 鬆 鬇 鬈 鬉 鬊 鬋 鬌 鬍 鬎 鬏 鬐 鬑 鬒 鬓 鬔 鬕 鬖 鬗 鬘 鬙 鬚 鬛 鬜 鬝 鬞 鬟 鬠 鬡 鬢 鬣 鬤 鬥 鬦 鬧 鬨 鬩 鬪 鬫 鬬 鬭 鬮 鬯 鬰 鬱 鬲 鬳 鬴 鬵 鬶 鬷 鬸 鬹 鬺 鬻 鬼 鬽 鬾 鬿 魀 魁 魂 魃 魄 魅 魆 魇 魈 魉 魊 魋 魌 魍 魎 魏 魐 魑 魒 魓 魔 魕 魖 魗 魘 魙 魚 魛 魜 魝 魞 魟 魠 魡 魢 魣 魤 魥 魦 魧 魨 魩 魪 魫 魬 魭 魮 魯 魰 魱 魲 魳 魴 魵 魶 魷 魸 魹 魺 魻 魼 魽 魾 魿 鮀 鮁 鮂 鮃 鮄 鮅 鮆 鮇 鮈 鮉 鮊 鮋 鮌 鮍 鮎 鮏 鮐 鮑 鮒 鮓 鮔 鮕 鮖 鮗 鮘 鮙 鮚 鮛 鮜 鮝 鮞 鮟 鮠 鮡 鮢 鮣 鮤 鮥 鮦 鮧 鮨 鮩 鮪 鮫 鮬 鮭 鮮 鮯 鮰 鮱 鮲 鮳 鮴 鮵 鮶 鮷 鮸 鮹 鮺 鮻 鮼 鮽 鮾 鮿 鯀 鯁 鯂 鯃 鯄 鯅 鯆 鯇 鯈 鯉 鯊 鯋 鯌 鯍 鯎 鯏 鯐 鯑 鯒 鯓 鯔 鯕 鯖 鯗 鯘 鯙 鯚 鯛 鯜 鯝 鯞 鯟 鯠 鯡 鯢 鯣 鯤 鯥 鯦 鯧 鯨 鯩 鯪 鯫 鯬 鯭 鯮 鯯 鯰 鯱 鯲 鯳 鯴 鯵 鯶 鯷 鯸 鯹 鯺 鯻 鯼 鯽 鯾 鯿</t>
        </is>
      </c>
      <c r="P227" s="37" t="inlineStr">
        <is>
          <t>鬀 鬁 鬂 鬃 鬄 鬅 鬆 鬇 鬈 鬉 鬊 鬋 鬌 鬍 鬎 鬏 鬐 鬑 鬒 鬓 鬔 鬕 鬖 鬗 鬘 鬙 鬚 鬛 鬜 鬝 鬞 鬟 鬠 鬡 鬢 鬣 鬤 鬥 鬦 鬧 鬨 鬩 鬪 鬫 鬬 鬭 鬮 鬯 鬰 鬱 鬲 鬳 鬴 鬵 鬶 鬷 鬸 鬹 鬺 鬻 鬼 鬽 鬾 鬿 魀 魁 魂 魃 魄 魅 魆 魇 魈 魉 魊 魋 魌 魍 魎 魏 魐 魑 魒 魓 魔 魕 魖 魗 魘 魙 魚 魛 魜 魝 魞 魟 魠 魡 魢 魣 魤 魥 魦 魧 魨 魩 魪 魫 魬 魭 魮 魯 魰 魱 魲 魳 魴 魵 魶 魷 魸 魹 魺 魻 魼 魽 魾 魿 鮀 鮁 鮂 鮃 鮄 鮅 鮆 鮇 鮈 鮉 鮊 鮋 鮌 鮍 鮎 鮏 鮐 鮑 鮒 鮓 鮔 鮕 鮖 鮗 鮘 鮙 鮚 鮛 鮜 鮝 鮞 鮟 鮠 鮡 鮢 鮣 鮤 鮥 鮦 鮧 鮨 鮩 鮪 鮫 鮬 鮭 鮮 鮯 鮰 鮱 鮲 鮳 鮴 鮵 鮶 鮷 鮸 鮹 鮺 鮻 鮼 鮽 鮾 鮿 鯀 鯁 鯂 鯃 鯄 鯅 鯆 鯇 鯈 鯉 鯊 鯋 鯌 鯍 鯎 鯏 鯐 鯑 鯒 鯓 鯔 鯕 鯖 鯗 鯘 鯙 鯚 鯛 鯜 鯝 鯞 鯟 鯠 鯡 鯢 鯣 鯤 鯥 鯦 鯧 鯨 鯩 鯪 鯫 鯬 鯭 鯮 鯯 鯰 鯱 鯲 鯳 鯴 鯵 鯶 鯷 鯸 鯹 鯺 鯻 鯼 鯽 鯾 鯿</t>
        </is>
      </c>
      <c r="Q227" s="38" t="inlineStr">
        <is>
          <t>鬀 鬁 鬂 鬃 鬄 鬅 鬆 鬇 鬈 鬉 鬊 鬋 鬌 鬍 鬎 鬏 鬐 鬑 鬒 鬓 鬔 鬕 鬖 鬗 鬘 鬙 鬚 鬛 鬜 鬝 鬞 鬟 鬠 鬡 鬢 鬣 鬤 鬥 鬦 鬧 鬨 鬩 鬪 鬫 鬬 鬭 鬮 鬯 鬰 鬱 鬲 鬳 鬴 鬵 鬶 鬷 鬸 鬹 鬺 鬻 鬼 鬽 鬾 鬿 魀 魁 魂 魃 魄 魅 魆 魇 魈 魉 魊 魋 魌 魍 魎 魏 魐 魑 魒 魓 魔 魕 魖 魗 魘 魙 魚 魛 魜 魝 魞 魟 魠 魡 魢 魣 魤 魥 魦 魧 魨 魩 魪 魫 魬 魭 魮 魯 魰 魱 魲 魳 魴 魵 魶 魷 魸 魹 魺 魻 魼 魽 魾 魿 鮀 鮁 鮂 鮃 鮄 鮅 鮆 鮇 鮈 鮉 鮊 鮋 鮌 鮍 鮎 鮏 鮐 鮑 鮒 鮓 鮔 鮕 鮖 鮗 鮘 鮙 鮚 鮛 鮜 鮝 鮞 鮟 鮠 鮡 鮢 鮣 鮤 鮥 鮦 鮧 鮨 鮩 鮪 鮫 鮬 鮭 鮮 鮯 鮰 鮱 鮲 鮳 鮴 鮵 鮶 鮷 鮸 鮹 鮺 鮻 鮼 鮽 鮾 鮿 鯀 鯁 鯂 鯃 鯄 鯅 鯆 鯇 鯈 鯉 鯊 鯋 鯌 鯍 鯎 鯏 鯐 鯑 鯒 鯓 鯔 鯕 鯖 鯗 鯘 鯙 鯚 鯛 鯜 鯝 鯞 鯟 鯠 鯡 鯢 鯣 鯤 鯥 鯦 鯧 鯨 鯩 鯪 鯫 鯬 鯭 鯮 鯯 鯰 鯱 鯲 鯳 鯴 鯵 鯶 鯷 鯸 鯹 鯺 鯻 鯼 鯽 鯾 鯿</t>
        </is>
      </c>
      <c r="R227" s="43" t="inlineStr">
        <is>
          <t>鬀 鬂 鬃 鬄 鬅 鬆 鬇 鬈 鬉 鬊 鬋 鬌 鬍 鬎 鬏 鬐 鬑 鬒 鬓 鬔 鬕 鬖 鬗 鬘 鬙 鬚 鬛 鬜 鬝 鬞 鬟 鬠 鬡 鬢 鬣 鬤 鬫 鬮 鬯 鬰 鬱 鬲 鬳 鬵 鬶 鬹 鬺 鬻 鬼 鬽 鬾 鬿 魀 魁 魂 魃 魄 魅 魆 魇 魈 魉 魊 魋 魌 魍 魎 魏 魐 魑 魒 魓 魔 魕 魖 魗 魘 魙 魚 魛 魜 魞 魠 魡 魣 魤 魥 魧 魨 魩 魪 魫 魬 魭 魯 魰 魱 魲 魳 魴 魵 魷 魸 魹 魺 魻 魼 魾 魿 鮁 鮃 鮄 鮅 鮆 鮇 鮈 鮉 鮍 鮏 鮐 鮑 鮒 鮓 鮖 鮗 鮘 鮛 鮜 鮝 鮟 鮠 鮢 鮤 鮥 鮧 鮩 鮪 鮫 鮮 鮯 鮱 鮲 鮳 鮴 鮵 鮶 鮷 鮸 鮺 鮼 鮽 鮾 鮿 鯀 鯁 鯂 鯃 鯄 鯅 鯇 鯈 鯉 鯊 鯋 鯍 鯎 鯏 鯐 鯑 鯓 鯔 鯕 鯖 鯗 鯘 鯙 鯚 鯛 鯜 鯞 鯢 鯣 鯥 鯦 鯨 鯩 鯪 鯫 鯬 鯭 鯯 鯰 鯱 鯲 鯳 鯴 鯵 鯷 鯸 鯹 鯺 鯾 鯿</t>
        </is>
      </c>
      <c r="S227" s="40" t="n"/>
      <c r="V227" s="14">
        <f>(LEN(O227)+1)/2</f>
        <v/>
      </c>
      <c r="W227" s="14">
        <f>ROUNDDOWN((LEN(P227)+1)/2,0)</f>
        <v/>
      </c>
      <c r="X227" s="14">
        <f>ROUNDDOWN((LEN(Q227)+1)/2,0)</f>
        <v/>
      </c>
      <c r="Y227" s="14">
        <f>ROUNDDOWN((LEN(R227)+1)/2,0)</f>
        <v/>
      </c>
      <c r="Z227" s="14">
        <f>ROUNDDOWN((LEN(S227)+1)/2,0)</f>
        <v/>
      </c>
      <c r="AA227" s="56" t="n">
        <v>46150.55857461871</v>
      </c>
    </row>
    <row r="228" ht="102" customHeight="1">
      <c r="B228" s="46" t="inlineStr">
        <is>
          <t>U+9C00-U+9CFF</t>
        </is>
      </c>
      <c r="C228" s="46" t="inlineStr">
        <is>
          <t>CJK Unified Ideographs</t>
        </is>
      </c>
      <c r="D228" s="54">
        <f>HEX2DEC(MID(B228,3,FIND("-",E228)-3))</f>
        <v/>
      </c>
      <c r="E228" s="46" t="inlineStr">
        <is>
          <t>U+4E00-U+9FFF</t>
        </is>
      </c>
      <c r="F228" s="12" t="n">
        <v>3</v>
      </c>
      <c r="J228" s="19">
        <f>ROUNDDOWN(W228,0)/$V228</f>
        <v/>
      </c>
      <c r="K228" s="19">
        <f>ROUNDDOWN(X228,0)/$V228</f>
        <v/>
      </c>
      <c r="L228" s="19">
        <f>ROUNDDOWN(Y228,0)/$V228</f>
        <v/>
      </c>
      <c r="M228" s="19">
        <f>ROUNDDOWN(Z228,0)/$V228</f>
        <v/>
      </c>
      <c r="O228" s="36" t="inlineStr">
        <is>
          <t>鰀 鰁 鰂 鰃 鰄 鰅 鰆 鰇 鰈 鰉 鰊 鰋 鰌 鰍 鰎 鰏 鰐 鰑 鰒 鰓 鰔 鰕 鰖 鰗 鰘 鰙 鰚 鰛 鰜 鰝 鰞 鰟 鰠 鰡 鰢 鰣 鰤 鰥 鰦 鰧 鰨 鰩 鰪 鰫 鰬 鰭 鰮 鰯 鰰 鰱 鰲 鰳 鰴 鰵 鰶 鰷 鰸 鰹 鰺 鰻 鰼 鰽 鰾 鰿 鱀 鱁 鱂 鱃 鱄 鱅 鱆 鱇 鱈 鱉 鱊 鱋 鱌 鱍 鱎 鱏 鱐 鱑 鱒 鱓 鱔 鱕 鱖 鱗 鱘 鱙 鱚 鱛 鱜 鱝 鱞 鱟 鱠 鱡 鱢 鱣 鱤 鱥 鱦 鱧 鱨 鱩 鱪 鱫 鱬 鱭 鱮 鱯 鱰 鱱 鱲 鱳 鱴 鱵 鱶 鱷 鱸 鱹 鱺 鱻 鱼 鱽 鱾 鱿 鲀 鲁 鲂 鲃 鲄 鲅 鲆 鲇 鲈 鲉 鲊 鲋 鲌 鲍 鲎 鲏 鲐 鲑 鲒 鲓 鲔 鲕 鲖 鲗 鲘 鲙 鲚 鲛 鲜 鲝 鲞 鲟 鲠 鲡 鲢 鲣 鲤 鲥 鲦 鲧 鲨 鲩 鲪 鲫 鲬 鲭 鲮 鲯 鲰 鲱 鲲 鲳 鲴 鲵 鲶 鲷 鲸 鲹 鲺 鲻 鲼 鲽 鲾 鲿 鳀 鳁 鳂 鳃 鳄 鳅 鳆 鳇 鳈 鳉 鳊 鳋 鳌 鳍 鳎 鳏 鳐 鳑 鳒 鳓 鳔 鳕 鳖 鳗 鳘 鳙 鳚 鳛 鳜 鳝 鳞 鳟 鳠 鳡 鳢 鳣 鳤 鳥 鳦 鳧 鳨 鳩 鳪 鳫 鳬 鳭 鳮 鳯 鳰 鳱 鳲 鳳 鳴 鳵 鳶 鳷 鳸 鳹 鳺 鳻 鳼 鳽 鳾 鳿</t>
        </is>
      </c>
      <c r="P228" s="37" t="inlineStr">
        <is>
          <t>鰀 鰁 鰂 鰃 鰄 鰅 鰆 鰇 鰈 鰉 鰊 鰋 鰌 鰍 鰎 鰏 鰐 鰑 鰒 鰓 鰔 鰕 鰖 鰗 鰘 鰙 鰚 鰛 鰜 鰝 鰞 鰟 鰠 鰡 鰢 鰣 鰤 鰥 鰦 鰧 鰨 鰩 鰪 鰫 鰬 鰭 鰮 鰯 鰰 鰱 鰲 鰳 鰴 鰵 鰶 鰷 鰸 鰹 鰺 鰻 鰼 鰽 鰾 鰿 鱀 鱁 鱂 鱃 鱄 鱅 鱆 鱇 鱈 鱉 鱊 鱋 鱌 鱍 鱎 鱏 鱐 鱑 鱒 鱓 鱔 鱕 鱖 鱗 鱘 鱙 鱚 鱛 鱜 鱝 鱞 鱟 鱠 鱡 鱢 鱣 鱤 鱥 鱦 鱧 鱨 鱩 鱪 鱫 鱬 鱭 鱮 鱯 鱰 鱱 鱲 鱳 鱴 鱵 鱶 鱷 鱸 鱹 鱺 鱻 鱼 鱽 鱾 鱿 鲀 鲁 鲂 鲃 鲄 鲅 鲆 鲇 鲈 鲉 鲊 鲋 鲌 鲍 鲎 鲏 鲐 鲑 鲒 鲓 鲔 鲕 鲖 鲗 鲘 鲙 鲚 鲛 鲜 鲝 鲞 鲟 鲠 鲡 鲢 鲣 鲤 鲥 鲦 鲧 鲨 鲩 鲪 鲫 鲬 鲭 鲮 鲯 鲰 鲱 鲲 鲳 鲴 鲵 鲶 鲷 鲸 鲹 鲺 鲻 鲼 鲽 鲾 鲿 鳀 鳁 鳂 鳃 鳄 鳅 鳆 鳇 鳈 鳉 鳊 鳋 鳌 鳍 鳎 鳏 鳐 鳑 鳒 鳓 鳔 鳕 鳖 鳗 鳘 鳙 鳚 鳛 鳜 鳝 鳞 鳟 鳠 鳡 鳢 鳣 鳤 鳥 鳦 鳧 鳨 鳩 鳪 鳫 鳬 鳭 鳮 鳯 鳰 鳱 鳲 鳳 鳴 鳵 鳶 鳷 鳸 鳹 鳺 鳻 鳼 鳽 鳾 鳿</t>
        </is>
      </c>
      <c r="Q228" s="38" t="inlineStr">
        <is>
          <t>鰀 鰁 鰂 鰃 鰄 鰅 鰆 鰇 鰈 鰉 鰊 鰋 鰌 鰍 鰎 鰏 鰐 鰑 鰒 鰓 鰔 鰕 鰖 鰗 鰘 鰙 鰚 鰛 鰜 鰝 鰞 鰟 鰠 鰡 鰢 鰣 鰤 鰥 鰦 鰧 鰨 鰩 鰪 鰫 鰬 鰭 鰮 鰯 鰰 鰱 鰲 鰳 鰴 鰵 鰶 鰷 鰸 鰹 鰺 鰻 鰼 鰽 鰾 鰿 鱀 鱁 鱂 鱃 鱄 鱅 鱆 鱇 鱈 鱉 鱊 鱋 鱌 鱍 鱎 鱏 鱐 鱑 鱒 鱓 鱔 鱕 鱖 鱗 鱘 鱙 鱚 鱛 鱜 鱝 鱞 鱟 鱠 鱡 鱢 鱣 鱤 鱥 鱦 鱧 鱨 鱩 鱪 鱫 鱬 鱭 鱮 鱯 鱰 鱱 鱲 鱳 鱴 鱵 鱶 鱷 鱸 鱹 鱺 鱻 鱼 鱽 鱾 鱿 鲀 鲁 鲂 鲃 鲄 鲅 鲆 鲇 鲈 鲉 鲊 鲋 鲌 鲍 鲎 鲏 鲐 鲑 鲒 鲓 鲔 鲕 鲖 鲗 鲘 鲙 鲚 鲛 鲜 鲝 鲞 鲟 鲠 鲡 鲢 鲣 鲤 鲥 鲦 鲧 鲨 鲩 鲪 鲫 鲬 鲭 鲮 鲯 鲰 鲱 鲲 鲳 鲴 鲵 鲶 鲷 鲸 鲹 鲺 鲻 鲼 鲽 鲾 鲿 鳀 鳁 鳂 鳃 鳄 鳅 鳆 鳇 鳈 鳉 鳊 鳋 鳌 鳍 鳎 鳏 鳐 鳑 鳒 鳓 鳔 鳕 鳖 鳗 鳘 鳙 鳚 鳛 鳜 鳝 鳞 鳟 鳠 鳡 鳢 鳣 鳤 鳥 鳦 鳧 鳨 鳩 鳪 鳫 鳬 鳭 鳮 鳯 鳰 鳱 鳲 鳳 鳴 鳵 鳶 鳷 鳸 鳹 鳺 鳻 鳼 鳽 鳾 鳿</t>
        </is>
      </c>
      <c r="R228" s="43" t="inlineStr">
        <is>
          <t>鰀 鰁 鰃 鰄 鰆 鰇 鰊 鰋 鰍 鰎 鰐 鰑 鰒 鰓 鰔 鰕 鰖 鰗 鰘 鰙 鰚 鰛 鰜 鰠 鰣 鰦 鰧 鰨 鰩 鰪 鰫 鰬 鰭 鰮 鰰 鰱 鰲 鰴 鰵 鰶 鰷 鰹 鰻 鰼 鰽 鰾 鰿 鱀 鱁 鱂 鱃 鱄 鱅 鱇 鱈 鱉 鱊 鱋 鱌 鱍 鱎 鱐 鱑 鱒 鱓 鱔 鱕 鱖 鱗 鱘 鱙 鱝 鱞 鱟 鱠 鱡 鱢 鱣 鱤 鱥 鱦 鱧 鱨 鱩 鱪 鱫 鱬 鱭 鱮 鱯 鱰 鱱 鱴 鱵 鱶 鱸 鱹 鱺 鱻 鱽 鱿 鲁 鲂 鲅 鲆 鲈 鲊 鲋 鲍 鲎 鲏 鲐 鲑 鲒 鲓 鲔 鲘 鲙 鲚 鲛 鲝 鲞 鲠 鲢 鲤 鲦 鲧 鲨 鲩 鲪 鲯 鲰 鲵 鲶 鲷 鲸 鲹 鲻 鲼 鲽 鳀 鳁 鳂 鳃 鳅 鳆 鳇 鳈 鳉 鳊 鳋 鳌 鳍 鳑 鳒 鳔 鳕 鳖 鳗 鳘 鳙 鳚 鳜 鳞 鳠 鳡 鳢 鳤 鳥 鳧 鳨 鳩 鳫 鳬 鳮 鳯 鳰 鳱 鳲 鳳 鳵 鳶 鳷 鳸 鳹 鳺 鳻 鳼 鳽 鳾 鳿</t>
        </is>
      </c>
      <c r="S228" s="40" t="n"/>
      <c r="V228" s="14">
        <f>(LEN(O228)+1)/2</f>
        <v/>
      </c>
      <c r="W228" s="14">
        <f>ROUNDDOWN((LEN(P228)+1)/2,0)</f>
        <v/>
      </c>
      <c r="X228" s="14">
        <f>ROUNDDOWN((LEN(Q228)+1)/2,0)</f>
        <v/>
      </c>
      <c r="Y228" s="14">
        <f>ROUNDDOWN((LEN(R228)+1)/2,0)</f>
        <v/>
      </c>
      <c r="Z228" s="14">
        <f>ROUNDDOWN((LEN(S228)+1)/2,0)</f>
        <v/>
      </c>
      <c r="AA228" s="56" t="n">
        <v>46150.55857764251</v>
      </c>
    </row>
    <row r="229" ht="102" customHeight="1">
      <c r="B229" s="46" t="inlineStr">
        <is>
          <t>U+9D00-U+9DFF</t>
        </is>
      </c>
      <c r="C229" s="46" t="inlineStr">
        <is>
          <t>CJK Unified Ideographs</t>
        </is>
      </c>
      <c r="D229" s="54">
        <f>HEX2DEC(MID(B229,3,FIND("-",E229)-3))</f>
        <v/>
      </c>
      <c r="E229" s="46" t="inlineStr">
        <is>
          <t>U+4E00-U+9FFF</t>
        </is>
      </c>
      <c r="F229" s="12" t="n">
        <v>3</v>
      </c>
      <c r="J229" s="19">
        <f>ROUNDDOWN(W229,0)/$V229</f>
        <v/>
      </c>
      <c r="K229" s="19">
        <f>ROUNDDOWN(X229,0)/$V229</f>
        <v/>
      </c>
      <c r="L229" s="19">
        <f>ROUNDDOWN(Y229,0)/$V229</f>
        <v/>
      </c>
      <c r="M229" s="19">
        <f>ROUNDDOWN(Z229,0)/$V229</f>
        <v/>
      </c>
      <c r="O229" s="36" t="inlineStr">
        <is>
          <t>鴀 鴁 鴂 鴃 鴄 鴅 鴆 鴇 鴈 鴉 鴊 鴋 鴌 鴍 鴎 鴏 鴐 鴑 鴒 鴓 鴔 鴕 鴖 鴗 鴘 鴙 鴚 鴛 鴜 鴝 鴞 鴟 鴠 鴡 鴢 鴣 鴤 鴥 鴦 鴧 鴨 鴩 鴪 鴫 鴬 鴭 鴮 鴯 鴰 鴱 鴲 鴳 鴴 鴵 鴶 鴷 鴸 鴹 鴺 鴻 鴼 鴽 鴾 鴿 鵀 鵁 鵂 鵃 鵄 鵅 鵆 鵇 鵈 鵉 鵊 鵋 鵌 鵍 鵎 鵏 鵐 鵑 鵒 鵓 鵔 鵕 鵖 鵗 鵘 鵙 鵚 鵛 鵜 鵝 鵞 鵟 鵠 鵡 鵢 鵣 鵤 鵥 鵦 鵧 鵨 鵩 鵪 鵫 鵬 鵭 鵮 鵯 鵰 鵱 鵲 鵳 鵴 鵵 鵶 鵷 鵸 鵹 鵺 鵻 鵼 鵽 鵾 鵿 鶀 鶁 鶂 鶃 鶄 鶅 鶆 鶇 鶈 鶉 鶊 鶋 鶌 鶍 鶎 鶏 鶐 鶑 鶒 鶓 鶔 鶕 鶖 鶗 鶘 鶙 鶚 鶛 鶜 鶝 鶞 鶟 鶠 鶡 鶢 鶣 鶤 鶥 鶦 鶧 鶨 鶩 鶪 鶫 鶬 鶭 鶮 鶯 鶰 鶱 鶲 鶳 鶴 鶵 鶶 鶷 鶸 鶹 鶺 鶻 鶼 鶽 鶾 鶿 鷀 鷁 鷂 鷃 鷄 鷅 鷆 鷇 鷈 鷉 鷊 鷋 鷌 鷍 鷎 鷏 鷐 鷑 鷒 鷓 鷔 鷕 鷖 鷗 鷘 鷙 鷚 鷛 鷜 鷝 鷞 鷟 鷠 鷡 鷢 鷣 鷤 鷥 鷦 鷧 鷨 鷩 鷪 鷫 鷬 鷭 鷮 鷯 鷰 鷱 鷲 鷳 鷴 鷵 鷶 鷷 鷸 鷹 鷺 鷻 鷼 鷽 鷾 鷿</t>
        </is>
      </c>
      <c r="P229" s="37" t="inlineStr">
        <is>
          <t>鴀 鴁 鴂 鴃 鴄 鴅 鴆 鴇 鴈 鴉 鴊 鴋 鴌 鴍 鴎 鴏 鴐 鴑 鴒 鴓 鴔 鴕 鴖 鴗 鴘 鴙 鴚 鴛 鴜 鴝 鴞 鴟 鴠 鴡 鴢 鴣 鴤 鴥 鴦 鴧 鴨 鴩 鴪 鴫 鴬 鴭 鴮 鴯 鴰 鴱 鴲 鴳 鴴 鴵 鴶 鴷 鴸 鴹 鴺 鴻 鴼 鴽 鴾 鴿 鵀 鵁 鵂 鵃 鵄 鵅 鵆 鵇 鵈 鵉 鵊 鵋 鵌 鵍 鵎 鵏 鵐 鵑 鵒 鵓 鵔 鵕 鵖 鵗 鵘 鵙 鵚 鵛 鵜 鵝 鵞 鵟 鵠 鵡 鵢 鵣 鵤 鵥 鵦 鵧 鵨 鵩 鵪 鵫 鵬 鵭 鵮 鵯 鵰 鵱 鵲 鵳 鵴 鵵 鵶 鵷 鵸 鵹 鵺 鵻 鵼 鵽 鵾 鵿 鶀 鶁 鶂 鶃 鶄 鶅 鶆 鶇 鶈 鶉 鶊 鶋 鶌 鶍 鶎 鶏 鶐 鶑 鶒 鶓 鶔 鶕 鶖 鶗 鶘 鶙 鶚 鶛 鶜 鶝 鶞 鶟 鶠 鶡 鶢 鶣 鶤 鶥 鶦 鶧 鶨 鶩 鶪 鶫 鶬 鶭 鶮 鶯 鶰 鶱 鶲 鶳 鶴 鶵 鶶 鶷 鶸 鶹 鶺 鶻 鶼 鶽 鶾 鶿 鷀 鷁 鷂 鷃 鷄 鷅 鷆 鷇 鷈 鷉 鷊 鷋 鷌 鷍 鷎 鷏 鷐 鷑 鷒 鷓 鷔 鷕 鷖 鷗 鷘 鷙 鷚 鷛 鷜 鷝 鷞 鷟 鷠 鷡 鷢 鷣 鷤 鷥 鷦 鷧 鷨 鷩 鷪 鷫 鷬 鷭 鷮 鷯 鷰 鷱 鷲 鷳 鷴 鷵 鷶 鷷 鷸 鷹 鷺 鷻 鷼 鷽 鷾 鷿</t>
        </is>
      </c>
      <c r="Q229" s="38" t="inlineStr">
        <is>
          <t>鴀 鴁 鴂 鴃 鴄 鴅 鴆 鴇 鴈 鴉 鴊 鴋 鴌 鴍 鴎 鴏 鴐 鴑 鴒 鴓 鴔 鴕 鴖 鴗 鴘 鴙 鴚 鴛 鴜 鴝 鴞 鴟 鴠 鴡 鴢 鴣 鴤 鴥 鴦 鴧 鴨 鴩 鴪 鴫 鴬 鴭 鴮 鴯 鴰 鴱 鴲 鴳 鴴 鴵 鴶 鴷 鴸 鴹 鴺 鴻 鴼 鴽 鴾 鴿 鵀 鵁 鵂 鵃 鵄 鵅 鵆 鵇 鵈 鵉 鵊 鵋 鵌 鵍 鵎 鵏 鵐 鵑 鵒 鵓 鵔 鵕 鵖 鵗 鵘 鵙 鵚 鵛 鵜 鵝 鵞 鵟 鵠 鵡 鵢 鵣 鵤 鵥 鵦 鵧 鵨 鵩 鵪 鵫 鵬 鵭 鵮 鵯 鵰 鵱 鵲 鵳 鵴 鵵 鵶 鵷 鵸 鵹 鵺 鵻 鵼 鵽 鵾 鵿 鶀 鶁 鶂 鶃 鶄 鶅 鶆 鶇 鶈 鶉 鶊 鶋 鶌 鶍 鶎 鶏 鶐 鶑 鶒 鶓 鶔 鶕 鶖 鶗 鶘 鶙 鶚 鶛 鶜 鶝 鶞 鶟 鶠 鶡 鶢 鶣 鶤 鶥 鶦 鶧 鶨 鶩 鶪 鶫 鶬 鶭 鶮 鶯 鶰 鶱 鶲 鶳 鶴 鶵 鶶 鶷 鶸 鶹 鶺 鶻 鶼 鶽 鶾 鶿 鷀 鷁 鷂 鷃 鷄 鷅 鷆 鷇 鷈 鷉 鷊 鷋 鷌 鷍 鷎 鷏 鷐 鷑 鷒 鷓 鷔 鷕 鷖 鷗 鷘 鷙 鷚 鷛 鷜 鷝 鷞 鷟 鷠 鷡 鷢 鷣 鷤 鷥 鷦 鷧 鷨 鷩 鷪 鷫 鷬 鷭 鷮 鷯 鷰 鷱 鷲 鷳 鷴 鷵 鷶 鷷 鷸 鷹 鷺 鷻 鷼 鷽 鷾 鷿</t>
        </is>
      </c>
      <c r="R229" s="43" t="inlineStr">
        <is>
          <t>鴀 鴁 鴂 鴃 鴅 鴆 鴇 鴈 鴉 鴊 鴋 鴌 鴍 鴎 鴏 鴐 鴑 鴒 鴓 鴔 鴕 鴖 鴗 鴘 鴙 鴚 鴛 鴜 鴝 鴞 鴟 鴠 鴡 鴣 鴤 鴥 鴦 鴨 鴩 鴬 鴮 鴯 鴱 鴴 鴶 鴷 鴸 鴹 鴺 鴻 鴼 鴽 鴾 鴿 鵀 鵁 鵄 鵅 鵆 鵈 鵉 鵊 鵋 鵌 鵍 鵎 鵏 鵒 鵓 鵖 鵗 鵘 鵚 鵜 鵝 鵞 鵟 鵠 鵤 鵥 鵧 鵨 鵮 鵯 鵲 鵳 鵴 鵵 鵶 鵸 鵹 鵺 鵻 鵾 鵿 鶀 鶁 鶂 鶃 鶄 鶅 鶆 鶈 鶋 鶍 鶎 鶑 鶕 鶖 鶗 鶙 鶛 鶝 鶠 鶡 鶢 鶦 鶩 鶫 鶬 鶭 鶮 鶯 鶰 鶱 鶲 鶴 鶶 鶷 鶹 鶺 鶻 鶼 鶾 鶿 鷀 鷁 鷂 鷃 鷄 鷅 鷆 鷇 鷈 鷉 鷊 鷍 鷎 鷏 鷑 鷒 鷔 鷕 鷖 鷗 鷘 鷙 鷚 鷛 鷜 鷝 鷟 鷠 鷢 鷣 鷥 鷦 鷧 鷨 鷩 鷪 鷬 鷭 鷮 鷯 鷰 鷱 鷲 鷳 鷴 鷵 鷶 鷷 鷹 鷺 鷼 鷽 鷾 鷿</t>
        </is>
      </c>
      <c r="S229" s="40" t="n"/>
      <c r="V229" s="14">
        <f>(LEN(O229)+1)/2</f>
        <v/>
      </c>
      <c r="W229" s="14">
        <f>ROUNDDOWN((LEN(P229)+1)/2,0)</f>
        <v/>
      </c>
      <c r="X229" s="14">
        <f>ROUNDDOWN((LEN(Q229)+1)/2,0)</f>
        <v/>
      </c>
      <c r="Y229" s="14">
        <f>ROUNDDOWN((LEN(R229)+1)/2,0)</f>
        <v/>
      </c>
      <c r="Z229" s="14">
        <f>ROUNDDOWN((LEN(S229)+1)/2,0)</f>
        <v/>
      </c>
      <c r="AA229" s="56" t="n">
        <v>46150.55858083785</v>
      </c>
    </row>
    <row r="230" ht="102" customHeight="1">
      <c r="B230" s="46" t="inlineStr">
        <is>
          <t>U+9E00-U+9EFF</t>
        </is>
      </c>
      <c r="C230" s="46" t="inlineStr">
        <is>
          <t>CJK Unified Ideographs</t>
        </is>
      </c>
      <c r="D230" s="54">
        <f>HEX2DEC(MID(B230,3,FIND("-",E230)-3))</f>
        <v/>
      </c>
      <c r="E230" s="46" t="inlineStr">
        <is>
          <t>U+4E00-U+9FFF</t>
        </is>
      </c>
      <c r="F230" s="12" t="n">
        <v>3</v>
      </c>
      <c r="J230" s="19">
        <f>ROUNDDOWN(W230,0)/$V230</f>
        <v/>
      </c>
      <c r="K230" s="19">
        <f>ROUNDDOWN(X230,0)/$V230</f>
        <v/>
      </c>
      <c r="L230" s="19">
        <f>ROUNDDOWN(Y230,0)/$V230</f>
        <v/>
      </c>
      <c r="M230" s="19">
        <f>ROUNDDOWN(Z230,0)/$V230</f>
        <v/>
      </c>
      <c r="O230" s="36" t="inlineStr">
        <is>
          <t>鸀 鸁 鸂 鸃 鸄 鸅 鸆 鸇 鸈 鸉 鸊 鸋 鸌 鸍 鸎 鸏 鸐 鸑 鸒 鸓 鸔 鸕 鸖 鸗 鸘 鸙 鸚 鸛 鸜 鸝 鸞 鸟 鸠 鸡 鸢 鸣 鸤 鸥 鸦 鸧 鸨 鸩 鸪 鸫 鸬 鸭 鸮 鸯 鸰 鸱 鸲 鸳 鸴 鸵 鸶 鸷 鸸 鸹 鸺 鸻 鸼 鸽 鸾 鸿 鹀 鹁 鹂 鹃 鹄 鹅 鹆 鹇 鹈 鹉 鹊 鹋 鹌 鹍 鹎 鹏 鹐 鹑 鹒 鹓 鹔 鹕 鹖 鹗 鹘 鹙 鹚 鹛 鹜 鹝 鹞 鹟 鹠 鹡 鹢 鹣 鹤 鹥 鹦 鹧 鹨 鹩 鹪 鹫 鹬 鹭 鹮 鹯 鹰 鹱 鹲 鹳 鹴 鹵 鹶 鹷 鹸 鹹 鹺 鹻 鹼 鹽 鹾 鹿 麀 麁 麂 麃 麄 麅 麆 麇 麈 麉 麊 麋 麌 麍 麎 麏 麐 麑 麒 麓 麔 麕 麖 麗 麘 麙 麚 麛 麜 麝 麞 麟 麠 麡 麢 麣 麤 麥 麦 麧 麨 麩 麪 麫 麬 麭 麮 麯 麰 麱 麲 麳 麴 麵 麶 麷 麸 麹 麺 麻 麼 麽 麾 麿 黀 黁 黂 黃 黄 黅 黆 黇 黈 黉 黊 黋 黌 黍 黎 黏 黐 黑 黒 黓 黔 黕 黖 黗 默 黙 黚 黛 黜 黝 點 黟 黠 黡 黢 黣 黤 黥 黦 黧 黨 黩 黪 黫 黬 黭 黮 黯 黰 黱 黲 黳 黴 黵 黶 黷 黸 黹 黺 黻 黼 黽 黾 黿</t>
        </is>
      </c>
      <c r="P230" s="37" t="inlineStr">
        <is>
          <t>鸀 鸁 鸂 鸃 鸄 鸅 鸆 鸇 鸈 鸉 鸊 鸋 鸌 鸍 鸎 鸏 鸐 鸑 鸒 鸓 鸔 鸕 鸖 鸗 鸘 鸙 鸚 鸛 鸜 鸝 鸞 鸟 鸠 鸡 鸢 鸣 鸤 鸥 鸦 鸧 鸨 鸩 鸪 鸫 鸬 鸭 鸮 鸯 鸰 鸱 鸲 鸳 鸴 鸵 鸶 鸷 鸸 鸹 鸺 鸻 鸼 鸽 鸾 鸿 鹀 鹁 鹂 鹃 鹄 鹅 鹆 鹇 鹈 鹉 鹊 鹋 鹌 鹍 鹎 鹏 鹐 鹑 鹒 鹓 鹔 鹕 鹖 鹗 鹘 鹙 鹚 鹛 鹜 鹝 鹞 鹟 鹠 鹡 鹢 鹣 鹤 鹥 鹦 鹧 鹨 鹩 鹪 鹫 鹬 鹭 鹮 鹯 鹰 鹱 鹲 鹳 鹴 鹵 鹶 鹷 鹸 鹹 鹺 鹻 鹼 鹽 鹾 鹿 麀 麁 麂 麃 麄 麅 麆 麇 麈 麉 麊 麋 麌 麍 麎 麏 麐 麑 麒 麓 麔 麕 麖 麗 麘 麙 麚 麛 麜 麝 麞 麟 麠 麡 麢 麣 麤 麥 麦 麧 麨 麩 麪 麫 麬 麭 麮 麯 麰 麱 麲 麳 麴 麵 麶 麷 麸 麹 麺 麻 麼 麽 麾 麿 黀 黁 黂 黃 黄 黅 黆 黇 黈 黉 黊 黋 黌 黍 黎 黏 黐 黑 黒 黓 黔 黕 黖 黗 默 黙 黚 黛 黜 黝 點 黟 黠 黡 黢 黣 黤 黥 黦 黧 黨 黩 黪 黫 黬 黭 黮 黯 黰 黱 黲 黳 黴 黵 黶 黷 黸 黹 黺 黻 黼 黽 黾 黿</t>
        </is>
      </c>
      <c r="Q230" s="38" t="inlineStr">
        <is>
          <t>鸀 鸁 鸂 鸃 鸄 鸅 鸆 鸇 鸈 鸉 鸊 鸋 鸌 鸍 鸎 鸏 鸐 鸑 鸒 鸓 鸔 鸕 鸖 鸗 鸘 鸙 鸚 鸛 鸜 鸝 鸞 鸟 鸠 鸡 鸢 鸣 鸤 鸥 鸦 鸧 鸨 鸩 鸪 鸫 鸬 鸭 鸮 鸯 鸰 鸱 鸲 鸳 鸴 鸵 鸶 鸷 鸸 鸹 鸺 鸻 鸼 鸽 鸾 鸿 鹀 鹁 鹂 鹃 鹄 鹅 鹆 鹇 鹈 鹉 鹊 鹋 鹌 鹍 鹎 鹏 鹐 鹑 鹒 鹓 鹔 鹕 鹖 鹗 鹘 鹙 鹚 鹛 鹜 鹝 鹞 鹟 鹠 鹡 鹢 鹣 鹤 鹥 鹦 鹧 鹨 鹩 鹪 鹫 鹬 鹭 鹮 鹯 鹰 鹱 鹲 鹳 鹴 鹵 鹶 鹷 鹸 鹹 鹺 鹻 鹼 鹽 鹾 鹿 麀 麁 麂 麃 麄 麅 麆 麇 麈 麉 麊 麋 麌 麍 麎 麏 麐 麑 麒 麓 麔 麕 麖 麗 麘 麙 麚 麛 麜 麝 麞 麟 麠 麡 麢 麣 麤 麥 麦 麧 麨 麩 麪 麫 麬 麭 麮 麯 麰 麱 麲 麳 麴 麵 麶 麷 麸 麹 麺 麻 麼 麽 麾 麿 黀 黁 黂 黃 黄 黅 黆 黇 黈 黉 黊 黋 黌 黍 黎 黏 黐 黑 黒 黓 黔 黕 黖 黗 默 黙 黚 黛 黜 黝 點 黟 黠 黡 黢 黣 黤 黥 黦 黧 黨 黩 黪 黫 黬 黭 黮 黯 黰 黱 黲 黳 黴 黵 黶 黷 黸 黹 黺 黻 黼 黽 黾 黿</t>
        </is>
      </c>
      <c r="R230" s="43" t="inlineStr">
        <is>
          <t>鸁 鸂 鸄 鸅 鸇 鸈 鸉 鸊 鸋 鸌 鸍 鸎 鸏 鸐 鸑 鸒 鸔 鸕 鸗 鸘 鸙 鸚 鸛 鸜 鸞 鸟 鸠 鸢 鸤 鸥 鸦 鸨 鸪 鸬 鸭 鸮 鸯 鸰 鸱 鸲 鸳 鸴 鸵 鸶 鸷 鸹 鸺 鸻 鸼 鸽 鸾 鹁 鹂 鹅 鹆 鹈 鹊 鹋 鹌 鹎 鹐 鹔 鹕 鹗 鹘 鹙 鹚 鹜 鹝 鹞 鹟 鹠 鹡 鹢 鹣 鹥 鹨 鹩 鹪 鹫 鹭 鹮 鹯 鹰 鹲 鹳 鹵 鹶 鹷 鹹 鹺 鹻 鹼 鹽 鹾 鹿 麀 麁 麂 麃 麄 麅 麆 麇 麈 麉 麊 麋 麌 麍 麎 麏 麐 麑 麒 麓 麔 麕 麖 麗 麘 麙 麚 麛 麜 麝 麞 麟 麠 麡 麢 麣 麤 麥 麦 麧 麨 麩 麪 麫 麬 麭 麮 麯 麰 麲 麳 麴 麵 麷 麸 麹 麺 麻 麼 麽 麾 麿 黀 黁 黂 黃 黄 黅 黆 黇 黈 黉 黊 黋 黌 黍 黎 黏 黐 黑 黒 黓 黔 黕 黖 黗 默 黙 黛 黝 黟 黠 黡 黣 黤 黦 黧 黨 黩 黪 黫 黬 黭 黮 黱 黳 黴 黵 黶 黸 黹 黺 黻 黽 黾 黿</t>
        </is>
      </c>
      <c r="S230" s="40" t="n"/>
      <c r="V230" s="14">
        <f>(LEN(O230)+1)/2</f>
        <v/>
      </c>
      <c r="W230" s="14">
        <f>ROUNDDOWN((LEN(P230)+1)/2,0)</f>
        <v/>
      </c>
      <c r="X230" s="14">
        <f>ROUNDDOWN((LEN(Q230)+1)/2,0)</f>
        <v/>
      </c>
      <c r="Y230" s="14">
        <f>ROUNDDOWN((LEN(R230)+1)/2,0)</f>
        <v/>
      </c>
      <c r="Z230" s="14">
        <f>ROUNDDOWN((LEN(S230)+1)/2,0)</f>
        <v/>
      </c>
      <c r="AA230" s="56" t="n">
        <v>46150.5585838507</v>
      </c>
    </row>
    <row r="231" ht="102" customHeight="1">
      <c r="B231" s="46" t="inlineStr">
        <is>
          <t>U+9F00-U+9FFF</t>
        </is>
      </c>
      <c r="C231" s="46" t="inlineStr">
        <is>
          <t>CJK Unified Ideographs</t>
        </is>
      </c>
      <c r="D231" s="54">
        <f>HEX2DEC(MID(B231,3,FIND("-",E231)-3))</f>
        <v/>
      </c>
      <c r="E231" s="46" t="inlineStr">
        <is>
          <t>U+4E00-U+9FFF</t>
        </is>
      </c>
      <c r="F231" s="12" t="n">
        <v>3</v>
      </c>
      <c r="J231" s="19">
        <f>ROUNDDOWN(W231,0)/$V231</f>
        <v/>
      </c>
      <c r="K231" s="19">
        <f>ROUNDDOWN(X231,0)/$V231</f>
        <v/>
      </c>
      <c r="L231" s="19">
        <f>ROUNDDOWN(Y231,0)/$V231</f>
        <v/>
      </c>
      <c r="M231" s="19">
        <f>ROUNDDOWN(Z231,0)/$V231</f>
        <v/>
      </c>
      <c r="O231" s="36" t="inlineStr">
        <is>
          <t>鼀 鼁 鼂 鼃 鼄 鼅 鼆 鼇 鼈 鼉 鼊 鼋 鼌 鼍 鼎 鼏 鼐 鼑 鼒 鼓 鼔 鼕 鼖 鼗 鼘 鼙 鼚 鼛 鼜 鼝 鼞 鼟 鼠 鼡 鼢 鼣 鼤 鼥 鼦 鼧 鼨 鼩 鼪 鼫 鼬 鼭 鼮 鼯 鼰 鼱 鼲 鼳 鼴 鼵 鼶 鼷 鼸 鼹 鼺 鼻 鼼 鼽 鼾 鼿 齀 齁 齂 齃 齄 齅 齆 齇 齈 齉 齊 齋 齌 齍 齎 齏 齐 齑 齒 齓 齔 齕 齖 齗 齘 齙 齚 齛 齜 齝 齞 齟 齠 齡 齢 齣 齤 齥 齦 齧 齨 齩 齪 齫 齬 齭 齮 齯 齰 齱 齲 齳 齴 齵 齶 齷 齸 齹 齺 齻 齼 齽 齾 齿 龀 龁 龂 龃 龄 龅 龆 龇 龈 龉 龊 龋 龌 龍 龎 龏 龐 龑 龒 龓 龔 龕 龖 龗 龘 龙 龚 龛 龜 龝 龞 龟 龠 龡 龢 龣 龤 龥 龦 龧 龨 龩 龪 龫 龬 龭 龮 龯 龰 龱 龲 龳 龴 龵 龶 龷 龸 龹 龺 龻 龼 龽 龾 龿 鿀 鿁 鿂 鿃 鿄 鿅 鿆 鿇 鿈 鿉 鿊 鿋 鿌 鿍 鿎 鿏 鿐 鿑 鿒 鿓 鿔 鿕 鿖 鿗 鿘 鿙 鿚 鿛 鿜 鿝 鿞 鿟 鿠 鿡 鿢 鿣 鿤 鿥 鿦 鿧 鿨 鿩 鿪 鿫 鿬 鿭 鿮 鿯 鿰 鿱 鿲 鿳 鿴 鿵 鿶 鿷 鿸 鿹 鿺 鿻 鿼 鿽 鿾 鿿</t>
        </is>
      </c>
      <c r="P231" s="37" t="inlineStr">
        <is>
          <t>鼀 鼁 鼂 鼃 鼄 鼅 鼆 鼇 鼈 鼉 鼊 鼋 鼌 鼍 鼎 鼏 鼐 鼑 鼒 鼓 鼔 鼕 鼖 鼗 鼘 鼙 鼚 鼛 鼜 鼝 鼞 鼟 鼠 鼡 鼢 鼣 鼤 鼥 鼦 鼧 鼨 鼩 鼪 鼫 鼬 鼭 鼮 鼯 鼰 鼱 鼲 鼳 鼴 鼵 鼶 鼷 鼸 鼹 鼺 鼻 鼼 鼽 鼾 鼿 齀 齁 齂 齃 齄 齅 齆 齇 齈 齉 齊 齋 齌 齍 齎 齏 齐 齑 齒 齓 齔 齕 齖 齗 齘 齙 齚 齛 齜 齝 齞 齟 齠 齡 齢 齣 齤 齥 齦 齧 齨 齩 齪 齫 齬 齭 齮 齯 齰 齱 齲 齳 齴 齵 齶 齷 齸 齹 齺 齻 齼 齽 齾 齿 龀 龁 龂 龃 龄 龅 龆 龇 龈 龉 龊 龋 龌 龍 龎 龏 龐 龑 龒 龓 龔 龕 龖 龗 龘 龙 龚 龛 龜 龝 龞 龟 龠 龡 龢 龣 龤 龥 龦 龧 龨 龩 龪 龫 龬 龭 龮 龯 龰 龱 龲 龳 龴 龵 龶 龷 龸 龹 龺 龻 龼 龽 龾 龿 鿀 鿁 鿂 鿃 鿄 鿅 鿆 鿇 鿈 鿉 鿊 鿋 鿌 鿍 鿎 鿏 鿐 鿑 鿒 鿓 鿔 鿕 鿖 鿗 鿘 鿙 鿚 鿛 鿜 鿝 鿞 鿟 鿠 鿡 鿢 鿣 鿤 鿥 鿦 鿧 鿨 鿩 鿪 鿫 鿬 鿭 鿮 鿯 鿰 鿱 鿲 鿳 鿴 鿵 鿶 鿷 鿸 鿹 鿺 鿻 鿼 鿽 鿾 鿿</t>
        </is>
      </c>
      <c r="Q231" s="38" t="inlineStr">
        <is>
          <t>鼀 鼁 鼂 鼃 鼄 鼅 鼆 鼇 鼈 鼉 鼊 鼋 鼌 鼍 鼎 鼏 鼐 鼑 鼒 鼓 鼔 鼕 鼖 鼗 鼘 鼙 鼚 鼛 鼜 鼝 鼞 鼟 鼠 鼡 鼢 鼣 鼤 鼥 鼦 鼧 鼨 鼩 鼪 鼫 鼬 鼭 鼮 鼯 鼰 鼱 鼲 鼳 鼴 鼵 鼶 鼷 鼸 鼹 鼺 鼻 鼼 鼽 鼾 鼿 齀 齁 齂 齃 齄 齅 齆 齇 齈 齉 齊 齋 齌 齍 齎 齏 齐 齑 齒 齓 齔 齕 齖 齗 齘 齙 齚 齛 齜 齝 齞 齟 齠 齡 齢 齣 齤 齥 齦 齧 齨 齩 齪 齫 齬 齭 齮 齯 齰 齱 齲 齳 齴 齵 齶 齷 齸 齹 齺 齻 齼 齽 齾 齿 龀 龁 龂 龃 龄 龅 龆 龇 龈 龉 龊 龋 龌 龍 龎 龏 龐 龑 龒 龓 龔 龕 龖 龗 龘 龙 龚 龛 龜 龝 龞 龟 龠 龡 龢 龣 龤 龥 龦 龧 龨 龩 龪 龫 龬 龭 龮 龯 龰 龱 龲 龳 龴 龵 龶 龷 龸 龹 龺 龻 龼 龽 龾 龿 鿀 鿁 鿂 鿃 鿄 鿅 鿆 鿇 鿈 鿉 鿊 鿋 鿌 鿍 鿎 鿏 鿐 鿑 鿒 鿓 鿔 鿕 鿖 鿗 鿘 鿙 鿚 鿛 鿜 鿝 鿞 鿟 鿠 鿡 鿢 鿣 鿤 鿥 鿦 鿧 鿨 鿩 鿪 鿫 鿬 鿭 鿮 鿯 鿰 鿱 鿲 鿳 鿴 鿵 鿶 鿷 鿸 鿹 鿺 鿻 鿼 鿽 鿾 鿿</t>
        </is>
      </c>
      <c r="R231" s="43" t="inlineStr">
        <is>
          <t>鼀 鼁 鼂 鼃 鼄 鼅 鼇 鼈 鼉 鼊 鼋 鼌 鼍 鼎 鼏 鼐 鼑 鼒 鼓 鼔 鼕 鼖 鼗 鼘 鼙 鼚 鼛 鼜 鼝 鼞 鼟 鼠 鼡 鼢 鼣 鼤 鼥 鼦 鼧 鼨 鼩 鼪 鼫 鼬 鼭 鼮 鼯 鼰 鼱 鼲 鼳 鼴 鼵 鼶 鼷 鼸 鼹 鼺 鼻 鼼 鼽 鼾 鼿 齀 齁 齂 齃 齄 齅 齆 齇 齈 齊 齋 齌 齍 齎 齏 齐 齑 齒 齔 齕 齖 齗 齘 齙 齚 齛 齜 齝 齞 齟 齠 齡 齢 齣 齤 齥 齧 齩 齪 齬 齭 齮 齯 齰 齱 齲 齴 齷 齸 齹 齺 齼 齽 齾 齿 龀 龁 龂 龃 龄 龅 龆 龇 龉 龊 龋 龌 龎 龏 龐 龑 龒 龔 龕 龗 龘 龙 龚 龛 龜 龝 龞 龟 龠 龡 龢 龣 龤 龥 龦 龧 龨 龩 龪 龫 龬 龭 龮 龯 龰 龱 龲 龳 龴 龵 龹 龺 龻 龼 龽 龾 龿 鿀 鿁 鿂 鿃 鿄 鿅 鿆 鿇 鿈 鿉 鿊 鿋 鿌 鿍 鿎 鿏 鿐 鿑 鿒 鿓 鿔 鿕 鿖 鿗 鿘 鿙 鿚 鿛 鿜 鿝 鿟 鿠 鿡 鿢 鿣 鿤 鿥 鿦 鿧 鿨 鿩 鿪 鿫 鿭 鿮 鿯 鿰 鿲 鿳 鿴 鿵 鿸 鿹 鿺 鿻 鿿</t>
        </is>
      </c>
      <c r="S231" s="40" t="n"/>
      <c r="V231" s="14">
        <f>(LEN(O231)+1)/2</f>
        <v/>
      </c>
      <c r="W231" s="14">
        <f>ROUNDDOWN((LEN(P231)+1)/2,0)</f>
        <v/>
      </c>
      <c r="X231" s="14">
        <f>ROUNDDOWN((LEN(Q231)+1)/2,0)</f>
        <v/>
      </c>
      <c r="Y231" s="14">
        <f>ROUNDDOWN((LEN(R231)+1)/2,0)</f>
        <v/>
      </c>
      <c r="Z231" s="14">
        <f>ROUNDDOWN((LEN(S231)+1)/2,0)</f>
        <v/>
      </c>
      <c r="AA231" s="56" t="n">
        <v>46150.55858693383</v>
      </c>
    </row>
    <row r="232" ht="76.5" customHeight="1">
      <c r="B232" s="46" t="inlineStr">
        <is>
          <t>U+A000-U+A0E8</t>
        </is>
      </c>
      <c r="C232" s="46" t="inlineStr">
        <is>
          <t>Yi Syllables</t>
        </is>
      </c>
      <c r="D232" s="54">
        <f>HEX2DEC(MID(B232,3,FIND("-",E232)-3))</f>
        <v/>
      </c>
      <c r="E232" s="46" t="inlineStr">
        <is>
          <t>U+A000-U+A48F</t>
        </is>
      </c>
      <c r="F232" s="12" t="n">
        <v>3</v>
      </c>
      <c r="J232" s="19">
        <f>ROUNDDOWN(W232,0)/$V232</f>
        <v/>
      </c>
      <c r="K232" s="19">
        <f>ROUNDDOWN(X232,0)/$V232</f>
        <v/>
      </c>
      <c r="L232" s="19">
        <f>ROUNDDOWN(Y232,0)/$V232</f>
        <v/>
      </c>
      <c r="M232" s="19">
        <f>ROUNDDOWN(Z232,0)/$V232</f>
        <v/>
      </c>
      <c r="O232" s="36" t="inlineStr">
        <is>
          <t>ꀀ ꀁ ꀂ ꀃ ꀄ ꀅ ꀆ ꀇ ꀈ ꀉ ꀊ ꀋ ꀌ ꀍ ꀎ ꀏ ꀐ ꀑ ꀒ ꀓ ꀔ ꀕ ꀖ ꀗ ꀘ ꀙ ꀚ ꀛ ꀜ ꀝ ꀞ ꀟ ꀠ ꀡ ꀢ ꀣ ꀤ ꀥ ꀦ ꀧ ꀨ ꀩ ꀪ ꀫ ꀬ ꀭ ꀮ ꀯ ꀰ ꀱ ꀲ ꀳ ꀴ ꀵ ꀶ ꀷ ꀸ ꀹ ꀺ ꀻ ꀼ ꀽ ꀾ ꀿ ꁀ ꁁ ꁂ ꁃ ꁄ ꁅ ꁆ ꁇ ꁈ ꁉ ꁊ ꁋ ꁌ ꁍ ꁎ ꁏ ꁐ ꁑ ꁒ ꁓ ꁔ ꁕ ꁖ ꁗ ꁘ ꁙ ꁚ ꁛ ꁜ ꁝ ꁞ ꁟ ꁠ ꁡ ꁢ ꁣ ꁤ ꁥ ꁦ ꁧ ꁨ ꁩ ꁪ ꁫ ꁬ ꁭ ꁮ ꁯ ꁰ ꁱ ꁲ ꁳ ꁴ ꁵ ꁶ ꁷ ꁸ ꁹ ꁺ ꁻ ꁼ ꁽ ꁾ ꁿ ꂀ ꂁ ꂂ ꂃ ꂄ ꂅ ꂆ ꂇ ꂈ ꂉ ꂊ ꂋ ꂌ ꂍ ꂎ ꂏ ꂐ ꂑ ꂒ ꂓ ꂔ ꂕ ꂖ ꂗ ꂘ ꂙ ꂚ ꂛ ꂜ ꂝ ꂞ ꂟ ꂠ ꂡ ꂢ ꂣ ꂤ ꂥ ꂦ ꂧ ꂨ ꂩ ꂪ ꂫ ꂬ ꂭ ꂮ ꂯ ꂰ ꂱ ꂲ ꂳ ꂴ ꂵ ꂶ ꂷ ꂸ ꂹ ꂺ ꂻ ꂼ ꂽ ꂾ ꂿ ꃀ ꃁ ꃂ ꃃ ꃄ ꃅ ꃆ ꃇ ꃈ ꃉ ꃊ ꃋ ꃌ ꃍ ꃎ ꃏ ꃐ ꃑ ꃒ ꃓ ꃔ ꃕ ꃖ ꃗ ꃘ ꃙ ꃚ ꃛ ꃜ ꃝ ꃞ ꃟ ꃠ ꃡ ꃢ ꃣ ꃤ ꃥ ꃦ ꃧ ꃨ</t>
        </is>
      </c>
      <c r="P232" s="37" t="inlineStr">
        <is>
          <t>ꀀ ꀁ ꀂ ꀃ ꀄ ꀅ ꀆ ꀇ ꀈ ꀉ ꀊ ꀋ ꀌ ꀍ ꀎ ꀏ ꀐ ꀑ ꀒ ꀓ ꀔ ꀕ ꀖ ꀗ ꀘ ꀙ ꀚ ꀛ ꀜ ꀝ ꀞ ꀟ ꀠ ꀡ ꀢ ꀣ ꀤ ꀥ ꀦ ꀧ ꀨ ꀩ ꀪ ꀫ ꀬ ꀭ ꀮ ꀯ ꀰ ꀱ ꀲ ꀳ ꀴ ꀵ ꀶ ꀷ ꀸ ꀹ ꀺ ꀻ ꀼ ꀽ ꀾ ꀿ ꁀ ꁁ ꁂ ꁃ ꁄ ꁅ ꁆ ꁇ ꁈ ꁉ ꁊ ꁋ ꁌ ꁍ ꁎ ꁏ ꁐ ꁑ ꁒ ꁓ ꁔ ꁕ ꁖ ꁗ ꁘ ꁙ ꁚ ꁛ ꁜ ꁝ ꁞ ꁟ ꁠ ꁡ ꁢ ꁣ ꁤ ꁥ ꁦ ꁧ ꁨ ꁩ ꁪ ꁫ ꁬ ꁭ ꁮ ꁯ ꁰ ꁱ ꁲ ꁳ ꁴ ꁵ ꁶ ꁷ ꁸ ꁹ ꁺ ꁻ ꁼ ꁽ ꁾ ꁿ ꂀ ꂁ ꂂ ꂃ ꂄ ꂅ ꂆ ꂇ ꂈ ꂉ ꂊ ꂋ ꂌ ꂍ ꂎ ꂏ ꂐ ꂑ ꂒ ꂓ ꂔ ꂕ ꂖ ꂗ ꂘ ꂙ ꂚ ꂛ ꂜ ꂝ ꂞ ꂟ ꂠ ꂡ ꂢ ꂣ ꂤ ꂥ ꂦ ꂧ ꂨ ꂩ ꂪ ꂫ ꂬ ꂭ ꂮ ꂯ ꂰ ꂱ ꂲ ꂳ ꂴ ꂵ ꂶ ꂷ ꂸ ꂹ ꂺ ꂻ ꂼ ꂽ ꂾ ꂿ ꃀ ꃁ ꃂ ꃃ ꃄ ꃅ ꃆ ꃇ ꃈ ꃉ ꃊ ꃋ ꃌ ꃍ ꃎ ꃏ ꃐ ꃑ ꃒ ꃓ ꃔ ꃕ ꃖ ꃗ ꃘ ꃙ ꃚ ꃛ ꃜ ꃝ ꃞ ꃟ ꃠ ꃡ ꃢ ꃣ ꃤ ꃥ ꃦ ꃧ ꃨ</t>
        </is>
      </c>
      <c r="Q232" s="38" t="inlineStr">
        <is>
          <t>ꀀ ꀁ ꀂ ꀃ ꀄ ꀅ ꀆ ꀇ ꀈ ꀉ ꀊ ꀋ ꀌ ꀍ ꀎ ꀏ ꀐ ꀑ ꀒ ꀓ ꀔ ꀕ ꀖ ꀗ ꀘ ꀙ ꀚ ꀛ ꀜ ꀝ ꀞ ꀟ ꀠ ꀡ ꀢ ꀣ ꀤ ꀥ ꀦ ꀧ ꀨ ꀩ ꀪ ꀫ ꀬ ꀭ ꀮ ꀯ ꀰ ꀱ ꀲ ꀳ ꀴ ꀵ ꀶ ꀷ ꀸ ꀹ ꀺ ꀻ ꀼ ꀽ ꀾ ꀿ ꁀ ꁁ ꁂ ꁃ ꁄ ꁅ ꁆ ꁇ ꁈ ꁉ ꁊ ꁋ ꁌ ꁍ ꁎ ꁏ ꁐ ꁑ ꁒ ꁓ ꁔ ꁕ ꁖ ꁗ ꁘ ꁙ ꁚ ꁛ ꁜ ꁝ ꁞ ꁟ ꁠ ꁡ ꁢ ꁣ ꁤ ꁥ ꁦ ꁧ ꁨ ꁩ ꁪ ꁫ ꁬ ꁭ ꁮ ꁯ ꁰ ꁱ ꁲ ꁳ ꁴ ꁵ ꁶ ꁷ ꁸ ꁹ ꁺ ꁻ ꁼ ꁽ ꁾ ꁿ ꂀ ꂁ ꂂ ꂃ ꂄ ꂅ ꂆ ꂇ ꂈ ꂉ ꂊ ꂋ ꂌ ꂍ ꂎ ꂏ ꂐ ꂑ ꂒ ꂓ ꂔ ꂕ ꂖ ꂗ ꂘ ꂙ ꂚ ꂛ ꂜ ꂝ ꂞ ꂟ ꂠ ꂡ ꂢ ꂣ ꂤ ꂥ ꂦ ꂧ ꂨ ꂩ ꂪ ꂫ ꂬ ꂭ ꂮ ꂯ ꂰ ꂱ ꂲ ꂳ ꂴ ꂵ ꂶ ꂷ ꂸ ꂹ ꂺ ꂻ ꂼ ꂽ ꂾ ꂿ ꃀ ꃁ ꃂ ꃃ ꃄ ꃅ ꃆ ꃇ ꃈ ꃉ ꃊ ꃋ ꃌ ꃍ ꃎ ꃏ ꃐ ꃑ ꃒ ꃓ ꃔ ꃕ ꃖ ꃗ ꃘ ꃙ ꃚ ꃛ ꃜ ꃝ ꃞ ꃟ ꃠ ꃡ ꃢ ꃣ ꃤ ꃥ ꃦ ꃧ ꃨ</t>
        </is>
      </c>
      <c r="R232" s="43" t="inlineStr">
        <is>
          <t>ꀀ ꀁ ꀂ ꀃ ꀄ ꀅ ꀆ ꀇ ꀈ ꀉ ꀊ ꀋ ꀌ ꀍ ꀎ ꀏ ꀐ ꀑ ꀒ ꀓ ꀔ ꀖ ꀗ ꀘ ꀙ ꀚ ꀛ ꀜ ꀝ ꀞ ꀟ ꀠ ꀢ ꀣ ꀤ ꀥ ꀦ ꀧ ꀩ ꀪ ꀫ ꀬ ꀭ ꀯ ꀰ ꀱ ꀲ ꀳ ꀴ ꀵ ꀶ ꀷ ꀸ ꀹ ꀺ ꀾ ꀿ ꁀ ꁁ ꁂ ꁃ ꁄ ꁅ ꁆ ꁉ ꁊ ꁋ ꁌ ꁍ ꁎ ꁏ ꁐ ꁒ ꁓ ꁔ ꁕ ꁖ ꁗ ꁘ ꁙ ꁚ ꁜ ꁝ ꁞ ꁠ ꁢ ꁣ ꁦ ꁧ ꁨ ꁩ ꁪ ꁫ ꁭ ꁮ ꁯ ꁰ ꁱ ꁲ ꁳ ꁴ ꁵ ꁷ ꁸ ꁹ ꁺ ꁻ ꁼ ꁽ ꁿ ꂁ ꂂ ꂃ ꂄ ꂅ ꂆ ꂇ ꂈ ꂉ ꂊ ꂋ ꂌ ꂍ ꂎ ꂏ ꂐ ꂑ ꂒ ꂓ ꂔ ꂕ ꂖ ꂘ ꂙ ꂚ ꂛ ꂜ ꂝ ꂞ ꂟ ꂠ ꂡ ꂢ ꂣ ꂤ ꂥ ꂦ ꂧ ꂨ ꂩ ꂪ ꂬ ꂭ ꂮ ꂯ ꂰ ꂱ ꂲ ꂳ ꂴ ꂵ ꂶ ꂷ ꂸ ꂹ ꂺ ꂻ ꂼ ꂽ ꂾ ꂿ ꃀ ꃁ ꃂ ꃃ ꃄ ꃅ ꃆ ꃇ ꃈ ꃉ ꃊ ꃋ ꃌ ꃍ ꃎ ꃐ ꃑ ꃒ ꃓ ꃔ ꃕ ꃖ ꃗ ꃙ ꃚ ꃛ ꃜ ꃝ ꃞ ꃟ ꃠ ꃡ ꃢ ꃣ ꃤ ꃥ ꃦ ꃧ ꃨ</t>
        </is>
      </c>
      <c r="S232" s="40" t="n"/>
      <c r="V232" s="14">
        <f>(LEN(O232)+1)/2</f>
        <v/>
      </c>
      <c r="W232" s="14">
        <f>ROUNDDOWN((LEN(P232)+1)/2,0)</f>
        <v/>
      </c>
      <c r="X232" s="14">
        <f>ROUNDDOWN((LEN(Q232)+1)/2,0)</f>
        <v/>
      </c>
      <c r="Y232" s="14">
        <f>ROUNDDOWN((LEN(R232)+1)/2,0)</f>
        <v/>
      </c>
      <c r="Z232" s="14">
        <f>ROUNDDOWN((LEN(S232)+1)/2,0)</f>
        <v/>
      </c>
      <c r="AA232" s="56" t="n">
        <v>46150.5585895332</v>
      </c>
    </row>
    <row r="233" ht="76.5" customHeight="1">
      <c r="B233" s="46" t="inlineStr">
        <is>
          <t>U+A0E9-U+A1D1</t>
        </is>
      </c>
      <c r="C233" s="46" t="inlineStr">
        <is>
          <t>Yi Syllables</t>
        </is>
      </c>
      <c r="D233" s="54">
        <f>HEX2DEC(MID(B233,3,FIND("-",E233)-3))</f>
        <v/>
      </c>
      <c r="E233" s="46" t="inlineStr">
        <is>
          <t>U+A000-U+A48F</t>
        </is>
      </c>
      <c r="F233" s="12" t="n">
        <v>3</v>
      </c>
      <c r="J233" s="19">
        <f>ROUNDDOWN(W233,0)/$V233</f>
        <v/>
      </c>
      <c r="K233" s="19">
        <f>ROUNDDOWN(X233,0)/$V233</f>
        <v/>
      </c>
      <c r="L233" s="19">
        <f>ROUNDDOWN(Y233,0)/$V233</f>
        <v/>
      </c>
      <c r="M233" s="19">
        <f>ROUNDDOWN(Z233,0)/$V233</f>
        <v/>
      </c>
      <c r="O233" s="36" t="inlineStr">
        <is>
          <t>ꃩ ꃪ ꃫ ꃬ ꃭ ꃮ ꃯ ꃰ ꃱ ꃲ ꃳ ꃴ ꃵ ꃶ ꃷ ꃸ ꃹ ꃺ ꃻ ꃼ ꃽ ꃾ ꃿ ꄀ ꄁ ꄂ ꄃ ꄄ ꄅ ꄆ ꄇ ꄈ ꄉ ꄊ ꄋ ꄌ ꄍ ꄎ ꄏ ꄐ ꄑ ꄒ ꄓ ꄔ ꄕ ꄖ ꄗ ꄘ ꄙ ꄚ ꄛ ꄜ ꄝ ꄞ ꄟ ꄠ ꄡ ꄢ ꄣ ꄤ ꄥ ꄦ ꄧ ꄨ ꄩ ꄪ ꄫ ꄬ ꄭ ꄮ ꄯ ꄰ ꄱ ꄲ ꄳ ꄴ ꄵ ꄶ ꄷ ꄸ ꄹ ꄺ ꄻ ꄼ ꄽ ꄾ ꄿ ꅀ ꅁ ꅂ ꅃ ꅄ ꅅ ꅆ ꅇ ꅈ ꅉ ꅊ ꅋ ꅌ ꅍ ꅎ ꅏ ꅐ ꅑ ꅒ ꅓ ꅔ ꅕ ꅖ ꅗ ꅘ ꅙ ꅚ ꅛ ꅜ ꅝ ꅞ ꅟ ꅠ ꅡ ꅢ ꅣ ꅤ ꅥ ꅦ ꅧ ꅨ ꅩ ꅪ ꅫ ꅬ ꅭ ꅮ ꅯ ꅰ ꅱ ꅲ ꅳ ꅴ ꅵ ꅶ ꅷ ꅸ ꅹ ꅺ ꅻ ꅼ ꅽ ꅾ ꅿ ꆀ ꆁ ꆂ ꆃ ꆄ ꆅ ꆆ ꆇ ꆈ ꆉ ꆊ ꆋ ꆌ ꆍ ꆎ ꆏ ꆐ ꆑ ꆒ ꆓ ꆔ ꆕ ꆖ ꆗ ꆘ ꆙ ꆚ ꆛ ꆜ ꆝ ꆞ ꆟ ꆠ ꆡ ꆢ ꆣ ꆤ ꆥ ꆦ ꆧ ꆨ ꆩ ꆪ ꆫ ꆬ ꆭ ꆮ ꆯ ꆰ ꆱ ꆲ ꆳ ꆴ ꆵ ꆶ ꆷ ꆸ ꆹ ꆺ ꆻ ꆼ ꆽ ꆾ ꆿ ꇀ ꇁ ꇂ ꇃ ꇄ ꇅ ꇆ ꇇ ꇈ ꇉ ꇊ ꇋ ꇌ ꇍ ꇎ ꇏ ꇐ ꇑ</t>
        </is>
      </c>
      <c r="P233" s="37" t="inlineStr">
        <is>
          <t>ꃩ ꃪ ꃫ ꃬ ꃭ ꃮ ꃯ ꃰ ꃱ ꃲ ꃳ ꃴ ꃵ ꃶ ꃷ ꃸ ꃹ ꃺ ꃻ ꃼ ꃽ ꃾ ꃿ ꄀ ꄁ ꄂ ꄃ ꄄ ꄅ ꄆ ꄇ ꄈ ꄉ ꄊ ꄋ ꄌ ꄍ ꄎ ꄏ ꄐ ꄑ ꄒ ꄓ ꄔ ꄕ ꄖ ꄗ ꄘ ꄙ ꄚ ꄛ ꄜ ꄝ ꄞ ꄟ ꄠ ꄡ ꄢ ꄣ ꄤ ꄥ ꄦ ꄧ ꄨ ꄩ ꄪ ꄫ ꄬ ꄭ ꄮ ꄯ ꄰ ꄱ ꄲ ꄳ ꄴ ꄵ ꄶ ꄷ ꄸ ꄹ ꄺ ꄻ ꄼ ꄽ ꄾ ꄿ ꅀ ꅁ ꅂ ꅃ ꅄ ꅅ ꅆ ꅇ ꅈ ꅉ ꅊ ꅋ ꅌ ꅍ ꅎ ꅏ ꅐ ꅑ ꅒ ꅓ ꅔ ꅕ ꅖ ꅗ ꅘ ꅙ ꅚ ꅛ ꅜ ꅝ ꅞ ꅟ ꅠ ꅡ ꅢ ꅣ ꅤ ꅥ ꅦ ꅧ ꅨ ꅩ ꅪ ꅫ ꅬ ꅭ ꅮ ꅯ ꅰ ꅱ ꅲ ꅳ ꅴ ꅵ ꅶ ꅷ ꅸ ꅹ ꅺ ꅻ ꅼ ꅽ ꅾ ꅿ ꆀ ꆁ ꆂ ꆃ ꆄ ꆅ ꆆ ꆇ ꆈ ꆉ ꆊ ꆋ ꆌ ꆍ ꆎ ꆏ ꆐ ꆑ ꆒ ꆓ ꆔ ꆕ ꆖ ꆗ ꆘ ꆙ ꆚ ꆛ ꆜ ꆝ ꆞ ꆟ ꆠ ꆡ ꆢ ꆣ ꆤ ꆥ ꆦ ꆧ ꆨ ꆩ ꆪ ꆫ ꆬ ꆭ ꆮ ꆯ ꆰ ꆱ ꆲ ꆳ ꆴ ꆵ ꆶ ꆷ ꆸ ꆹ ꆺ ꆻ ꆼ ꆽ ꆾ ꆿ ꇀ ꇁ ꇂ ꇃ ꇄ ꇅ ꇆ ꇇ ꇈ ꇉ ꇊ ꇋ ꇌ ꇍ ꇎ ꇏ ꇐ ꇑ</t>
        </is>
      </c>
      <c r="Q233" s="38" t="inlineStr">
        <is>
          <t>ꃩ ꃪ ꃫ ꃬ ꃭ ꃮ ꃯ ꃰ ꃱ ꃲ ꃳ ꃴ ꃵ ꃶ ꃷ ꃸ ꃹ ꃺ ꃻ ꃼ ꃽ ꃾ ꃿ ꄀ ꄁ ꄂ ꄃ ꄄ ꄅ ꄆ ꄇ ꄈ ꄉ ꄊ ꄋ ꄌ ꄍ ꄎ ꄏ ꄐ ꄑ ꄒ ꄓ ꄔ ꄕ ꄖ ꄗ ꄘ ꄙ ꄚ ꄛ ꄜ ꄝ ꄞ ꄟ ꄠ ꄡ ꄢ ꄣ ꄤ ꄥ ꄦ ꄧ ꄨ ꄩ ꄪ ꄫ ꄬ ꄭ ꄮ ꄯ ꄰ ꄱ ꄲ ꄳ ꄴ ꄵ ꄶ ꄷ ꄸ ꄹ ꄺ ꄻ ꄼ ꄽ ꄾ ꄿ ꅀ ꅁ ꅂ ꅃ ꅄ ꅅ ꅆ ꅇ ꅈ ꅉ ꅊ ꅋ ꅌ ꅍ ꅎ ꅏ ꅐ ꅑ ꅒ ꅓ ꅔ ꅕ ꅖ ꅗ ꅘ ꅙ ꅚ ꅛ ꅜ ꅝ ꅞ ꅟ ꅠ ꅡ ꅢ ꅣ ꅤ ꅥ ꅦ ꅧ ꅨ ꅩ ꅪ ꅫ ꅬ ꅭ ꅮ ꅯ ꅰ ꅱ ꅲ ꅳ ꅴ ꅵ ꅶ ꅷ ꅸ ꅹ ꅺ ꅻ ꅼ ꅽ ꅾ ꅿ ꆀ ꆁ ꆂ ꆃ ꆄ ꆅ ꆆ ꆇ ꆈ ꆉ ꆊ ꆋ ꆌ ꆍ ꆎ ꆏ ꆐ ꆑ ꆒ ꆓ ꆔ ꆕ ꆖ ꆗ ꆘ ꆙ ꆚ ꆛ ꆜ ꆝ ꆞ ꆟ ꆠ ꆡ ꆢ ꆣ ꆤ ꆥ ꆦ ꆧ ꆨ ꆩ ꆪ ꆫ ꆬ ꆭ ꆮ ꆯ ꆰ ꆱ ꆲ ꆳ ꆴ ꆵ ꆶ ꆷ ꆸ ꆹ ꆺ ꆻ ꆼ ꆽ ꆾ ꆿ ꇀ ꇁ ꇂ ꇃ ꇄ ꇅ ꇆ ꇇ ꇈ ꇉ ꇊ ꇋ ꇌ ꇍ ꇎ ꇏ ꇐ ꇑ</t>
        </is>
      </c>
      <c r="R233" s="43" t="inlineStr">
        <is>
          <t>ꃩ ꃪ ꃫ ꃬ ꃭ ꃮ ꃯ ꃰ ꃱ ꃲ ꃴ ꃵ ꃶ ꃷ ꃸ ꃹ ꃺ ꃻ ꃼ ꃽ ꃾ ꃿ ꄁ ꄂ ꄃ ꄄ ꄅ ꄆ ꄇ ꄈ ꄉ ꄊ ꄋ ꄌ ꄍ ꄎ ꄏ ꄐ ꄑ ꄒ ꄓ ꄔ ꄕ ꄖ ꄗ ꄘ ꄙ ꄚ ꄛ ꄜ ꄝ ꄞ ꄟ ꄠ ꄡ ꄢ ꄣ ꄤ ꄦ ꄧ ꄩ ꄪ ꄫ ꄭ ꄮ ꄯ ꄰ ꄱ ꄲ ꄳ ꄴ ꄵ ꄶ ꄷ ꄸ ꄹ ꄺ ꄻ ꄼ ꄽ ꄾ ꄿ ꅀ ꅁ ꅂ ꅃ ꅄ ꅅ ꅆ ꅇ ꅈ ꅉ ꅊ ꅋ ꅌ ꅍ ꅎ ꅏ ꅐ ꅑ ꅒ ꅓ ꅔ ꅕ ꅖ ꅗ ꅘ ꅙ ꅚ ꅛ ꅜ ꅝ ꅞ ꅟ ꅠ ꅡ ꅢ ꅣ ꅤ ꅥ ꅦ ꅧ ꅨ ꅩ ꅪ ꅫ ꅬ ꅭ ꅮ ꅯ ꅰ ꅱ ꅲ ꅳ ꅴ ꅵ ꅶ ꅷ ꅸ ꅹ ꅺ ꅻ ꅼ ꅾ ꅿ ꆀ ꆁ ꆂ ꆃ ꆄ ꆅ ꆆ ꆇ ꆈ ꆊ ꆋ ꆌ ꆍ ꆎ ꆏ ꆐ ꆑ ꆒ ꆓ ꆔ ꆕ ꆖ ꆗ ꆘ ꆙ ꆚ ꆛ ꆜ ꆝ ꆞ ꆡ ꆢ ꆣ ꆤ ꆥ ꆦ ꆧ ꆨ ꆩ ꆪ ꆫ ꆬ ꆮ ꆯ ꆰ ꆱ ꆲ ꆳ ꆴ ꆵ ꆶ ꆷ ꆸ ꆹ ꆺ ꆻ ꆼ ꆽ ꆾ ꇀ ꇁ ꇂ ꇃ ꇄ ꇅ ꇆ ꇇ ꇈ ꇉ ꇊ ꇋ ꇌ ꇍ ꇎ ꇏ ꇐ ꇑ</t>
        </is>
      </c>
      <c r="S233" s="40" t="n"/>
      <c r="V233" s="14">
        <f>(LEN(O233)+1)/2</f>
        <v/>
      </c>
      <c r="W233" s="14">
        <f>ROUNDDOWN((LEN(P233)+1)/2,0)</f>
        <v/>
      </c>
      <c r="X233" s="14">
        <f>ROUNDDOWN((LEN(Q233)+1)/2,0)</f>
        <v/>
      </c>
      <c r="Y233" s="14">
        <f>ROUNDDOWN((LEN(R233)+1)/2,0)</f>
        <v/>
      </c>
      <c r="Z233" s="14">
        <f>ROUNDDOWN((LEN(S233)+1)/2,0)</f>
        <v/>
      </c>
      <c r="AA233" s="56" t="n">
        <v>46150.55859206066</v>
      </c>
    </row>
    <row r="234" ht="76.5" customHeight="1">
      <c r="B234" s="46" t="inlineStr">
        <is>
          <t>U+A1D2-U+A2BA</t>
        </is>
      </c>
      <c r="C234" s="46" t="inlineStr">
        <is>
          <t>Yi Syllables</t>
        </is>
      </c>
      <c r="D234" s="54">
        <f>HEX2DEC(MID(B234,3,FIND("-",E234)-3))</f>
        <v/>
      </c>
      <c r="E234" s="46" t="inlineStr">
        <is>
          <t>U+A000-U+A48F</t>
        </is>
      </c>
      <c r="F234" s="12" t="n">
        <v>3</v>
      </c>
      <c r="J234" s="19">
        <f>ROUNDDOWN(W234,0)/$V234</f>
        <v/>
      </c>
      <c r="K234" s="19">
        <f>ROUNDDOWN(X234,0)/$V234</f>
        <v/>
      </c>
      <c r="L234" s="19">
        <f>ROUNDDOWN(Y234,0)/$V234</f>
        <v/>
      </c>
      <c r="M234" s="19">
        <f>ROUNDDOWN(Z234,0)/$V234</f>
        <v/>
      </c>
      <c r="O234" s="36" t="inlineStr">
        <is>
          <t>ꇒ ꇓ ꇔ ꇕ ꇖ ꇗ ꇘ ꇙ ꇚ ꇛ ꇜ ꇝ ꇞ ꇟ ꇠ ꇡ ꇢ ꇣ ꇤ ꇥ ꇦ ꇧ ꇨ ꇩ ꇪ ꇫ ꇬ ꇭ ꇮ ꇯ ꇰ ꇱ ꇲ ꇳ ꇴ ꇵ ꇶ ꇷ ꇸ ꇹ ꇺ ꇻ ꇼ ꇽ ꇾ ꇿ ꈀ ꈁ ꈂ ꈃ ꈄ ꈅ ꈆ ꈇ ꈈ ꈉ ꈊ ꈋ ꈌ ꈍ ꈎ ꈏ ꈐ ꈑ ꈒ ꈓ ꈔ ꈕ ꈖ ꈗ ꈘ ꈙ ꈚ ꈛ ꈜ ꈝ ꈞ ꈟ ꈠ ꈡ ꈢ ꈣ ꈤ ꈥ ꈦ ꈧ ꈨ ꈩ ꈪ ꈫ ꈬ ꈭ ꈮ ꈯ ꈰ ꈱ ꈲ ꈳ ꈴ ꈵ ꈶ ꈷ ꈸ ꈹ ꈺ ꈻ ꈼ ꈽ ꈾ ꈿ ꉀ ꉁ ꉂ ꉃ ꉄ ꉅ ꉆ ꉇ ꉈ ꉉ ꉊ ꉋ ꉌ ꉍ ꉎ ꉏ ꉐ ꉑ ꉒ ꉓ ꉔ ꉕ ꉖ ꉗ ꉘ ꉙ ꉚ ꉛ ꉜ ꉝ ꉞ ꉟ ꉠ ꉡ ꉢ ꉣ ꉤ ꉥ ꉦ ꉧ ꉨ ꉩ ꉪ ꉫ ꉬ ꉭ ꉮ ꉯ ꉰ ꉱ ꉲ ꉳ ꉴ ꉵ ꉶ ꉷ ꉸ ꉹ ꉺ ꉻ ꉼ ꉽ ꉾ ꉿ ꊀ ꊁ ꊂ ꊃ ꊄ ꊅ ꊆ ꊇ ꊈ ꊉ ꊊ ꊋ ꊌ ꊍ ꊎ ꊏ ꊐ ꊑ ꊒ ꊓ ꊔ ꊕ ꊖ ꊗ ꊘ ꊙ ꊚ ꊛ ꊜ ꊝ ꊞ ꊟ ꊠ ꊡ ꊢ ꊣ ꊤ ꊥ ꊦ ꊧ ꊨ ꊩ ꊪ ꊫ ꊬ ꊭ ꊮ ꊯ ꊰ ꊱ ꊲ ꊳ ꊴ ꊵ ꊶ ꊷ ꊸ ꊹ ꊺ</t>
        </is>
      </c>
      <c r="P234" s="37" t="inlineStr">
        <is>
          <t>ꇒ ꇓ ꇔ ꇕ ꇖ ꇗ ꇘ ꇙ ꇚ ꇛ ꇜ ꇝ ꇞ ꇟ ꇠ ꇡ ꇢ ꇣ ꇤ ꇥ ꇦ ꇧ ꇨ ꇩ ꇪ ꇫ ꇬ ꇭ ꇮ ꇯ ꇰ ꇱ ꇲ ꇳ ꇴ ꇵ ꇶ ꇷ ꇸ ꇹ ꇺ ꇻ ꇼ ꇽ ꇾ ꇿ ꈀ ꈁ ꈂ ꈃ ꈄ ꈅ ꈆ ꈇ ꈈ ꈉ ꈊ ꈋ ꈌ ꈍ ꈎ ꈏ ꈐ ꈑ ꈒ ꈓ ꈔ ꈕ ꈖ ꈗ ꈘ ꈙ ꈚ ꈛ ꈜ ꈝ ꈞ ꈟ ꈠ ꈡ ꈢ ꈣ ꈤ ꈥ ꈦ ꈧ ꈨ ꈩ ꈪ ꈫ ꈬ ꈭ ꈮ ꈯ ꈰ ꈱ ꈲ ꈳ ꈴ ꈵ ꈶ ꈷ ꈸ ꈹ ꈺ ꈻ ꈼ ꈽ ꈾ ꈿ ꉀ ꉁ ꉂ ꉃ ꉄ ꉅ ꉆ ꉇ ꉈ ꉉ ꉊ ꉋ ꉌ ꉍ ꉎ ꉏ ꉐ ꉑ ꉒ ꉓ ꉔ ꉕ ꉖ ꉗ ꉘ ꉙ ꉚ ꉛ ꉜ ꉝ ꉞ ꉟ ꉠ ꉡ ꉢ ꉣ ꉤ ꉥ ꉦ ꉧ ꉨ ꉩ ꉪ ꉫ ꉬ ꉭ ꉮ ꉯ ꉰ ꉱ ꉲ ꉳ ꉴ ꉵ ꉶ ꉷ ꉸ ꉹ ꉺ ꉻ ꉼ ꉽ ꉾ ꉿ ꊀ ꊁ ꊂ ꊃ ꊄ ꊅ ꊆ ꊇ ꊈ ꊉ ꊊ ꊋ ꊌ ꊍ ꊎ ꊏ ꊐ ꊑ ꊒ ꊓ ꊔ ꊕ ꊖ ꊗ ꊘ ꊙ ꊚ ꊛ ꊜ ꊝ ꊞ ꊟ ꊠ ꊡ ꊢ ꊣ ꊤ ꊥ ꊦ ꊧ ꊨ ꊩ ꊪ ꊫ ꊬ ꊭ ꊮ ꊯ ꊰ ꊱ ꊲ ꊳ ꊴ ꊵ ꊶ ꊷ ꊸ ꊹ ꊺ</t>
        </is>
      </c>
      <c r="Q234" s="38" t="inlineStr">
        <is>
          <t>ꇒ ꇓ ꇔ ꇕ ꇖ ꇗ ꇘ ꇙ ꇚ ꇛ ꇜ ꇝ ꇞ ꇟ ꇠ ꇡ ꇢ ꇣ ꇤ ꇥ ꇦ ꇧ ꇨ ꇩ ꇪ ꇫ ꇬ ꇭ ꇮ ꇯ ꇰ ꇱ ꇲ ꇳ ꇴ ꇵ ꇶ ꇷ ꇸ ꇹ ꇺ ꇻ ꇼ ꇽ ꇾ ꇿ ꈀ ꈁ ꈂ ꈃ ꈄ ꈅ ꈆ ꈇ ꈈ ꈉ ꈊ ꈋ ꈌ ꈍ ꈎ ꈏ ꈐ ꈑ ꈒ ꈓ ꈔ ꈕ ꈖ ꈗ ꈘ ꈙ ꈚ ꈛ ꈜ ꈝ ꈞ ꈟ ꈠ ꈡ ꈢ ꈣ ꈤ ꈥ ꈦ ꈧ ꈨ ꈩ ꈪ ꈫ ꈬ ꈭ ꈮ ꈯ ꈰ ꈱ ꈲ ꈳ ꈴ ꈵ ꈶ ꈷ ꈸ ꈹ ꈺ ꈻ ꈼ ꈽ ꈾ ꈿ ꉀ ꉁ ꉂ ꉃ ꉄ ꉅ ꉆ ꉇ ꉈ ꉉ ꉊ ꉋ ꉌ ꉍ ꉎ ꉏ ꉐ ꉑ ꉒ ꉓ ꉔ ꉕ ꉖ ꉗ ꉘ ꉙ ꉚ ꉛ ꉜ ꉝ ꉞ ꉟ ꉠ ꉡ ꉢ ꉣ ꉤ ꉥ ꉦ ꉧ ꉨ ꉩ ꉪ ꉫ ꉬ ꉭ ꉮ ꉯ ꉰ ꉱ ꉲ ꉳ ꉴ ꉵ ꉶ ꉷ ꉸ ꉹ ꉺ ꉻ ꉼ ꉽ ꉾ ꉿ ꊀ ꊁ ꊂ ꊃ ꊄ ꊅ ꊆ ꊇ ꊈ ꊉ ꊊ ꊋ ꊌ ꊍ ꊎ ꊏ ꊐ ꊑ ꊒ ꊓ ꊔ ꊕ ꊖ ꊗ ꊘ ꊙ ꊚ ꊛ ꊜ ꊝ ꊞ ꊟ ꊠ ꊡ ꊢ ꊣ ꊤ ꊥ ꊦ ꊧ ꊨ ꊩ ꊪ ꊫ ꊬ ꊭ ꊮ ꊯ ꊰ ꊱ ꊲ ꊳ ꊴ ꊵ ꊶ ꊷ ꊸ ꊹ ꊺ</t>
        </is>
      </c>
      <c r="R234" s="43" t="inlineStr">
        <is>
          <t>ꇒ ꇓ ꇔ ꇕ ꇖ ꇗ ꇘ ꇙ ꇚ ꇛ ꇜ ꇝ ꇞ ꇟ ꇠ ꇡ ꇥ ꇦ ꇨ ꇩ ꇪ ꇫ ꇬ ꇭ ꇮ ꇯ ꇰ ꇱ ꇲ ꇳ ꇴ ꇵ ꇶ ꇷ ꇸ ꇹ ꇺ ꇻ ꇼ ꇽ ꇾ ꇿ ꈀ ꈁ ꈂ ꈅ ꈆ ꈇ ꈈ ꈉ ꈊ ꈍ ꈎ ꈏ ꈐ ꈑ ꈒ ꈓ ꈔ ꈕ ꈖ ꈗ ꈘ ꈙ ꈚ ꈛ ꈜ ꈝ ꈞ ꈟ ꈠ ꈡ ꈢ ꈣ ꈤ ꈥ ꈦ ꈩ ꈪ ꈫ ꈬ ꈭ ꈮ ꈯ ꈰ ꈱ ꈲ ꈳ ꈴ ꈵ ꈶ ꈷ ꈸ ꈹ ꈺ ꈻ ꈼ ꈽ ꈾ ꈿ ꉀ ꉁ ꉂ ꉃ ꉄ ꉅ ꉇ ꉈ ꉉ ꉊ ꉋ ꉌ ꉍ ꉎ ꉏ ꉐ ꉑ ꉒ ꉓ ꉔ ꉕ ꉖ ꉗ ꉘ ꉙ ꉚ ꉛ ꉜ ꉝ ꉞ ꉟ ꉠ ꉡ ꉢ ꉣ ꉤ ꉥ ꉦ ꉧ ꉨ ꉩ ꉪ ꉫ ꉬ ꉭ ꉮ ꉯ ꉰ ꉱ ꉲ ꉳ ꉴ ꉵ ꉶ ꉷ ꉸ ꉹ ꉺ ꉻ ꉼ ꉽ ꉾ ꉿ ꊀ ꊃ ꊄ ꊅ ꊆ ꊇ ꊈ ꊉ ꊊ ꊋ ꊌ ꊍ ꊎ ꊏ ꊐ ꊑ ꊒ ꊓ ꊔ ꊕ ꊖ ꊘ ꊙ ꊚ ꊛ ꊜ ꊝ ꊞ ꊡ ꊢ ꊣ ꊤ ꊦ ꊧ ꊨ ꊩ ꊪ ꊮ ꊯ ꊰ ꊱ ꊲ ꊳ ꊴ ꊵ ꊶ ꊷ ꊸ ꊹ ꊺ</t>
        </is>
      </c>
      <c r="S234" s="40" t="n"/>
      <c r="V234" s="14">
        <f>(LEN(O234)+1)/2</f>
        <v/>
      </c>
      <c r="W234" s="14">
        <f>ROUNDDOWN((LEN(P234)+1)/2,0)</f>
        <v/>
      </c>
      <c r="X234" s="14">
        <f>ROUNDDOWN((LEN(Q234)+1)/2,0)</f>
        <v/>
      </c>
      <c r="Y234" s="14">
        <f>ROUNDDOWN((LEN(R234)+1)/2,0)</f>
        <v/>
      </c>
      <c r="Z234" s="14">
        <f>ROUNDDOWN((LEN(S234)+1)/2,0)</f>
        <v/>
      </c>
      <c r="AA234" s="56" t="n">
        <v>46150.55859445759</v>
      </c>
    </row>
    <row r="235" ht="76.5" customHeight="1">
      <c r="B235" s="46" t="inlineStr">
        <is>
          <t>U+A2BB-U+A3A3</t>
        </is>
      </c>
      <c r="C235" s="46" t="inlineStr">
        <is>
          <t>Yi Syllables</t>
        </is>
      </c>
      <c r="D235" s="54">
        <f>HEX2DEC(MID(B235,3,FIND("-",E235)-3))</f>
        <v/>
      </c>
      <c r="E235" s="46" t="inlineStr">
        <is>
          <t>U+A000-U+A48F</t>
        </is>
      </c>
      <c r="F235" s="12" t="n">
        <v>3</v>
      </c>
      <c r="J235" s="19">
        <f>ROUNDDOWN(W235,0)/$V235</f>
        <v/>
      </c>
      <c r="K235" s="19">
        <f>ROUNDDOWN(X235,0)/$V235</f>
        <v/>
      </c>
      <c r="L235" s="19">
        <f>ROUNDDOWN(Y235,0)/$V235</f>
        <v/>
      </c>
      <c r="M235" s="19">
        <f>ROUNDDOWN(Z235,0)/$V235</f>
        <v/>
      </c>
      <c r="O235" s="36" t="inlineStr">
        <is>
          <t>ꊻ ꊼ ꊽ ꊾ ꊿ ꋀ ꋁ ꋂ ꋃ ꋄ ꋅ ꋆ ꋇ ꋈ ꋉ ꋊ ꋋ ꋌ ꋍ ꋎ ꋏ ꋐ ꋑ ꋒ ꋓ ꋔ ꋕ ꋖ ꋗ ꋘ ꋙ ꋚ ꋛ ꋜ ꋝ ꋞ ꋟ ꋠ ꋡ ꋢ ꋣ ꋤ ꋥ ꋦ ꋧ ꋨ ꋩ ꋪ ꋫ ꋬ ꋭ ꋮ ꋯ ꋰ ꋱ ꋲ ꋳ ꋴ ꋵ ꋶ ꋷ ꋸ ꋹ ꋺ ꋻ ꋼ ꋽ ꋾ ꋿ ꌀ ꌁ ꌂ ꌃ ꌄ ꌅ ꌆ ꌇ ꌈ ꌉ ꌊ ꌋ ꌌ ꌍ ꌎ ꌏ ꌐ ꌑ ꌒ ꌓ ꌔ ꌕ ꌖ ꌗ ꌘ ꌙ ꌚ ꌛ ꌜ ꌝ ꌞ ꌟ ꌠ ꌡ ꌢ ꌣ ꌤ ꌥ ꌦ ꌧ ꌨ ꌩ ꌪ ꌫ ꌬ ꌭ ꌮ ꌯ ꌰ ꌱ ꌲ ꌳ ꌴ ꌵ ꌶ ꌷ ꌸ ꌹ ꌺ ꌻ ꌼ ꌽ ꌾ ꌿ ꍀ ꍁ ꍂ ꍃ ꍄ ꍅ ꍆ ꍇ ꍈ ꍉ ꍊ ꍋ ꍌ ꍍ ꍎ ꍏ ꍐ ꍑ ꍒ ꍓ ꍔ ꍕ ꍖ ꍗ ꍘ ꍙ ꍚ ꍛ ꍜ ꍝ ꍞ ꍟ ꍠ ꍡ ꍢ ꍣ ꍤ ꍥ ꍦ ꍧ ꍨ ꍩ ꍪ ꍫ ꍬ ꍭ ꍮ ꍯ ꍰ ꍱ ꍲ ꍳ ꍴ ꍵ ꍶ ꍷ ꍸ ꍹ ꍺ ꍻ ꍼ ꍽ ꍾ ꍿ ꎀ ꎁ ꎂ ꎃ ꎄ ꎅ ꎆ ꎇ ꎈ ꎉ ꎊ ꎋ ꎌ ꎍ ꎎ ꎏ ꎐ ꎑ ꎒ ꎓ ꎔ ꎕ ꎖ ꎗ ꎘ ꎙ ꎚ ꎛ ꎜ ꎝ ꎞ ꎟ ꎠ ꎡ ꎢ ꎣ</t>
        </is>
      </c>
      <c r="P235" s="37" t="inlineStr">
        <is>
          <t>ꊻ ꊼ ꊽ ꊾ ꊿ ꋀ ꋁ ꋂ ꋃ ꋄ ꋅ ꋆ ꋇ ꋈ ꋉ ꋊ ꋋ ꋌ ꋍ ꋎ ꋏ ꋐ ꋑ ꋒ ꋓ ꋔ ꋕ ꋖ ꋗ ꋘ ꋙ ꋚ ꋛ ꋜ ꋝ ꋞ ꋟ ꋠ ꋡ ꋢ ꋣ ꋤ ꋥ ꋦ ꋧ ꋨ ꋩ ꋪ ꋫ ꋬ ꋭ ꋮ ꋯ ꋰ ꋱ ꋲ ꋳ ꋴ ꋵ ꋶ ꋷ ꋸ ꋹ ꋺ ꋻ ꋼ ꋽ ꋾ ꋿ ꌀ ꌁ ꌂ ꌃ ꌄ ꌅ ꌆ ꌇ ꌈ ꌉ ꌊ ꌋ ꌌ ꌍ ꌎ ꌏ ꌐ ꌑ ꌒ ꌓ ꌔ ꌕ ꌖ ꌗ ꌘ ꌙ ꌚ ꌛ ꌜ ꌝ ꌞ ꌟ ꌠ ꌡ ꌢ ꌣ ꌤ ꌥ ꌦ ꌧ ꌨ ꌩ ꌪ ꌫ ꌬ ꌭ ꌮ ꌯ ꌰ ꌱ ꌲ ꌳ ꌴ ꌵ ꌶ ꌷ ꌸ ꌹ ꌺ ꌻ ꌼ ꌽ ꌾ ꌿ ꍀ ꍁ ꍂ ꍃ ꍄ ꍅ ꍆ ꍇ ꍈ ꍉ ꍊ ꍋ ꍌ ꍍ ꍎ ꍏ ꍐ ꍑ ꍒ ꍓ ꍔ ꍕ ꍖ ꍗ ꍘ ꍙ ꍚ ꍛ ꍜ ꍝ ꍞ ꍟ ꍠ ꍡ ꍢ ꍣ ꍤ ꍥ ꍦ ꍧ ꍨ ꍩ ꍪ ꍫ ꍬ ꍭ ꍮ ꍯ ꍰ ꍱ ꍲ ꍳ ꍴ ꍵ ꍶ ꍷ ꍸ ꍹ ꍺ ꍻ ꍼ ꍽ ꍾ ꍿ ꎀ ꎁ ꎂ ꎃ ꎄ ꎅ ꎆ ꎇ ꎈ ꎉ ꎊ ꎋ ꎌ ꎍ ꎎ ꎏ ꎐ ꎑ ꎒ ꎓ ꎔ ꎕ ꎖ ꎗ ꎘ ꎙ ꎚ ꎛ ꎜ ꎝ ꎞ ꎟ ꎠ ꎡ ꎢ ꎣ</t>
        </is>
      </c>
      <c r="Q235" s="38" t="inlineStr">
        <is>
          <t>ꊻ ꊼ ꊽ ꊾ ꊿ ꋀ ꋁ ꋂ ꋃ ꋄ ꋅ ꋆ ꋇ ꋈ ꋉ ꋊ ꋋ ꋌ ꋍ ꋎ ꋏ ꋐ ꋑ ꋒ ꋓ ꋔ ꋕ ꋖ ꋗ ꋘ ꋙ ꋚ ꋛ ꋜ ꋝ ꋞ ꋟ ꋠ ꋡ ꋢ ꋣ ꋤ ꋥ ꋦ ꋧ ꋨ ꋩ ꋪ ꋫ ꋬ ꋭ ꋮ ꋯ ꋰ ꋱ ꋲ ꋳ ꋴ ꋵ ꋶ ꋷ ꋸ ꋹ ꋺ ꋻ ꋼ ꋽ ꋾ ꋿ ꌀ ꌁ ꌂ ꌃ ꌄ ꌅ ꌆ ꌇ ꌈ ꌉ ꌊ ꌋ ꌌ ꌍ ꌎ ꌏ ꌐ ꌑ ꌒ ꌓ ꌔ ꌕ ꌖ ꌗ ꌘ ꌙ ꌚ ꌛ ꌜ ꌝ ꌞ ꌟ ꌠ ꌡ ꌢ ꌣ ꌤ ꌥ ꌦ ꌧ ꌨ ꌩ ꌪ ꌫ ꌬ ꌭ ꌮ ꌯ ꌰ ꌱ ꌲ ꌳ ꌴ ꌵ ꌶ ꌷ ꌸ ꌹ ꌺ ꌻ ꌼ ꌽ ꌾ ꌿ ꍀ ꍁ ꍂ ꍃ ꍄ ꍅ ꍆ ꍇ ꍈ ꍉ ꍊ ꍋ ꍌ ꍍ ꍎ ꍏ ꍐ ꍑ ꍒ ꍓ ꍔ ꍕ ꍖ ꍗ ꍘ ꍙ ꍚ ꍛ ꍜ ꍝ ꍞ ꍟ ꍠ ꍡ ꍢ ꍣ ꍤ ꍥ ꍦ ꍧ ꍨ ꍩ ꍪ ꍫ ꍬ ꍭ ꍮ ꍯ ꍰ ꍱ ꍲ ꍳ ꍴ ꍵ ꍶ ꍷ ꍸ ꍹ ꍺ ꍻ ꍼ ꍽ ꍾ ꍿ ꎀ ꎁ ꎂ ꎃ ꎄ ꎅ ꎆ ꎇ ꎈ ꎉ ꎊ ꎋ ꎌ ꎍ ꎎ ꎏ ꎐ ꎑ ꎒ ꎓ ꎔ ꎕ ꎖ ꎗ ꎘ ꎙ ꎚ ꎛ ꎜ ꎝ ꎞ ꎟ ꎠ ꎡ ꎢ ꎣ</t>
        </is>
      </c>
      <c r="R235" s="43" t="inlineStr">
        <is>
          <t>ꊻ ꊼ ꊽ ꊾ ꊿ ꋀ ꋁ ꋂ ꋃ ꋄ ꋅ ꋆ ꋇ ꋈ ꋉ ꋊ ꋋ ꋌ ꋍ ꋎ ꋏ ꋐ ꋑ ꋒ ꋓ ꋔ ꋕ ꋖ ꋗ ꋘ ꋜ ꋝ ꋞ ꋟ ꋠ ꋡ ꋢ ꋣ ꋤ ꋥ ꋦ ꋨ ꋩ ꋪ ꋫ ꋬ ꋭ ꋮ ꋯ ꋱ ꋲ ꋳ ꋴ ꋵ ꋶ ꋷ ꋸ ꋹ ꋺ ꋻ ꋼ ꋽ ꋾ ꋿ ꌀ ꌁ ꌂ ꌄ ꌅ ꌆ ꌇ ꌈ ꌉ ꌊ ꌋ ꌍ ꌎ ꌏ ꌐ ꌑ ꌒ ꌓ ꌔ ꌕ ꌖ ꌗ ꌘ ꌙ ꌚ ꌛ ꌜ ꌞ ꌟ ꌠ ꌡ ꌢ ꌣ ꌤ ꌥ ꌦ ꌧ ꌨ ꌩ ꌪ ꌫ ꌬ ꌭ ꌮ ꌯ ꌰ ꌱ ꌲ ꌳ ꌴ ꌵ ꌶ ꌷ ꌸ ꌹ ꌺ ꌻ ꌼ ꌽ ꌾ ꌿ ꍁ ꍂ ꍄ ꍅ ꍆ ꍇ ꍈ ꍉ ꍊ ꍋ ꍌ ꍍ ꍎ ꍏ ꍐ ꍑ ꍒ ꍓ ꍔ ꍕ ꍖ ꍗ ꍘ ꍙ ꍚ ꍛ ꍜ ꍝ ꍞ ꍡ ꍢ ꍣ ꍤ ꍥ ꍦ ꍨ ꍩ ꍪ ꍫ ꍬ ꍭ ꍮ ꍯ ꍰ ꍱ ꍲ ꍳ ꍴ ꍶ ꍷ ꍸ ꍹ ꍺ ꍻ ꍼ ꍽ ꍾ ꍿ ꎀ ꎁ ꎂ ꎃ ꎄ ꎅ ꎆ ꎇ ꎈ ꎉ ꎊ ꎋ ꎌ ꎍ ꎎ ꎑ ꎒ ꎓ ꎔ ꎕ ꎖ ꎘ ꎙ ꎚ ꎛ ꎜ ꎝ ꎞ ꎟ ꎠ ꎡ ꎢ ꎣ</t>
        </is>
      </c>
      <c r="S235" s="40" t="n"/>
      <c r="V235" s="14">
        <f>(LEN(O235)+1)/2</f>
        <v/>
      </c>
      <c r="W235" s="14">
        <f>ROUNDDOWN((LEN(P235)+1)/2,0)</f>
        <v/>
      </c>
      <c r="X235" s="14">
        <f>ROUNDDOWN((LEN(Q235)+1)/2,0)</f>
        <v/>
      </c>
      <c r="Y235" s="14">
        <f>ROUNDDOWN((LEN(R235)+1)/2,0)</f>
        <v/>
      </c>
      <c r="Z235" s="14">
        <f>ROUNDDOWN((LEN(S235)+1)/2,0)</f>
        <v/>
      </c>
      <c r="AA235" s="56" t="n">
        <v>46150.55859685951</v>
      </c>
    </row>
    <row r="236" ht="76.5" customHeight="1">
      <c r="B236" s="46" t="inlineStr">
        <is>
          <t>U+A3A4-U+A48C</t>
        </is>
      </c>
      <c r="C236" s="46" t="inlineStr">
        <is>
          <t>Yi Syllables</t>
        </is>
      </c>
      <c r="D236" s="54">
        <f>HEX2DEC(MID(B236,3,FIND("-",E236)-3))</f>
        <v/>
      </c>
      <c r="E236" s="46" t="inlineStr">
        <is>
          <t>U+A000-U+A48F</t>
        </is>
      </c>
      <c r="F236" s="12" t="n">
        <v>3</v>
      </c>
      <c r="J236" s="19">
        <f>ROUNDDOWN(W236,0)/$V236</f>
        <v/>
      </c>
      <c r="K236" s="19">
        <f>ROUNDDOWN(X236,0)/$V236</f>
        <v/>
      </c>
      <c r="L236" s="19">
        <f>ROUNDDOWN(Y236,0)/$V236</f>
        <v/>
      </c>
      <c r="M236" s="19">
        <f>ROUNDDOWN(Z236,0)/$V236</f>
        <v/>
      </c>
      <c r="O236" s="36" t="inlineStr">
        <is>
          <t>ꎤ ꎥ ꎦ ꎧ ꎨ ꎩ ꎪ ꎫ ꎬ ꎭ ꎮ ꎯ ꎰ ꎱ ꎲ ꎳ ꎴ ꎵ ꎶ ꎷ ꎸ ꎹ ꎺ ꎻ ꎼ ꎽ ꎾ ꎿ ꏀ ꏁ ꏂ ꏃ ꏄ ꏅ ꏆ ꏇ ꏈ ꏉ ꏊ ꏋ ꏌ ꏍ ꏎ ꏏ ꏐ ꏑ ꏒ ꏓ ꏔ ꏕ ꏖ ꏗ ꏘ ꏙ ꏚ ꏛ ꏜ ꏝ ꏞ ꏟ ꏠ ꏡ ꏢ ꏣ ꏤ ꏥ ꏦ ꏧ ꏨ ꏩ ꏪ ꏫ ꏬ ꏭ ꏮ ꏯ ꏰ ꏱ ꏲ ꏳ ꏴ ꏵ ꏶ ꏷ ꏸ ꏹ ꏺ ꏻ ꏼ ꏽ ꏾ ꏿ ꐀ ꐁ ꐂ ꐃ ꐄ ꐅ ꐆ ꐇ ꐈ ꐉ ꐊ ꐋ ꐌ ꐍ ꐎ ꐏ ꐐ ꐑ ꐒ ꐓ ꐔ ꐕ ꐖ ꐗ ꐘ ꐙ ꐚ ꐛ ꐜ ꐝ ꐞ ꐟ ꐠ ꐡ ꐢ ꐣ ꐤ ꐥ ꐦ ꐧ ꐨ ꐩ ꐪ ꐫ ꐬ ꐭ ꐮ ꐯ ꐰ ꐱ ꐲ ꐳ ꐴ ꐵ ꐶ ꐷ ꐸ ꐹ ꐺ ꐻ ꐼ ꐽ ꐾ ꐿ ꑀ ꑁ ꑂ ꑃ ꑄ ꑅ ꑆ ꑇ ꑈ ꑉ ꑊ ꑋ ꑌ ꑍ ꑎ ꑏ ꑐ ꑑ ꑒ ꑓ ꑔ ꑕ ꑖ ꑗ ꑘ ꑙ ꑚ ꑛ ꑜ ꑝ ꑞ ꑟ ꑠ ꑡ ꑢ ꑣ ꑤ ꑥ ꑦ ꑧ ꑨ ꑩ ꑪ ꑫ ꑬ ꑭ ꑮ ꑯ ꑰ ꑱ ꑲ ꑳ ꑴ ꑵ ꑶ ꑷ ꑸ ꑹ ꑺ ꑻ ꑼ ꑽ ꑾ ꑿ ꒀ ꒁ ꒂ ꒃ ꒄ ꒅ ꒆ ꒇ ꒈ ꒉ ꒊ ꒋ ꒌ</t>
        </is>
      </c>
      <c r="P236" s="37" t="inlineStr">
        <is>
          <t>ꎤ ꎥ ꎦ ꎧ ꎨ ꎩ ꎪ ꎫ ꎬ ꎭ ꎮ ꎯ ꎰ ꎱ ꎲ ꎳ ꎴ ꎵ ꎶ ꎷ ꎸ ꎹ ꎺ ꎻ ꎼ ꎽ ꎾ ꎿ ꏀ ꏁ ꏂ ꏃ ꏄ ꏅ ꏆ ꏇ ꏈ ꏉ ꏊ ꏋ ꏌ ꏍ ꏎ ꏏ ꏐ ꏑ ꏒ ꏓ ꏔ ꏕ ꏖ ꏗ ꏘ ꏙ ꏚ ꏛ ꏜ ꏝ ꏞ ꏟ ꏠ ꏡ ꏢ ꏣ ꏤ ꏥ ꏦ ꏧ ꏨ ꏩ ꏪ ꏫ ꏬ ꏭ ꏮ ꏯ ꏰ ꏱ ꏲ ꏳ ꏴ ꏵ ꏶ ꏷ ꏸ ꏹ ꏺ ꏻ ꏼ ꏽ ꏾ ꏿ ꐀ ꐁ ꐂ ꐃ ꐄ ꐅ ꐆ ꐇ ꐈ ꐉ ꐊ ꐋ ꐌ ꐍ ꐎ ꐏ ꐐ ꐑ ꐒ ꐓ ꐔ ꐕ ꐖ ꐗ ꐘ ꐙ ꐚ ꐛ ꐜ ꐝ ꐞ ꐟ ꐠ ꐡ ꐢ ꐣ ꐤ ꐥ ꐦ ꐧ ꐨ ꐩ ꐪ ꐫ ꐬ ꐭ ꐮ ꐯ ꐰ ꐱ ꐲ ꐳ ꐴ ꐵ ꐶ ꐷ ꐸ ꐹ ꐺ ꐻ ꐼ ꐽ ꐾ ꐿ ꑀ ꑁ ꑂ ꑃ ꑄ ꑅ ꑆ ꑇ ꑈ ꑉ ꑊ ꑋ ꑌ ꑍ ꑎ ꑏ ꑐ ꑑ ꑒ ꑓ ꑔ ꑕ ꑖ ꑗ ꑘ ꑙ ꑚ ꑛ ꑜ ꑝ ꑞ ꑟ ꑠ ꑡ ꑢ ꑣ ꑤ ꑥ ꑦ ꑧ ꑨ ꑩ ꑪ ꑫ ꑬ ꑭ ꑮ ꑯ ꑰ ꑱ ꑲ ꑳ ꑴ ꑵ ꑶ ꑷ ꑸ ꑹ ꑺ ꑻ ꑼ ꑽ ꑾ ꑿ ꒀ ꒁ ꒂ ꒃ ꒄ ꒅ ꒆ ꒇ ꒈ ꒉ ꒊ ꒋ ꒌ</t>
        </is>
      </c>
      <c r="Q236" s="38" t="inlineStr">
        <is>
          <t>ꎤ ꎥ ꎦ ꎧ ꎨ ꎩ ꎪ ꎫ ꎬ ꎭ ꎮ ꎯ ꎰ ꎱ ꎲ ꎳ ꎴ ꎵ ꎶ ꎷ ꎸ ꎹ ꎺ ꎻ ꎼ ꎽ ꎾ ꎿ ꏀ ꏁ ꏂ ꏃ ꏄ ꏅ ꏆ ꏇ ꏈ ꏉ ꏊ ꏋ ꏌ ꏍ ꏎ ꏏ ꏐ ꏑ ꏒ ꏓ ꏔ ꏕ ꏖ ꏗ ꏘ ꏙ ꏚ ꏛ ꏜ ꏝ ꏞ ꏟ ꏠ ꏡ ꏢ ꏣ ꏤ ꏥ ꏦ ꏧ ꏨ ꏩ ꏪ ꏫ ꏬ ꏭ ꏮ ꏯ ꏰ ꏱ ꏲ ꏳ ꏴ ꏵ ꏶ ꏷ ꏸ ꏹ ꏺ ꏻ ꏼ ꏽ ꏾ ꏿ ꐀ ꐁ ꐂ ꐃ ꐄ ꐅ ꐆ ꐇ ꐈ ꐉ ꐊ ꐋ ꐌ ꐍ ꐎ ꐏ ꐐ ꐑ ꐒ ꐓ ꐔ ꐕ ꐖ ꐗ ꐘ ꐙ ꐚ ꐛ ꐜ ꐝ ꐞ ꐟ ꐠ ꐡ ꐢ ꐣ ꐤ ꐥ ꐦ ꐧ ꐨ ꐩ ꐪ ꐫ ꐬ ꐭ ꐮ ꐯ ꐰ ꐱ ꐲ ꐳ ꐴ ꐵ ꐶ ꐷ ꐸ ꐹ ꐺ ꐻ ꐼ ꐽ ꐾ ꐿ ꑀ ꑁ ꑂ ꑃ ꑄ ꑅ ꑆ ꑇ ꑈ ꑉ ꑊ ꑋ ꑌ ꑍ ꑎ ꑏ ꑐ ꑑ ꑒ ꑓ ꑔ ꑕ ꑖ ꑗ ꑘ ꑙ ꑚ ꑛ ꑜ ꑝ ꑞ ꑟ ꑠ ꑡ ꑢ ꑣ ꑤ ꑥ ꑦ ꑧ ꑨ ꑩ ꑪ ꑫ ꑬ ꑭ ꑮ ꑯ ꑰ ꑱ ꑲ ꑳ ꑴ ꑵ ꑶ ꑷ ꑸ ꑹ ꑺ ꑻ ꑼ ꑽ ꑾ ꑿ ꒀ ꒁ ꒂ ꒃ ꒄ ꒅ ꒆ ꒇ ꒈ ꒉ ꒊ ꒋ ꒌ</t>
        </is>
      </c>
      <c r="R236" s="43" t="inlineStr">
        <is>
          <t>ꎤ ꎥ ꎦ ꎧ ꎨ ꎩ ꎪ ꎫ ꎬ ꎭ ꎮ ꎯ ꎰ ꎱ ꎲ ꎳ ꎴ ꎵ ꎶ ꎷ ꎸ ꎹ ꎺ ꎻ ꎼ ꎽ ꎾ ꎿ ꏀ ꏁ ꏂ ꏃ ꏆ ꏇ ꏈ ꏉ ꏊ ꏋ ꏌ ꏍ ꏎ ꏏ ꏐ ꏑ ꏒ ꏓ ꏔ ꏕ ꏖ ꏗ ꏘ ꏙ ꏚ ꏛ ꏜ ꏝ ꏞ ꏠ ꏡ ꏢ ꏣ ꏤ ꏥ ꏦ ꏧ ꏨ ꏩ ꏪ ꏫ ꏬ ꏭ ꏮ ꏯ ꏰ ꏱ ꏲ ꏳ ꏴ ꏵ ꏶ ꏷ ꏹ ꏺ ꏻ ꏼ ꏽ ꏾ ꏿ ꐀ ꐁ ꐂ ꐃ ꐄ ꐅ ꐆ ꐇ ꐉ ꐊ ꐋ ꐌ ꐍ ꐎ ꐏ ꐐ ꐑ ꐒ ꐓ ꐔ ꐕ ꐖ ꐗ ꐘ ꐙ ꐚ ꐛ ꐜ ꐝ ꐞ ꐟ ꐠ ꐡ ꐢ ꐣ ꐤ ꐥ ꐦ ꐧ ꐨ ꐩ ꐪ ꐫ ꐬ ꐭ ꐮ ꐯ ꐰ ꐱ ꐲ ꐳ ꐴ ꐵ ꐶ ꐷ ꐸ ꐹ ꐺ ꐼ ꐽ ꐾ ꐿ ꑀ ꑁ ꑂ ꑃ ꑄ ꑅ ꑆ ꑇ ꑈ ꑉ ꑊ ꑋ ꑌ ꑍ ꑎ ꑏ ꑐ ꑑ ꑒ ꑓ ꑔ ꑖ ꑗ ꑘ ꑙ ꑚ ꑛ ꑜ ꑝ ꑞ ꑠ ꑡ ꑢ ꑣ ꑥ ꑦ ꑧ ꑨ ꑩ ꑪ ꑫ ꑬ ꑭ ꑮ ꑯ ꑰ ꑱ ꑲ ꑴ ꑵ ꑶ ꑷ ꑸ ꑹ ꑺ ꑻ ꑼ ꑽ ꑾ ꑿ ꒀ ꒁ ꒂ ꒃ ꒄ ꒅ ꒆ ꒇ ꒈ ꒉ ꒊ ꒋ ꒌ</t>
        </is>
      </c>
      <c r="S236" s="40" t="n"/>
      <c r="V236" s="14">
        <f>(LEN(O236)+1)/2</f>
        <v/>
      </c>
      <c r="W236" s="14">
        <f>ROUNDDOWN((LEN(P236)+1)/2,0)</f>
        <v/>
      </c>
      <c r="X236" s="14">
        <f>ROUNDDOWN((LEN(Q236)+1)/2,0)</f>
        <v/>
      </c>
      <c r="Y236" s="14">
        <f>ROUNDDOWN((LEN(R236)+1)/2,0)</f>
        <v/>
      </c>
      <c r="Z236" s="14">
        <f>ROUNDDOWN((LEN(S236)+1)/2,0)</f>
        <v/>
      </c>
      <c r="AA236" s="56" t="n">
        <v>46150.55859929449</v>
      </c>
    </row>
    <row r="237" ht="25.5" customHeight="1">
      <c r="B237" s="46" t="inlineStr">
        <is>
          <t>U+A490-U+A4C6</t>
        </is>
      </c>
      <c r="C237" s="46" t="inlineStr">
        <is>
          <t>Yi Radicals</t>
        </is>
      </c>
      <c r="D237" s="54">
        <f>HEX2DEC(MID(B237,3,FIND("-",E237)-3))</f>
        <v/>
      </c>
      <c r="E237" s="46" t="inlineStr">
        <is>
          <t>U+A490-U+A4CF</t>
        </is>
      </c>
      <c r="F237" s="12" t="n">
        <v>3</v>
      </c>
      <c r="J237" s="19">
        <f>ROUNDDOWN(W237,0)/$V237</f>
        <v/>
      </c>
      <c r="K237" s="19">
        <f>ROUNDDOWN(X237,0)/$V237</f>
        <v/>
      </c>
      <c r="L237" s="19">
        <f>ROUNDDOWN(Y237,0)/$V237</f>
        <v/>
      </c>
      <c r="M237" s="19">
        <f>ROUNDDOWN(Z237,0)/$V237</f>
        <v/>
      </c>
      <c r="O237" s="36" t="inlineStr">
        <is>
          <t>꒐ ꒑ ꒒ ꒓ ꒔ ꒕ ꒖ ꒗ ꒘ ꒙ ꒚ ꒛ ꒜ ꒝ ꒞ ꒟ ꒠ ꒡ ꒢ ꒣ ꒤ ꒥ ꒦ ꒧ ꒨ ꒩ ꒪ ꒫ ꒬ ꒭ ꒮ ꒯ ꒰ ꒱ ꒲ ꒳ ꒴ ꒵ ꒶ ꒷ ꒸ ꒹ ꒺ ꒻ ꒼ ꒽ ꒾ ꒿ ꓀ ꓁ ꓂ ꓃ ꓄ ꓅ ꓆</t>
        </is>
      </c>
      <c r="P237" s="37" t="inlineStr">
        <is>
          <t>꒐ ꒑ ꒒ ꒓ ꒔ ꒕ ꒖ ꒗ ꒘ ꒙ ꒚ ꒛ ꒜ ꒝ ꒞ ꒟ ꒠ ꒡ ꒢ ꒣ ꒤ ꒥ ꒦ ꒧ ꒨ ꒩ ꒪ ꒫ ꒬ ꒭ ꒮ ꒯ ꒰ ꒱ ꒲ ꒳ ꒴ ꒵ ꒶ ꒷ ꒸ ꒹ ꒺ ꒻ ꒼ ꒽ ꒾ ꒿ ꓀ ꓁ ꓂ ꓃ ꓄ ꓅ ꓆</t>
        </is>
      </c>
      <c r="Q237" s="38" t="inlineStr">
        <is>
          <t>꒐ ꒑ ꒒ ꒓ ꒔ ꒕ ꒖ ꒗ ꒘ ꒙ ꒚ ꒛ ꒜ ꒝ ꒞ ꒟ ꒠ ꒡ ꒢ ꒣ ꒤ ꒥ ꒦ ꒧ ꒨ ꒩ ꒪ ꒫ ꒬ ꒭ ꒮ ꒯ ꒰ ꒱ ꒲ ꒳ ꒴ ꒵ ꒶ ꒷ ꒸ ꒹ ꒺ ꒻ ꒼ ꒽ ꒾ ꒿ ꓀ ꓁ ꓂ ꓃ ꓄ ꓅ ꓆</t>
        </is>
      </c>
      <c r="R237" s="43" t="inlineStr">
        <is>
          <t>꒐ ꒑ ꒒ ꒓ ꒔ ꒕ ꒖ ꒗ ꒘ ꒙ ꒚ ꒛ ꒜ ꒝ ꒞ ꒟ ꒠ ꒡ ꒢ ꒣ ꒤ ꒥ ꒦ ꒧ ꒨ ꒩ ꒪ ꒫ ꒬ ꒭ ꒮ ꒯ ꒰ ꒱ ꒲ ꒳ ꒴ ꒵ ꒶ ꒷ ꒸ ꒹ ꒺ ꒻ ꒼ ꒽ ꒾ ꒿ ꓀ ꓁ ꓂ ꓃ ꓄ ꓅</t>
        </is>
      </c>
      <c r="S237" s="40" t="n"/>
      <c r="V237" s="14">
        <f>(LEN(O237)+1)/2</f>
        <v/>
      </c>
      <c r="W237" s="14">
        <f>ROUNDDOWN((LEN(P237)+1)/2,0)</f>
        <v/>
      </c>
      <c r="X237" s="14">
        <f>ROUNDDOWN((LEN(Q237)+1)/2,0)</f>
        <v/>
      </c>
      <c r="Y237" s="14">
        <f>ROUNDDOWN((LEN(R237)+1)/2,0)</f>
        <v/>
      </c>
      <c r="Z237" s="14">
        <f>ROUNDDOWN((LEN(S237)+1)/2,0)</f>
        <v/>
      </c>
      <c r="AA237" s="56" t="n">
        <v>46150.55859996827</v>
      </c>
    </row>
    <row r="238" ht="25.5" customHeight="1">
      <c r="B238" s="46" t="inlineStr">
        <is>
          <t>U+A4D0-U+A4FF</t>
        </is>
      </c>
      <c r="C238" s="46" t="inlineStr">
        <is>
          <t>Lisu</t>
        </is>
      </c>
      <c r="D238" s="54">
        <f>HEX2DEC(MID(B238,3,FIND("-",E238)-3))</f>
        <v/>
      </c>
      <c r="E238" s="46" t="inlineStr">
        <is>
          <t>U+A4D0-U+A4FF</t>
        </is>
      </c>
      <c r="F238" s="12" t="n">
        <v>3</v>
      </c>
      <c r="J238" s="19">
        <f>ROUNDDOWN(W238,0)/$V238</f>
        <v/>
      </c>
      <c r="K238" s="19">
        <f>ROUNDDOWN(X238,0)/$V238</f>
        <v/>
      </c>
      <c r="L238" s="19">
        <f>ROUNDDOWN(Y238,0)/$V238</f>
        <v/>
      </c>
      <c r="M238" s="19">
        <f>ROUNDDOWN(Z238,0)/$V238</f>
        <v/>
      </c>
      <c r="O238" s="36" t="inlineStr">
        <is>
          <t>ꓐ ꓑ ꓒ ꓓ ꓔ ꓕ ꓖ ꓗ ꓘ ꓙ ꓚ ꓛ ꓜ ꓝ ꓞ ꓟ ꓠ ꓡ ꓢ ꓣ ꓤ ꓥ ꓦ ꓧ ꓨ ꓩ ꓪ ꓫ ꓬ ꓭ ꓮ ꓯ ꓰ ꓱ ꓲ ꓳ ꓴ ꓵ ꓶ ꓷ ꓸ ꓹ ꓺ ꓻ ꓼ ꓽ ꓾ ꓿</t>
        </is>
      </c>
      <c r="P238" s="37" t="inlineStr">
        <is>
          <t>ꓐ ꓑ ꓒ ꓓ ꓔ ꓕ ꓖ ꓗ ꓘ ꓙ ꓚ ꓛ ꓜ ꓝ ꓞ ꓟ ꓠ ꓡ ꓢ ꓣ ꓤ ꓥ ꓦ ꓧ ꓨ ꓩ ꓪ ꓫ ꓬ ꓭ ꓮ ꓯ ꓰ ꓱ ꓲ ꓳ ꓴ ꓵ ꓶ ꓷ ꓸ ꓹ ꓺ ꓻ ꓼ ꓽ ꓾ ꓿</t>
        </is>
      </c>
      <c r="Q238" s="38" t="inlineStr">
        <is>
          <t>ꓐ ꓑ ꓒ ꓓ ꓔ ꓕ ꓖ ꓗ ꓘ ꓙ ꓚ ꓛ ꓜ ꓝ ꓞ ꓟ ꓠ ꓡ ꓢ ꓣ ꓤ ꓥ ꓦ ꓧ ꓨ ꓩ ꓪ ꓫ ꓬ ꓭ ꓮ ꓰ ꓱ ꓲ ꓴ ꓵ ꓶ ꓸ ꓹ ꓺ ꓻ ꓼ ꓽ ꓾ ꓿</t>
        </is>
      </c>
      <c r="R238" s="43" t="inlineStr">
        <is>
          <t>ꓕ ꓘ ꓛ ꓞ ꓤ ꓥ ꓨ ꓩ ꓭ ꓱ ꓵ ꓶ</t>
        </is>
      </c>
      <c r="S238" s="40" t="n"/>
      <c r="V238" s="14">
        <f>(LEN(O238)+1)/2</f>
        <v/>
      </c>
      <c r="W238" s="14">
        <f>ROUNDDOWN((LEN(P238)+1)/2,0)</f>
        <v/>
      </c>
      <c r="X238" s="14">
        <f>ROUNDDOWN((LEN(Q238)+1)/2,0)</f>
        <v/>
      </c>
      <c r="Y238" s="14">
        <f>ROUNDDOWN((LEN(R238)+1)/2,0)</f>
        <v/>
      </c>
      <c r="Z238" s="14">
        <f>ROUNDDOWN((LEN(S238)+1)/2,0)</f>
        <v/>
      </c>
      <c r="AA238" s="56" t="n">
        <v>46150.55860024774</v>
      </c>
    </row>
    <row r="239" ht="38.25" customHeight="1">
      <c r="B239" s="46" t="inlineStr">
        <is>
          <t>U+A500-U+A595</t>
        </is>
      </c>
      <c r="C239" s="46" t="inlineStr">
        <is>
          <t>Vai</t>
        </is>
      </c>
      <c r="D239" s="54">
        <f>HEX2DEC(MID(B239,3,FIND("-",E239)-3))</f>
        <v/>
      </c>
      <c r="E239" s="46" t="inlineStr">
        <is>
          <t>U+A500-U+A63F</t>
        </is>
      </c>
      <c r="F239" s="12" t="n">
        <v>3</v>
      </c>
      <c r="J239" s="19">
        <f>ROUNDDOWN(W239,0)/$V239</f>
        <v/>
      </c>
      <c r="K239" s="19">
        <f>ROUNDDOWN(X239,0)/$V239</f>
        <v/>
      </c>
      <c r="L239" s="19">
        <f>ROUNDDOWN(Y239,0)/$V239</f>
        <v/>
      </c>
      <c r="M239" s="19">
        <f>ROUNDDOWN(Z239,0)/$V239</f>
        <v/>
      </c>
      <c r="O239" s="36" t="inlineStr">
        <is>
          <t>ꔀ ꔁ ꔂ ꔃ ꔄ ꔅ ꔆ ꔇ ꔈ ꔉ ꔊ ꔋ ꔌ ꔍ ꔎ ꔏ ꔐ ꔑ ꔒ ꔓ ꔔ ꔕ ꔖ ꔗ ꔘ ꔙ ꔚ ꔛ ꔜ ꔝ ꔞ ꔟ ꔠ ꔡ ꔢ ꔣ ꔤ ꔥ ꔦ ꔧ ꔨ ꔩ ꔪ ꔫ ꔬ ꔭ ꔮ ꔯ ꔰ ꔱ ꔲ ꔳ ꔴ ꔵ ꔶ ꔷ ꔸ ꔹ ꔺ ꔻ ꔼ ꔽ ꔾ ꔿ ꕀ ꕁ ꕂ ꕃ ꕄ ꕅ ꕆ ꕇ ꕈ ꕉ ꕊ ꕋ ꕌ ꕍ ꕎ ꕏ ꕐ ꕑ ꕒ ꕓ ꕔ ꕕ ꕖ ꕗ ꕘ ꕙ ꕚ ꕛ ꕜ ꕝ ꕞ ꕟ ꕠ ꕡ ꕢ ꕣ ꕤ ꕥ ꕦ ꕧ ꕨ ꕩ ꕪ ꕫ ꕬ ꕭ ꕮ ꕯ ꕰ ꕱ ꕲ ꕳ ꕴ ꕵ ꕶ ꕷ ꕸ ꕹ ꕺ ꕻ ꕼ ꕽ ꕾ ꕿ ꖀ ꖁ ꖂ ꖃ ꖄ ꖅ ꖆ ꖇ ꖈ ꖉ ꖊ ꖋ ꖌ ꖍ ꖎ ꖏ ꖐ ꖑ ꖒ ꖓ ꖔ ꖕ</t>
        </is>
      </c>
      <c r="P239" s="37" t="inlineStr">
        <is>
          <t>ꔀ ꔁ ꔂ ꔃ ꔄ ꔅ ꔆ ꔇ ꔈ ꔉ ꔊ ꔋ ꔌ ꔍ ꔎ ꔏ ꔐ ꔑ ꔒ ꔓ ꔔ ꔕ ꔖ ꔗ ꔘ ꔙ ꔚ ꔛ ꔜ ꔝ ꔞ ꔟ ꔠ ꔡ ꔢ ꔣ ꔤ ꔥ ꔦ ꔧ ꔨ ꔩ ꔪ ꔫ ꔬ ꔭ ꔮ ꔯ ꔰ ꔱ ꔲ ꔳ ꔴ ꔵ ꔶ ꔷ ꔸ ꔹ ꔺ ꔻ ꔼ ꔽ ꔾ ꔿ ꕀ ꕁ ꕂ ꕃ ꕄ ꕅ ꕆ ꕇ ꕈ ꕉ ꕊ ꕋ ꕌ ꕍ ꕎ ꕏ ꕐ ꕑ ꕒ ꕓ ꕔ ꕕ ꕖ ꕗ ꕘ ꕙ ꕚ ꕛ ꕜ ꕝ ꕞ ꕟ ꕠ ꕡ ꕢ ꕣ ꕤ ꕥ ꕦ ꕧ ꕨ ꕩ ꕪ ꕫ ꕬ ꕭ ꕮ ꕯ ꕰ ꕱ ꕲ ꕳ ꕴ ꕵ ꕶ ꕷ ꕸ ꕹ ꕺ ꕻ ꕼ ꕽ ꕾ ꕿ ꖀ ꖁ ꖂ ꖃ ꖄ ꖅ ꖆ ꖇ ꖈ ꖉ ꖊ ꖋ ꖌ ꖍ ꖎ ꖏ ꖐ ꖑ ꖒ ꖓ ꖔ ꖕ</t>
        </is>
      </c>
      <c r="Q239" s="38" t="inlineStr">
        <is>
          <t>ꔀ ꔁ ꔂ ꔃ ꔄ ꔅ ꔆ ꔇ ꔈ ꔉ ꔊ ꔋ ꔌ ꔍ ꔎ ꔏ ꔐ ꔑ ꔒ ꔓ ꔔ ꔕ ꔖ ꔗ ꔘ ꔙ ꔚ ꔛ ꔜ ꔝ ꔞ ꔟ ꔠ ꔡ ꔢ ꔣ ꔤ ꔥ ꔦ ꔧ ꔨ ꔩ ꔪ ꔫ ꔬ ꔭ ꔮ ꔯ ꔰ ꔱ ꔲ ꔳ ꔴ ꔵ ꔶ ꔷ ꔸ ꔹ ꔺ ꔻ ꔼ ꔽ ꔾ ꔿ ꕀ ꕁ ꕂ ꕃ ꕄ ꕅ ꕆ ꕇ ꕈ ꕉ ꕊ ꕋ ꕌ ꕍ ꕎ ꕏ ꕐ ꕑ ꕒ ꕓ ꕔ ꕕ ꕖ ꕗ ꕘ ꕙ ꕚ ꕛ ꕜ ꕝ ꕞ ꕟ ꕠ ꕡ ꕢ ꕣ ꕤ ꕥ ꕦ ꕧ ꕨ ꕩ ꕪ ꕫ ꕬ ꕭ ꕮ ꕯ ꕰ ꕱ ꕲ ꕳ ꕴ ꕵ ꕶ ꕷ ꕸ ꕹ ꕺ ꕻ ꕼ ꕽ ꕾ ꕿ ꖀ ꖁ ꖂ ꖃ ꖄ ꖅ ꖆ ꖇ ꖈ ꖉ ꖊ ꖋ ꖌ ꖍ ꖎ ꖏ ꖐ ꖑ ꖒ ꖓ ꖔ ꖕ</t>
        </is>
      </c>
      <c r="R239" s="43" t="inlineStr">
        <is>
          <t>ꔀ ꔁ ꔂ ꔃ ꔄ ꔇ ꔈ ꔉ ꔊ ꔋ ꔌ ꔍ ꔎ ꔏ ꔒ ꔓ ꔕ ꔗ ꔙ ꔟ ꔠ ꔡ ꔢ ꔤ ꔥ ꔦ ꔧ ꔨ ꔪ ꔬ ꔭ ꔮ ꔯ ꔰ ꔱ ꔲ ꔳ ꔴ ꔵ ꔶ ꔷ ꔸ ꔽ ꔿ ꕃ ꕄ ꕅ ꕆ ꕇ ꕈ ꕉ ꕊ ꕋ ꕎ ꕏ ꕒ ꕓ ꕔ ꕕ ꕖ ꕗ ꕘ ꕙ ꕚ ꕛ ꕜ ꕟ ꕠ ꕡ ꕢ ꕣ ꕤ ꕦ ꕧ ꕨ ꕪ ꕫ ꕬ ꕯ ꕱ ꕲ ꕳ ꕴ ꕵ ꕶ ꕷ ꕸ ꕺ ꕼ ꕽ ꕾ ꖃ ꖄ ꖆ ꖇ ꖈ ꖉ ꖑ ꖔ ꖕ</t>
        </is>
      </c>
      <c r="S239" s="40" t="n"/>
      <c r="V239" s="14">
        <f>(LEN(O239)+1)/2</f>
        <v/>
      </c>
      <c r="W239" s="14">
        <f>ROUNDDOWN((LEN(P239)+1)/2,0)</f>
        <v/>
      </c>
      <c r="X239" s="14">
        <f>ROUNDDOWN((LEN(Q239)+1)/2,0)</f>
        <v/>
      </c>
      <c r="Y239" s="14">
        <f>ROUNDDOWN((LEN(R239)+1)/2,0)</f>
        <v/>
      </c>
      <c r="Z239" s="14">
        <f>ROUNDDOWN((LEN(S239)+1)/2,0)</f>
        <v/>
      </c>
      <c r="AA239" s="56" t="n">
        <v>46150.55860147694</v>
      </c>
    </row>
    <row r="240" ht="38.25" customHeight="1">
      <c r="B240" s="46" t="inlineStr">
        <is>
          <t>U+A596-U+A62B</t>
        </is>
      </c>
      <c r="C240" s="46" t="inlineStr">
        <is>
          <t>Vai</t>
        </is>
      </c>
      <c r="D240" s="54">
        <f>HEX2DEC(MID(B240,3,FIND("-",E240)-3))</f>
        <v/>
      </c>
      <c r="E240" s="46" t="inlineStr">
        <is>
          <t>U+A500-U+A63F</t>
        </is>
      </c>
      <c r="F240" s="12" t="n">
        <v>3</v>
      </c>
      <c r="J240" s="19">
        <f>ROUNDDOWN(W240,0)/$V240</f>
        <v/>
      </c>
      <c r="K240" s="19">
        <f>ROUNDDOWN(X240,0)/$V240</f>
        <v/>
      </c>
      <c r="L240" s="19">
        <f>ROUNDDOWN(Y240,0)/$V240</f>
        <v/>
      </c>
      <c r="M240" s="19">
        <f>ROUNDDOWN(Z240,0)/$V240</f>
        <v/>
      </c>
      <c r="O240" s="36" t="inlineStr">
        <is>
          <t>ꖖ ꖗ ꖘ ꖙ ꖚ ꖛ ꖜ ꖝ ꖞ ꖟ ꖠ ꖡ ꖢ ꖣ ꖤ ꖥ ꖦ ꖧ ꖨ ꖩ ꖪ ꖫ ꖬ ꖭ ꖮ ꖯ ꖰ ꖱ ꖲ ꖳ ꖴ ꖵ ꖶ ꖷ ꖸ ꖹ ꖺ ꖻ ꖼ ꖽ ꖾ ꖿ ꗀ ꗁ ꗂ ꗃ ꗄ ꗅ ꗆ ꗇ ꗈ ꗉ ꗊ ꗋ ꗌ ꗍ ꗎ ꗏ ꗐ ꗑ ꗒ ꗓ ꗔ ꗕ ꗖ ꗗ ꗘ ꗙ ꗚ ꗛ ꗜ ꗝ ꗞ ꗟ ꗠ ꗡ ꗢ ꗣ ꗤ ꗥ ꗦ ꗧ ꗨ ꗩ ꗪ ꗫ ꗬ ꗭ ꗮ ꗯ ꗰ ꗱ ꗲ ꗳ ꗴ ꗵ ꗶ ꗷ ꗸ ꗹ ꗺ ꗻ ꗼ ꗽ ꗾ ꗿ ꘀ ꘁ ꘂ ꘃ ꘄ ꘅ ꘆ ꘇ ꘈ ꘉ ꘊ ꘋ ꘌ ꘍ ꘎ ꘏ ꘐ ꘑ ꘒ ꘓ ꘔ ꘕ ꘖ ꘗ ꘘ ꘙ ꘚ ꘛ ꘜ ꘝ ꘞ ꘟ ꘠ ꘡ ꘢ ꘣ ꘤ ꘥ ꘦ ꘧ ꘨ ꘩ ꘪ ꘫ</t>
        </is>
      </c>
      <c r="P240" s="37" t="inlineStr">
        <is>
          <t>ꖖ ꖗ ꖘ ꖙ ꖚ ꖛ ꖜ ꖝ ꖞ ꖟ ꖠ ꖡ ꖢ ꖣ ꖤ ꖥ ꖦ ꖧ ꖨ ꖩ ꖪ ꖫ ꖬ ꖭ ꖮ ꖯ ꖰ ꖱ ꖲ ꖳ ꖴ ꖵ ꖶ ꖷ ꖸ ꖹ ꖺ ꖻ ꖼ ꖽ ꖾ ꖿ ꗀ ꗁ ꗂ ꗃ ꗄ ꗅ ꗆ ꗇ ꗈ ꗉ ꗊ ꗋ ꗌ ꗍ ꗎ ꗏ ꗐ ꗑ ꗒ ꗓ ꗔ ꗕ ꗖ ꗗ ꗘ ꗙ ꗚ ꗛ ꗜ ꗝ ꗞ ꗟ ꗠ ꗡ ꗢ ꗣ ꗤ ꗥ ꗦ ꗧ ꗨ ꗩ ꗪ ꗫ ꗬ ꗭ ꗮ ꗯ ꗰ ꗱ ꗲ ꗳ ꗴ ꗵ ꗶ ꗷ ꗸ ꗹ ꗺ ꗻ ꗼ ꗽ ꗾ ꗿ ꘀ ꘁ ꘂ ꘃ ꘄ ꘅ ꘆ ꘇ ꘈ ꘉ ꘊ ꘋ ꘍ ꘎ ꘏ ꘐ ꘑ ꘒ ꘓ ꘔ ꘕ ꘖ ꘗ ꘘ ꘙ ꘚ ꘛ ꘜ ꘝ ꘞ ꘟ ꘠ ꘡ ꘢ ꘣ ꘤ ꘥ ꘦ ꘧ ꘨ ꘩ ꘪ ꘫ</t>
        </is>
      </c>
      <c r="Q240" s="38" t="inlineStr">
        <is>
          <t>ꖖ ꖗ ꖘ ꖙ ꖚ ꖛ ꖜ ꖝ ꖞ ꖟ ꖠ ꖡ ꖢ ꖣ ꖤ ꖥ ꖦ ꖧ ꖨ ꖩ ꖪ ꖫ ꖬ ꖭ ꖮ ꖯ ꖰ ꖱ ꖲ ꖳ ꖴ ꖵ ꖶ ꖷ ꖸ ꖹ ꖺ ꖻ ꖼ ꖽ ꖾ ꖿ ꗀ ꗁ ꗂ ꗃ ꗄ ꗅ ꗆ ꗇ ꗈ ꗉ ꗊ ꗋ ꗌ ꗍ ꗎ ꗏ ꗐ ꗑ ꗒ ꗓ ꗔ ꗕ ꗖ ꗗ ꗘ ꗙ ꗚ ꗛ ꗜ ꗝ ꗞ ꗟ ꗠ ꗡ ꗢ ꗣ ꗤ ꗥ ꗦ ꗧ ꗨ ꗩ ꗪ ꗫ ꗬ ꗭ ꗮ ꗯ ꗰ ꗱ ꗲ ꗳ ꗴ ꗵ ꗶ ꗷ ꗸ ꗹ ꗺ ꗻ ꗼ ꗽ ꗾ ꗿ ꘀ ꘁ ꘂ ꘃ ꘄ ꘅ ꘆ ꘇ ꘈ ꘉ ꘊ ꘋ ꘍ ꘎ ꘏ ꘐ ꘑ ꘒ ꘓ ꘔ ꘕ ꘖ ꘗ ꘘ ꘙ ꘚ ꘛ ꘜ ꘝ ꘞ ꘟ ꘪ ꘫ</t>
        </is>
      </c>
      <c r="R240" s="43" t="inlineStr">
        <is>
          <t>ꖙ ꖛ ꖝ ꖞ ꖟ ꖠ ꖡ ꖤ ꖥ ꖦ ꖨ ꖩ ꖪ ꖫ ꖮ ꖯ ꖰ ꖱ ꖲ ꖳ ꖴ ꖵ ꖶ ꖷ ꖸ ꖹ ꖺ ꖼ ꖽ ꖿ ꗀ ꗃ ꗄ ꗅ ꗆ ꗉ ꗊ ꗋ ꗌ ꗍ ꗎ ꗏ ꗐ ꗑ ꗒ ꗓ ꗕ ꗗ ꗘ ꗙ ꗚ ꗛ ꗝ ꗞ ꗟ ꗡ ꗣ ꗤ ꗦ ꗧ ꗨ ꗱ ꗲ ꗵ ꗸ ꗿ ꘁ ꘂ ꘃ ꘄ ꘅ ꘆ ꘇ ꘉ ꘊ ꘋ ꘍ ꘎ ꘑ ꘓ ꘔ ꘖ ꘘ ꘙ ꘛ ꘜ ꘝ ꘟ ꘫ</t>
        </is>
      </c>
      <c r="S240" s="40" t="n"/>
      <c r="V240" s="14">
        <f>(LEN(O240)+1)/2</f>
        <v/>
      </c>
      <c r="W240" s="14">
        <f>ROUNDDOWN((LEN(P240)+1)/2,0)</f>
        <v/>
      </c>
      <c r="X240" s="14">
        <f>ROUNDDOWN((LEN(Q240)+1)/2,0)</f>
        <v/>
      </c>
      <c r="Y240" s="14">
        <f>ROUNDDOWN((LEN(R240)+1)/2,0)</f>
        <v/>
      </c>
      <c r="Z240" s="14">
        <f>ROUNDDOWN((LEN(S240)+1)/2,0)</f>
        <v/>
      </c>
      <c r="AA240" s="56" t="n">
        <v>46150.55860279074</v>
      </c>
    </row>
    <row r="241" ht="38.25" customHeight="1">
      <c r="B241" s="46" t="inlineStr">
        <is>
          <t>U+A640-U+A69F</t>
        </is>
      </c>
      <c r="C241" s="46" t="inlineStr">
        <is>
          <t>Cyrillic Extended-B</t>
        </is>
      </c>
      <c r="D241" s="54">
        <f>HEX2DEC(MID(B241,3,FIND("-",E241)-3))</f>
        <v/>
      </c>
      <c r="E241" s="46" t="inlineStr">
        <is>
          <t>U+A640-U+A69F</t>
        </is>
      </c>
      <c r="F241" s="12" t="n">
        <v>3</v>
      </c>
      <c r="J241" s="19">
        <f>ROUNDDOWN(W241,0)/$V241</f>
        <v/>
      </c>
      <c r="K241" s="19">
        <f>ROUNDDOWN(X241,0)/$V241</f>
        <v/>
      </c>
      <c r="L241" s="19">
        <f>ROUNDDOWN(Y241,0)/$V241</f>
        <v/>
      </c>
      <c r="M241" s="19">
        <f>ROUNDDOWN(Z241,0)/$V241</f>
        <v/>
      </c>
      <c r="O241" s="36" t="inlineStr">
        <is>
          <t>Ꙁ ꙁ Ꙃ ꙃ Ꙅ ꙅ Ꙇ ꙇ Ꙉ ꙉ Ꙋ ꙋ Ꙍ ꙍ Ꙏ ꙏ Ꙑ ꙑ Ꙓ ꙓ Ꙕ ꙕ Ꙗ ꙗ Ꙙ ꙙ Ꙛ ꙛ Ꙝ ꙝ Ꙟ ꙟ Ꙡ ꙡ Ꙣ ꙣ Ꙥ ꙥ Ꙧ ꙧ Ꙩ ꙩ Ꙫ ꙫ Ꙭ ꙭ ꙮ ꙯ ꙰ ꙱ ꙲ ꙳ ꙴ ꙵ ꙶ ꙷ ꙸ ꙹ ꙺ ꙻ ꙼ ꙽ ꙾ ꙿ Ꚁ ꚁ Ꚃ ꚃ Ꚅ ꚅ Ꚇ ꚇ Ꚉ ꚉ Ꚋ ꚋ Ꚍ ꚍ Ꚏ ꚏ Ꚑ ꚑ Ꚓ ꚓ Ꚕ ꚕ Ꚗ ꚗ Ꚙ ꚙ Ꚛ ꚛ ꚜ ꚝ ꚞ ꚟ</t>
        </is>
      </c>
      <c r="P241" s="37" t="inlineStr">
        <is>
          <t>Ꙁ ꙁ Ꙃ ꙃ Ꙅ ꙅ Ꙇ ꙇ Ꙉ ꙉ Ꙋ ꙋ Ꙍ ꙍ Ꙏ ꙏ Ꙑ ꙑ Ꙓ ꙓ Ꙕ ꙕ Ꙗ ꙗ Ꙙ ꙙ Ꙛ ꙛ Ꙝ ꙝ Ꙟ ꙟ Ꙡ ꙡ Ꙣ ꙣ Ꙥ ꙥ Ꙧ ꙧ Ꙩ ꙩ Ꙫ ꙫ Ꙭ ꙭ ꙮ ꙳ ꙾ Ꚁ ꚁ Ꚃ ꚃ Ꚅ ꚅ Ꚇ ꚇ Ꚉ ꚉ Ꚋ ꚋ Ꚍ ꚍ Ꚏ ꚏ Ꚑ ꚑ Ꚓ ꚓ Ꚕ ꚕ Ꚗ ꚗ Ꚙ ꚙ Ꚛ ꚛ</t>
        </is>
      </c>
      <c r="Q241" s="38" t="inlineStr">
        <is>
          <t>ꙁ ꙃ ꙅ ꙇ ꙉ ꙋ ꙍ ꙏ ꙓ ꙕ ꙗ ꙙ ꙛ ꙝ ꙟ ꙡ ꙣ ꙥ ꙧ ꙳ ꙾ ꚁ ꚃ ꚅ ꚇ ꚉ ꚍ ꚏ ꚑ ꚓ ꚕ ꚗ</t>
        </is>
      </c>
      <c r="R241" s="43" t="inlineStr">
        <is>
          <t>ꙁ ꙃ ꙅ ꙉ ꙋ ꙍ ꙏ ꙓ ꙕ ꙗ ꙙ ꙛ ꙟ ꙡ ꙣ ꙥ ꙳ ꚁ ꚃ ꚇ ꚉ ꚍ ꚏ ꚑ ꚓ ꚕ ꚗ</t>
        </is>
      </c>
      <c r="S241" s="40" t="n"/>
      <c r="T241" s="41" t="inlineStr">
        <is>
          <t>Ꙁ ꙁ Ꙃ ꙃ Ꙅ ꙅ Ꙇ ꙇ Ꙉ ꙉ Ꙋ ꙋ Ꙍ ꙍ Ꙏ ꙏ Ꙑ ꙑ Ꙓ ꙓ Ꙕ ꙕ Ꙗ ꙗ Ꙙ ꙙ Ꙛ ꙛ Ꙝ ꙝ Ꙟ ꙟ Ꙡ ꙡ Ꙣ ꙣ Ꙥ ꙥ Ꙧ ꙧ Ꙩ ꙩ Ꙫ ꙫ Ꙭ ꙭ ꙮ Ꚁ ꚁ Ꚃ ꚃ Ꚅ ꚅ Ꚇ ꚇ Ꚉ ꚉ Ꚋ ꚋ Ꚍ ꚍ Ꚏ ꚏ Ꚑ ꚑ Ꚓ ꚓ Ꚕ ꚕ Ꚗ ꚗ Ꚙ ꚙ Ꚛ ꚛ ꚜ ꚝ</t>
        </is>
      </c>
      <c r="U241" s="42" t="inlineStr">
        <is>
          <t>Ꙁ ꙁ Ꙃ ꙃ Ꙅ ꙅ Ꙇ ꙇ Ꙉ ꙉ Ꙋ ꙋ Ꙍ ꙍ Ꙏ ꙏ Ꙑ ꙑ Ꙓ ꙓ Ꙕ ꙕ Ꙗ ꙗ Ꙙ ꙙ Ꙛ ꙛ Ꙝ ꙝ Ꙟ ꙟ Ꙡ ꙡ Ꙣ ꙣ Ꙥ ꙥ Ꙧ ꙧ Ꙩ ꙩ Ꙫ ꙫ Ꙭ ꙭ ꙮ Ꚁ ꚁ Ꚃ ꚃ Ꚅ ꚅ Ꚇ ꚇ Ꚉ ꚉ Ꚋ ꚋ Ꚍ ꚍ Ꚏ ꚏ Ꚑ ꚑ Ꚓ ꚓ Ꚕ ꚕ Ꚗ ꚗ Ꚙ ꚙ Ꚛ ꚛ ꚜ ꚝ</t>
        </is>
      </c>
      <c r="V241" s="14">
        <f>(LEN(O241)+1)/2</f>
        <v/>
      </c>
      <c r="W241" s="14">
        <f>ROUNDDOWN((LEN(P241)+1)/2,0)</f>
        <v/>
      </c>
      <c r="X241" s="14">
        <f>ROUNDDOWN((LEN(Q241)+1)/2,0)</f>
        <v/>
      </c>
      <c r="Y241" s="14">
        <f>ROUNDDOWN((LEN(R241)+1)/2,0)</f>
        <v/>
      </c>
      <c r="Z241" s="14">
        <f>ROUNDDOWN((LEN(S241)+1)/2,0)</f>
        <v/>
      </c>
      <c r="AA241" s="56" t="n">
        <v>46150.55860331146</v>
      </c>
    </row>
    <row r="242" ht="38.25" customHeight="1">
      <c r="B242" s="46" t="inlineStr">
        <is>
          <t>U+A6A0-U+A6F7</t>
        </is>
      </c>
      <c r="C242" s="46" t="inlineStr">
        <is>
          <t>Bamum</t>
        </is>
      </c>
      <c r="D242" s="54">
        <f>HEX2DEC(MID(B242,3,FIND("-",E242)-3))</f>
        <v/>
      </c>
      <c r="E242" s="46" t="inlineStr">
        <is>
          <t>U+A6A0-U+A6FF</t>
        </is>
      </c>
      <c r="F242" s="12" t="n">
        <v>3</v>
      </c>
      <c r="J242" s="19">
        <f>ROUNDDOWN(W242,0)/$V242</f>
        <v/>
      </c>
      <c r="K242" s="19">
        <f>ROUNDDOWN(X242,0)/$V242</f>
        <v/>
      </c>
      <c r="L242" s="19">
        <f>ROUNDDOWN(Y242,0)/$V242</f>
        <v/>
      </c>
      <c r="M242" s="19">
        <f>ROUNDDOWN(Z242,0)/$V242</f>
        <v/>
      </c>
      <c r="O242" s="36" t="inlineStr">
        <is>
          <t>Ꙁ ꙁ Ꙃ ꙃ Ꙅ ꙅ Ꙇ ꙇ Ꙉ ꙉ Ꙋ ꙋ Ꙍ ꙍ Ꙏ ꙏ Ꙑ ꙑ Ꙓ ꙓ Ꙕ ꙕ Ꙗ ꙗ Ꙙ ꙙ Ꙛ ꙛ Ꙝ ꙝ Ꙟ ꙟ Ꙡ ꙡ Ꙣ ꙣ Ꙥ ꙥ Ꙧ ꙧ Ꙩ ꙩ Ꙫ ꙫ Ꙭ ꙭ ꙮ ꙯ ꙰ ꙱ ꙲ ꙳ ꙴ ꙵ ꙶ ꙷ ꙸ ꙹ ꙺ ꙻ ꙼ ꙽ ꙾ ꙿ Ꚁ ꚁ Ꚃ ꚃ Ꚅ ꚅ Ꚇ ꚇ Ꚉ ꚉ Ꚋ ꚋ Ꚍ ꚍ Ꚏ ꚏ Ꚑ ꚑ Ꚓ ꚓ Ꚕ ꚕ Ꚗ ꚗ Ꚙ ꚙ Ꚛ ꚛ ꚜ ꚝ ꚞ ꚟ</t>
        </is>
      </c>
      <c r="P242" s="37" t="inlineStr">
        <is>
          <t>Ꙁ ꙁ Ꙃ ꙃ Ꙅ ꙅ Ꙇ ꙇ Ꙉ ꙉ Ꙋ ꙋ Ꙍ ꙍ Ꙏ ꙏ Ꙑ ꙑ Ꙓ ꙓ Ꙕ ꙕ Ꙗ ꙗ Ꙙ ꙙ Ꙛ ꙛ Ꙝ ꙝ Ꙟ ꙟ Ꙡ ꙡ Ꙣ ꙣ Ꙥ ꙥ Ꙧ ꙧ Ꙩ ꙩ Ꙫ ꙫ Ꙭ ꙭ ꙮ ꙳ ꙾ Ꚁ ꚁ Ꚃ ꚃ Ꚅ ꚅ Ꚇ ꚇ Ꚉ ꚉ Ꚋ ꚋ Ꚍ ꚍ Ꚏ ꚏ Ꚑ ꚑ Ꚓ ꚓ Ꚕ ꚕ Ꚗ ꚗ Ꚙ ꚙ Ꚛ ꚛ</t>
        </is>
      </c>
      <c r="Q242" s="38" t="inlineStr">
        <is>
          <t>ꙁ ꙃ ꙅ ꙇ ꙉ ꙋ ꙍ ꙏ ꙓ ꙕ ꙗ ꙙ ꙛ ꙝ ꙟ ꙡ ꙣ ꙥ ꙧ ꙳ ꙾ ꚁ ꚃ ꚅ ꚇ ꚉ ꚍ ꚏ ꚑ ꚓ ꚕ ꚗ</t>
        </is>
      </c>
      <c r="R242" s="43" t="inlineStr">
        <is>
          <t>ꙁ ꙃ ꙅ ꙉ ꙋ ꙍ ꙏ ꙓ ꙕ ꙗ ꙙ ꙛ ꙟ ꙡ ꙣ ꙥ ꙳ ꚁ ꚃ ꚇ ꚉ ꚍ ꚏ ꚑ ꚓ ꚕ ꚗ</t>
        </is>
      </c>
      <c r="S242" s="40" t="n"/>
      <c r="V242" s="14">
        <f>(LEN(O242)+1)/2</f>
        <v/>
      </c>
      <c r="W242" s="14">
        <f>ROUNDDOWN((LEN(P242)+1)/2,0)</f>
        <v/>
      </c>
      <c r="X242" s="14">
        <f>ROUNDDOWN((LEN(Q242)+1)/2,0)</f>
        <v/>
      </c>
      <c r="Y242" s="14">
        <f>ROUNDDOWN((LEN(R242)+1)/2,0)</f>
        <v/>
      </c>
      <c r="Z242" s="14">
        <f>ROUNDDOWN((LEN(S242)+1)/2,0)</f>
        <v/>
      </c>
      <c r="AA242" s="56" t="n">
        <v>46150.55860381298</v>
      </c>
    </row>
    <row r="243" ht="25.5" customHeight="1">
      <c r="B243" s="46" t="inlineStr">
        <is>
          <t>U+A700-U+A71F</t>
        </is>
      </c>
      <c r="C243" s="46" t="inlineStr">
        <is>
          <t>Modifier Tone Letters</t>
        </is>
      </c>
      <c r="D243" s="54">
        <f>HEX2DEC(MID(B243,3,FIND("-",E243)-3))</f>
        <v/>
      </c>
      <c r="E243" s="46" t="inlineStr">
        <is>
          <t>U+A700-U+A71F</t>
        </is>
      </c>
      <c r="F243" s="12" t="n">
        <v>3</v>
      </c>
      <c r="J243" s="19">
        <f>ROUNDDOWN(W243,0)/$V243</f>
        <v/>
      </c>
      <c r="K243" s="19">
        <f>ROUNDDOWN(X243,0)/$V243</f>
        <v/>
      </c>
      <c r="L243" s="19">
        <f>ROUNDDOWN(Y243,0)/$V243</f>
        <v/>
      </c>
      <c r="M243" s="19">
        <f>ROUNDDOWN(Z243,0)/$V243</f>
        <v/>
      </c>
      <c r="O243" s="36" t="inlineStr">
        <is>
          <t>ꚠ ꚡ ꚢ ꚣ ꚤ ꚥ ꚦ ꚧ ꚨ ꚩ ꚪ ꚫ ꚬ ꚭ ꚮ ꚯ ꚰ ꚱ ꚲ ꚳ ꚴ ꚵ ꚶ ꚷ ꚸ ꚹ ꚺ ꚻ ꚼ ꚽ ꚾ ꚿ ꛀ ꛁ ꛂ ꛃ ꛄ ꛅ ꛆ ꛇ ꛈ ꛉ ꛊ ꛋ ꛌ ꛍ ꛎ ꛏ ꛐ ꛑ ꛒ ꛓ ꛔ ꛕ ꛖ ꛗ ꛘ ꛙ ꛚ ꛛ ꛜ ꛝ ꛞ ꛟ ꛠ ꛡ ꛢ ꛣ ꛤ ꛥ ꛦ ꛧ ꛨ ꛩ ꛪ ꛫ ꛬ ꛭ ꛮ ꛯ ꛰ ꛱ ꛲ ꛳ ꛴ ꛵ ꛶ ꛷</t>
        </is>
      </c>
      <c r="P243" s="37" t="inlineStr">
        <is>
          <t>ꚠ ꚡ ꚢ ꚣ ꚤ ꚥ ꚦ ꚧ ꚨ ꚩ ꚪ ꚫ ꚬ ꚭ ꚮ ꚯ ꚰ ꚱ ꚲ ꚳ ꚴ ꚵ ꚶ ꚷ ꚸ ꚹ ꚺ ꚻ ꚼ ꚽ ꚾ ꚿ ꛀ ꛁ ꛂ ꛃ ꛄ ꛅ ꛆ ꛇ ꛈ ꛉ ꛊ ꛋ ꛌ ꛍ ꛎ ꛏ ꛐ ꛑ ꛒ ꛓ ꛔ ꛕ ꛖ ꛗ ꛘ ꛙ ꛚ ꛛ ꛜ ꛝ ꛞ ꛟ ꛠ ꛡ ꛢ ꛣ ꛤ ꛥ ꛦ ꛧ ꛨ ꛩ ꛪ ꛫ ꛬ ꛭ ꛮ ꛯ ꛲ ꛳ ꛴ ꛵ ꛶ ꛷</t>
        </is>
      </c>
      <c r="Q243" s="38" t="inlineStr">
        <is>
          <t>ꚠ ꚡ ꚢ ꚣ ꚤ ꚥ ꚦ ꚨ ꚩ ꚪ ꚫ ꚬ ꚭ ꚮ ꚯ ꚰ ꚱ ꚲ ꚳ ꚴ ꚵ ꚶ ꚷ ꚸ ꚹ ꚺ ꚻ ꚼ ꚽ ꚾ ꚿ ꛀ ꛁ ꛂ ꛃ ꛄ ꛅ ꛆ ꛇ ꛈ ꛉ ꛊ ꛋ ꛌ ꛍ ꛎ ꛏ ꛐ ꛑ ꛒ ꛓ ꛔ ꛕ ꛖ ꛗ ꛘ ꛙ ꛚ ꛛ ꛜ ꛝ ꛞ ꛟ ꛠ ꛡ ꛢ ꛣ ꛤ ꛥ ꛦ ꛧ ꛨ ꛩ ꛪ ꛫ ꛬ ꛭ ꛮ ꛯ ꛲ ꛳ ꛴ ꛵ ꛶ ꛷</t>
        </is>
      </c>
      <c r="R243" s="43" t="inlineStr">
        <is>
          <t>ꚠ ꚡ ꚢ ꚣ ꚥ ꚦ ꚨ ꚪ ꚬ ꚭ ꚮ ꚯ ꚰ ꚱ ꚲ ꚳ ꚴ ꚵ ꚷ ꚸ ꚹ ꚺ ꚼ ꚽ ꚾ ꚿ ꛀ ꛁ ꛃ ꛄ ꛆ ꛇ ꛈ ꛉ ꛊ ꛋ ꛌ ꛍ ꛎ ꛏ ꛐ ꛑ ꛒ ꛓ ꛔ ꛕ ꛖ ꛗ ꛘ ꛙ ꛚ ꛛ ꛜ ꛞ ꛠ ꛢ ꛣ ꛤ ꛥ ꛦ ꛧ ꛨ ꛩ ꛪ ꛫ ꛬ ꛭ ꛮ ꛲ ꛳ ꛴ ꛵ ꛶ ꛷</t>
        </is>
      </c>
      <c r="S243" s="40" t="n"/>
      <c r="V243" s="14">
        <f>(LEN(O243)+1)/2</f>
        <v/>
      </c>
      <c r="W243" s="14">
        <f>ROUNDDOWN((LEN(P243)+1)/2,0)</f>
        <v/>
      </c>
      <c r="X243" s="14">
        <f>ROUNDDOWN((LEN(Q243)+1)/2,0)</f>
        <v/>
      </c>
      <c r="Y243" s="14">
        <f>ROUNDDOWN((LEN(R243)+1)/2,0)</f>
        <v/>
      </c>
      <c r="Z243" s="14">
        <f>ROUNDDOWN((LEN(S243)+1)/2,0)</f>
        <v/>
      </c>
      <c r="AA243" s="56" t="n">
        <v>46150.55860454483</v>
      </c>
    </row>
    <row r="244" ht="25.5" customHeight="1">
      <c r="B244" s="46" t="inlineStr">
        <is>
          <t>U+A720-U+A7FF</t>
        </is>
      </c>
      <c r="C244" s="46" t="inlineStr">
        <is>
          <t>Latin Extended-D</t>
        </is>
      </c>
      <c r="D244" s="54">
        <f>HEX2DEC(MID(B244,3,FIND("-",E244)-3))</f>
        <v/>
      </c>
      <c r="E244" s="46" t="inlineStr">
        <is>
          <t>U+A720-U+A7FF</t>
        </is>
      </c>
      <c r="F244" s="12" t="n">
        <v>3</v>
      </c>
      <c r="J244" s="19">
        <f>ROUNDDOWN(W244,0)/$V244</f>
        <v/>
      </c>
      <c r="K244" s="19">
        <f>ROUNDDOWN(X244,0)/$V244</f>
        <v/>
      </c>
      <c r="L244" s="19">
        <f>ROUNDDOWN(Y244,0)/$V244</f>
        <v/>
      </c>
      <c r="M244" s="19">
        <f>ROUNDDOWN(Z244,0)/$V244</f>
        <v/>
      </c>
      <c r="O244" s="36" t="inlineStr">
        <is>
          <t>꜀ ꜁ ꜂ ꜃ ꜄ ꜅ ꜆ ꜇ ꜈ ꜉ ꜊ ꜋ ꜌ ꜍ ꜎ ꜏ ꜐ ꜑ ꜒ ꜓ ꜔ ꜕ ꜖ ꜗ ꜘ ꜙ ꜚ ꜛ ꜜ ꜝ ꜞ ꜟ</t>
        </is>
      </c>
      <c r="P244" s="37" t="inlineStr">
        <is>
          <t>꜀ ꜁ ꜂ ꜃ ꜄ ꜅ ꜆ ꜇ ꜗ ꜘ ꜙ ꜚ ꜛ ꜜ ꜝ ꜞ ꜟ</t>
        </is>
      </c>
      <c r="Q244" s="38" t="inlineStr">
        <is>
          <t>꜀ ꜁ ꜂ ꜃ ꜄ ꜅ ꜆ ꜇ ꜘ ꜚ ꜛ ꜝ ꜞ ꜟ</t>
        </is>
      </c>
      <c r="R244" s="43" t="inlineStr">
        <is>
          <t>꜀ ꜁ ꜃ ꜅ ꜆ ꜇</t>
        </is>
      </c>
      <c r="S244" s="40" t="n"/>
      <c r="V244" s="14">
        <f>(LEN(O244)+1)/2</f>
        <v/>
      </c>
      <c r="W244" s="14">
        <f>ROUNDDOWN((LEN(P244)+1)/2,0)</f>
        <v/>
      </c>
      <c r="X244" s="14">
        <f>ROUNDDOWN((LEN(Q244)+1)/2,0)</f>
        <v/>
      </c>
      <c r="Y244" s="14">
        <f>ROUNDDOWN((LEN(R244)+1)/2,0)</f>
        <v/>
      </c>
      <c r="Z244" s="14">
        <f>ROUNDDOWN((LEN(S244)+1)/2,0)</f>
        <v/>
      </c>
      <c r="AA244" s="56" t="n">
        <v>46150.5586048905</v>
      </c>
    </row>
    <row r="245" ht="63.75" customHeight="1">
      <c r="B245" s="46" t="inlineStr">
        <is>
          <t>U+A800-U+A82C</t>
        </is>
      </c>
      <c r="C245" s="46" t="inlineStr">
        <is>
          <t>Syloti Nagri</t>
        </is>
      </c>
      <c r="D245" s="54">
        <f>HEX2DEC(MID(B245,3,FIND("-",E245)-3))</f>
        <v/>
      </c>
      <c r="E245" s="46" t="inlineStr">
        <is>
          <t>U+A800-U+A82F</t>
        </is>
      </c>
      <c r="F245" s="12" t="n">
        <v>3</v>
      </c>
      <c r="J245" s="19">
        <f>ROUNDDOWN(W245,0)/$V245</f>
        <v/>
      </c>
      <c r="K245" s="19">
        <f>ROUNDDOWN(X245,0)/$V245</f>
        <v/>
      </c>
      <c r="L245" s="19">
        <f>ROUNDDOWN(Y245,0)/$V245</f>
        <v/>
      </c>
      <c r="M245" s="19">
        <f>ROUNDDOWN(Z245,0)/$V245</f>
        <v/>
      </c>
      <c r="O245" s="36" t="inlineStr">
        <is>
          <t>꜠ ꜡ Ꜣ ꜣ Ꜥ ꜥ Ꜧ ꜧ Ꜩ ꜩ Ꜫ ꜫ Ꜭ ꜭ Ꜯ ꜯ ꜰ ꜱ Ꜳ ꜳ Ꜵ ꜵ Ꜷ ꜷ Ꜹ ꜹ Ꜻ ꜻ Ꜽ ꜽ Ꜿ ꜿ Ꝁ ꝁ Ꝃ ꝃ Ꝅ ꝅ Ꝇ ꝇ Ꝉ ꝉ Ꝋ ꝋ Ꝍ ꝍ Ꝏ ꝏ Ꝑ ꝑ Ꝓ ꝓ Ꝕ ꝕ Ꝗ ꝗ Ꝙ ꝙ Ꝛ ꝛ Ꝝ ꝝ Ꝟ ꝟ Ꝡ ꝡ Ꝣ ꝣ Ꝥ ꝥ Ꝧ ꝧ Ꝩ ꝩ Ꝫ ꝫ Ꝭ ꝭ Ꝯ ꝯ ꝰ ꝱ ꝲ ꝳ ꝴ ꝵ ꝶ ꝷ ꝸ Ꝺ ꝺ Ꝼ ꝼ Ᵹ Ꝿ ꝿ Ꞁ ꞁ Ꞃ ꞃ Ꞅ ꞅ Ꞇ ꞇ ꞈ ꞉ ꞊ Ꞌ ꞌ Ɥ ꞎ ꞏ Ꞑ ꞑ Ꞓ ꞓ ꞔ ꞕ Ꞗ ꞗ Ꞙ ꞙ Ꞛ ꞛ Ꞝ ꞝ Ꞟ ꞟ Ꞡ ꞡ Ꞣ ꞣ Ꞥ ꞥ Ꞧ ꞧ Ꞩ ꞩ Ɦ Ɜ Ɡ Ɬ Ɪ ꞯ Ʞ Ʇ Ʝ Ꭓ Ꞵ ꞵ Ꞷ ꞷ Ꞹ ꞹ Ꞻ ꞻ Ꞽ ꞽ Ꞿ ꞿ Ꟁ ꟁ Ꟃ ꟃ Ꞔ Ʂ Ᶎ Ꟈ ꟈ Ꟊ ꟊ Ꟑ ꟑ ꟓ ꟕ Ꟗ ꟗ Ꟙ ꟙ ꟲ ꟳ ꟴ Ꟶ ꟶ ꟷ ꟸ ꟹ ꟺ ꟻ ꟼ ꟽ ꟾ ꟿ</t>
        </is>
      </c>
      <c r="P245" s="37" t="inlineStr">
        <is>
          <t>꜠ ꜡ Ꜣ ꜣ Ꜥ ꜥ Ꜧ ꜧ Ꜩ ꜩ Ꜫ ꜫ Ꜭ ꜭ Ꜯ ꜯ ꜰ ꜱ Ꜳ ꜳ Ꜵ ꜵ Ꜷ ꜷ Ꜹ ꜹ Ꜻ ꜻ Ꜽ ꜽ Ꜿ ꜿ Ꝁ ꝁ Ꝃ ꝃ Ꝅ ꝅ Ꝇ ꝇ Ꝉ ꝉ Ꝋ ꝋ Ꝍ ꝍ Ꝏ ꝏ Ꝑ ꝑ Ꝓ ꝓ Ꝕ ꝕ Ꝗ ꝗ Ꝙ ꝙ Ꝛ ꝛ Ꝝ ꝝ Ꝟ ꝟ Ꝡ ꝡ Ꝣ ꝣ Ꝥ ꝥ Ꝧ ꝧ Ꝩ ꝩ Ꝫ ꝫ Ꝭ ꝭ Ꝯ ꝯ ꝰ ꝱ ꝲ ꝳ ꝴ ꝵ ꝶ ꝷ ꝸ Ꝺ ꝺ Ꝼ ꝼ Ᵹ Ꝿ ꝿ Ꞁ ꞁ Ꞃ ꞃ Ꞅ ꞅ Ꞇ ꞇ ꞉ ꞊ Ꞌ ꞌ Ɥ ꞎ ꞏ Ꞑ ꞑ Ꞓ ꞓ ꞔ ꞕ Ꞗ ꞗ Ꞙ ꞙ Ꞛ ꞛ Ꞝ ꞝ Ꞟ ꞟ Ꞡ ꞡ Ꞣ ꞣ Ꞥ ꞥ Ꞧ ꞧ Ꞩ ꞩ Ɦ Ɜ Ɡ Ɬ Ɪ ꞯ Ʞ Ʇ Ʝ Ꭓ Ꞵ ꞵ Ꞷ ꞷ Ꞹ ꞹ Ꞻ ꞻ Ꞽ ꞽ Ꞿ ꞿ Ꟁ ꟁ Ꟃ ꟃ Ꞔ Ʂ Ᶎ Ꟈ ꟈ Ꟊ ꟊ Ꟑ ꟑ ꟓ ꟕ Ꟗ ꟗ Ꟙ ꟙ ꟲ ꟳ ꟴ Ꟶ ꟶ ꟷ ꟸ ꟹ ꟺ ꟻ ꟼ ꟽ ꟾ ꟿ</t>
        </is>
      </c>
      <c r="Q245" s="38" t="inlineStr">
        <is>
          <t>꜠ ꜡ ꜣ ꜥ ꜧ ꜩ ꜫ ꜭ ꜰ ꜱ ꜳ ꜵ ꜷ ꜹ ꜽ ꝇ ꝏ ꝛ ꝝ ꝡ ꝣ ꝩ ꝫ ꝭ ꝯ ꝰ ꝱ ꝲ ꝳ ꝴ ꝵ ꝶ ꝷ ꝸ ꝺ ꝼ ꝿ ꞁ ꞃ ꞅ ꞇ ꞉ ꞊ ꞌ ꞏ ꞟ ꞯ ꞵ ꞷ ꞻ ꞽ ꞿ ꟃ ꟑ ꟓ ꟕ ꟗ ꟙ ꟶ ꟷ ꟺ ꟻ ꟼ ꟽ ꟾ ꟿ</t>
        </is>
      </c>
      <c r="R245" s="43" t="inlineStr">
        <is>
          <t>꜡ ꜣ ꜥ ꜧ ꜫ ꜭ ꜰ ꜳ ꜵ ꜷ ꜹ ꜽ ꝇ ꝛ ꝝ ꝡ ꝣ ꝩ ꝫ ꝭ ꝯ ꝰ ꝱ ꝲ ꝴ ꝵ ꝶ ꝷ ꝸ ꝺ ꝼ ꝿ ꞁ ꞃ ꞅ ꞇ ꞏ ꞯ ꞵ ꞷ ꞻ ꞽ ꞿ ꟃ ꟑ ꟕ ꟗ ꟙ ꟶ ꟷ ꟺ ꟻ ꟼ ꟽ ꟾ</t>
        </is>
      </c>
      <c r="S245" s="40" t="n"/>
      <c r="T245" s="41" t="inlineStr">
        <is>
          <t>꜠ ꜡ Ꜣ ꜣ Ꜥ ꜥ Ꜧ ꜧ Ꜩ ꜩ Ꜫ ꜫ Ꜭ ꜭ Ꜯ ꜯ ꜰ ꜱ Ꜳ ꜳ Ꜵ ꜵ Ꜷ ꜷ Ꜹ ꜹ Ꜻ ꜻ Ꜽ ꜽ Ꜿ ꜿ Ꝁ ꝁ Ꝃ ꝃ Ꝅ ꝅ Ꝇ ꝇ Ꝉ ꝉ Ꝋ ꝋ Ꝍ ꝍ Ꝏ ꝏ Ꝑ ꝑ Ꝓ ꝓ Ꝕ ꝕ Ꝗ ꝗ Ꝙ ꝙ Ꝛ ꝛ Ꝝ ꝝ Ꝟ ꝟ Ꝡ ꝡ Ꝣ ꝣ Ꝥ ꝥ Ꝧ ꝧ Ꝩ ꝩ Ꝫ ꝫ Ꝭ ꝭ Ꝯ ꝯ ꝰ ꝱ ꝲ ꝳ ꝴ ꝵ ꝶ ꝷ ꝸ Ꝺ ꝺ Ꝼ ꝼ Ᵹ Ꝿ ꝿ Ꞁ ꞁ Ꞃ ꞃ Ꞅ ꞅ Ꞇ ꞇ ꞈ ꞉ ꞊ Ꞌ ꞌ Ɥ ꞎ ꞏ Ꞑ ꞑ Ꞓ ꞓ ꞔ ꞕ Ꞗ ꞗ Ꞙ ꞙ Ꞛ ꞛ Ꞝ ꞝ Ꞟ ꞟ Ꞡ ꞡ Ꞣ ꞣ Ꞥ ꞥ Ꞧ ꞧ Ꞩ ꞩ Ɦ Ɜ Ɡ Ɬ Ɪ ꞯ Ʞ Ʇ Ʝ Ꭓ Ꞵ ꞵ Ꞷ ꞷ Ꞹ ꞹ Ꞻ ꞻ Ꞽ ꞽ Ꞿ ꞿ Ꟁ ꟁ Ꟃ ꟃ Ꞔ Ʂ Ᶎ Ꟈ ꟈ Ꟊ ꟊ Ꟑ ꟑ ꟓ ꟕ Ꟗ ꟗ Ꟙ ꟙ ꟲ ꟳ ꟴ Ꟶ ꟶ ꟷ ꟸ ꟹ ꟺ ꟻ ꟼ ꟽ ꟾ ꟿ</t>
        </is>
      </c>
      <c r="U245" s="42" t="inlineStr">
        <is>
          <t>Ꜳ Ꜵ Ꜷ Ꜹ Ꜽ Ꟃ Ꝇ Ꞵ Ꜭ Ꝯ Ꭓ Ꟑ Ꜣ Ꜥ Ꝫ Ꞻ Ꞽ Ꞿ Ꜧ Ꝭ Ꝺ Ꝼ Ᵹ Ꞃ Ꞅ Ꞇ Ꟗ Ꝏ Ꞷ Ꟁ Ꝛ Ꝝ Ɜ Ꟶ Ꞌ Ɡ Ɪ Ꟙ Ꜩ Ꜫ Ꝿ Ꞁ Ɥ Ʞ Ʇ Ꝡ Ꝣ Ꝩ Ꞛ Ꞝ Ꞟ ꜳ ꜵ ꜷ ꜹ ꜽ ꟃ ꝇ ꞵ ꜭ ꝯ ꟑ ꝱ ꟓ ꟕ ꜣ ꜥ ꝫ ꞻ ꞽ ꞿ ꜧ ꝭ ꝺ ꝼ ꞃ ꞅ ꞇ ꝲ ꝳ ꟗ ꝴ ꝏ ꞷ ꟁ ꝛ ꝝ ꝵ ꟶ ꞌ ꟙ ꜩ ꜫ ꝷ ꝿ ꞁ ꝸ ꝡ ꝣ ꝩ ꞛ ꞝ ꞟ ꜰ ꜱ ꝶ ꞏ ꞯ ꟺ Ꝃ Ꝙ Ꝟ ꝃ ꝙ ꝟ Ꝉ ꝉ Ꝋ ꝋ Ꞡ Ꞣ Ꞥ Ꞧ Ꞩ ꞡ ꞣ ꞥ ꞧ ꞩ Ꟈ Ꟊ ꟈ ꟊ Ꞙ Ꝁ Ꞹ Ꝥ ꞙ ꝁ ꞹ ꝥ Ꝅ ꝅ Ꝑ Ꝗ Ꝧ ꝑ ꝗ ꝧ Ɦ Ʂ Ꞔ Ᶎ ꞔ ꞕ ꞎ Ꞓ ꞓ Ꜻ ꜻ Ɬ Ꜯ ꜯ Ʝ Ꞑ ꞑ Ꜿ ꜿ Ꞗ Ꝓ ꞗ ꝓ Ꝍ ꝍ Ꝕ ꝕ ꜠ ꜡ ꝰ ꞈ ꞉ ꞊ ꟲ ꟳ ꟴ ꟷ ꟸ ꟹ ꟻ ꟼ ꟽ ꟾ ꟿ</t>
        </is>
      </c>
      <c r="V245" s="14">
        <f>(LEN(O245)+1)/2</f>
        <v/>
      </c>
      <c r="W245" s="14">
        <f>ROUNDDOWN((LEN(P245)+1)/2,0)</f>
        <v/>
      </c>
      <c r="X245" s="14">
        <f>ROUNDDOWN((LEN(Q245)+1)/2,0)</f>
        <v/>
      </c>
      <c r="Y245" s="14">
        <f>ROUNDDOWN((LEN(R245)+1)/2,0)</f>
        <v/>
      </c>
      <c r="Z245" s="14">
        <f>ROUNDDOWN((LEN(S245)+1)/2,0)</f>
        <v/>
      </c>
      <c r="AA245" s="56" t="n">
        <v>46150.55860578264</v>
      </c>
    </row>
    <row r="246" ht="25.5" customHeight="1">
      <c r="B246" s="46" t="inlineStr">
        <is>
          <t>U+A830-U+A839</t>
        </is>
      </c>
      <c r="C246" s="46" t="inlineStr">
        <is>
          <t>Common Indic Number Forms</t>
        </is>
      </c>
      <c r="D246" s="54">
        <f>HEX2DEC(MID(B246,3,FIND("-",E246)-3))</f>
        <v/>
      </c>
      <c r="E246" s="46" t="inlineStr">
        <is>
          <t>U+A830-U+A83F</t>
        </is>
      </c>
      <c r="F246" s="12" t="n">
        <v>3</v>
      </c>
      <c r="J246" s="19">
        <f>ROUNDDOWN(W246,0)/$V246</f>
        <v/>
      </c>
      <c r="K246" s="19">
        <f>ROUNDDOWN(X246,0)/$V246</f>
        <v/>
      </c>
      <c r="L246" s="19">
        <f>ROUNDDOWN(Y246,0)/$V246</f>
        <v/>
      </c>
      <c r="M246" s="19">
        <f>ROUNDDOWN(Z246,0)/$V246</f>
        <v/>
      </c>
      <c r="O246" s="36" t="inlineStr">
        <is>
          <t>ꠀ ꠁ ꠂ ꠃ ꠄ ꠅ ꠆ ꠇ ꠈ ꠉ ꠊ ꠋ ꠌ ꠍ ꠎ ꠏ ꠐ ꠑ ꠒ ꠓ ꠔ ꠕ ꠖ ꠗ ꠘ ꠙ ꠚ ꠛ ꠜ ꠝ ꠞ ꠟ ꠠ ꠡ ꠢ ꠣ ꠤ ꠥ ꠦ ꠧ ꠨ ꠩ ꠪ ꠫ ꠬</t>
        </is>
      </c>
      <c r="P246" s="37" t="inlineStr">
        <is>
          <t>ꠀ ꠁ ꠃ ꠄ ꠅ ꠇ ꠈ ꠉ ꠊ ꠌ ꠍ ꠎ ꠏ ꠐ ꠑ ꠒ ꠓ ꠔ ꠕ ꠖ ꠗ ꠘ ꠙ ꠚ ꠛ ꠜ ꠝ ꠞ ꠟ ꠠ ꠡ ꠢ ꠨ ꠩ ꠪ ꠫</t>
        </is>
      </c>
      <c r="Q246" s="38" t="inlineStr">
        <is>
          <t>ꠀ ꠁ ꠃ ꠄ ꠇ ꠈ ꠉ ꠊ ꠌ ꠍ ꠎ ꠏ ꠐ ꠑ ꠒ ꠓ ꠔ ꠕ ꠖ ꠗ ꠘ ꠙ ꠚ ꠛ ꠜ ꠝ ꠞ ꠟ ꠠ ꠡ ꠢ ꠨ ꠩ ꠪ ꠫</t>
        </is>
      </c>
      <c r="R246" s="43" t="inlineStr">
        <is>
          <t>꠨ ꠩</t>
        </is>
      </c>
      <c r="S246" s="40" t="n"/>
      <c r="V246" s="14">
        <f>(LEN(O246)+1)/2</f>
        <v/>
      </c>
      <c r="W246" s="14">
        <f>ROUNDDOWN((LEN(P246)+1)/2,0)</f>
        <v/>
      </c>
      <c r="X246" s="14">
        <f>ROUNDDOWN((LEN(Q246)+1)/2,0)</f>
        <v/>
      </c>
      <c r="Y246" s="14">
        <f>ROUNDDOWN((LEN(R246)+1)/2,0)</f>
        <v/>
      </c>
      <c r="Z246" s="14">
        <f>ROUNDDOWN((LEN(S246)+1)/2,0)</f>
        <v/>
      </c>
      <c r="AA246" s="56" t="n">
        <v>46150.55860620787</v>
      </c>
    </row>
    <row r="247" ht="25.5" customHeight="1">
      <c r="B247" s="46" t="inlineStr">
        <is>
          <t>U+A840-U+A877</t>
        </is>
      </c>
      <c r="C247" s="46" t="inlineStr">
        <is>
          <t>Phags-pa</t>
        </is>
      </c>
      <c r="D247" s="54">
        <f>HEX2DEC(MID(B247,3,FIND("-",E247)-3))</f>
        <v/>
      </c>
      <c r="E247" s="46" t="inlineStr">
        <is>
          <t>U+A840-U+A87F</t>
        </is>
      </c>
      <c r="F247" s="12" t="n">
        <v>3</v>
      </c>
      <c r="J247" s="19">
        <f>ROUNDDOWN(W247,0)/$V247</f>
        <v/>
      </c>
      <c r="K247" s="19">
        <f>ROUNDDOWN(X247,0)/$V247</f>
        <v/>
      </c>
      <c r="L247" s="19">
        <f>ROUNDDOWN(Y247,0)/$V247</f>
        <v/>
      </c>
      <c r="M247" s="19">
        <f>ROUNDDOWN(Z247,0)/$V247</f>
        <v/>
      </c>
      <c r="O247" s="36" t="inlineStr">
        <is>
          <t>꠰ ꠱ ꠲ ꠳ ꠴ ꠵ ꠶ ꠷ ꠸ ꠹</t>
        </is>
      </c>
      <c r="P247" s="37" t="inlineStr">
        <is>
          <t>꠰ ꠱ ꠲ ꠳ ꠴ ꠵ ꠶ ꠷ ꠸ ꠹</t>
        </is>
      </c>
      <c r="Q247" s="38" t="inlineStr">
        <is>
          <t>꠶ ꠷ ꠸ ꠹</t>
        </is>
      </c>
      <c r="R247" s="43" t="inlineStr">
        <is>
          <t>꠶ ꠷ ꠸ ꠹</t>
        </is>
      </c>
      <c r="S247" s="40" t="n"/>
      <c r="V247" s="14">
        <f>(LEN(O247)+1)/2</f>
        <v/>
      </c>
      <c r="W247" s="14">
        <f>ROUNDDOWN((LEN(P247)+1)/2,0)</f>
        <v/>
      </c>
      <c r="X247" s="14">
        <f>ROUNDDOWN((LEN(Q247)+1)/2,0)</f>
        <v/>
      </c>
      <c r="Y247" s="14">
        <f>ROUNDDOWN((LEN(R247)+1)/2,0)</f>
        <v/>
      </c>
      <c r="Z247" s="14">
        <f>ROUNDDOWN((LEN(S247)+1)/2,0)</f>
        <v/>
      </c>
      <c r="AA247" s="56" t="n">
        <v>46150.55860639593</v>
      </c>
    </row>
    <row r="248" ht="25.5" customHeight="1">
      <c r="B248" s="46" t="inlineStr">
        <is>
          <t>U+A880-U+A8D9</t>
        </is>
      </c>
      <c r="C248" s="46" t="inlineStr">
        <is>
          <t>Saurashtra</t>
        </is>
      </c>
      <c r="D248" s="54">
        <f>HEX2DEC(MID(B248,3,FIND("-",E248)-3))</f>
        <v/>
      </c>
      <c r="E248" s="46" t="inlineStr">
        <is>
          <t>U+A880-U+A8DF</t>
        </is>
      </c>
      <c r="F248" s="12" t="n">
        <v>3</v>
      </c>
      <c r="J248" s="19">
        <f>ROUNDDOWN(W248,0)/$V248</f>
        <v/>
      </c>
      <c r="K248" s="19">
        <f>ROUNDDOWN(X248,0)/$V248</f>
        <v/>
      </c>
      <c r="L248" s="19">
        <f>ROUNDDOWN(Y248,0)/$V248</f>
        <v/>
      </c>
      <c r="M248" s="19">
        <f>ROUNDDOWN(Z248,0)/$V248</f>
        <v/>
      </c>
      <c r="O248" s="36" t="inlineStr">
        <is>
          <t>ꡀ ꡁ ꡂ ꡃ ꡄ ꡅ ꡆ ꡇ ꡈ ꡉ ꡊ ꡋ ꡌ ꡍ ꡎ ꡏ ꡐ ꡑ ꡒ ꡓ ꡔ ꡕ ꡖ ꡗ ꡘ ꡙ ꡚ ꡛ ꡜ ꡝ ꡞ ꡟ ꡠ ꡡ ꡢ ꡣ ꡤ ꡥ ꡦ ꡧ ꡨ ꡩ ꡪ ꡫ ꡬ ꡭ ꡮ ꡯ ꡰ ꡱ ꡲ ꡳ ꡴ ꡵ ꡶ ꡷</t>
        </is>
      </c>
      <c r="P248" s="37" t="inlineStr">
        <is>
          <t>ꡀ ꡁ ꡂ ꡃ ꡄ ꡅ ꡆ ꡇ ꡈ ꡉ ꡊ ꡋ ꡌ ꡍ ꡎ ꡏ ꡐ ꡑ ꡒ ꡓ ꡔ ꡕ ꡖ ꡗ ꡘ ꡙ ꡚ ꡛ ꡜ ꡝ ꡞ ꡟ ꡠ ꡡ ꡢ ꡣ ꡤ ꡥ ꡦ ꡩ ꡪ ꡫ ꡬ ꡭ ꡮ ꡯ ꡰ ꡲ ꡳ ꡴ ꡵ ꡶ ꡷</t>
        </is>
      </c>
      <c r="Q248" s="38" t="inlineStr">
        <is>
          <t>ꡀ ꡁ ꡂ ꡃ ꡄ ꡅ ꡆ ꡇ ꡈ ꡉ ꡊ ꡋ ꡌ ꡍ ꡎ ꡏ ꡐ ꡑ ꡒ ꡓ ꡔ ꡕ ꡖ ꡗ ꡘ ꡙ ꡚ ꡛ ꡜ ꡝ ꡞ ꡟ ꡠ ꡢ ꡣ ꡤ ꡥ ꡦ ꡩ ꡪ ꡫ ꡬ ꡭ ꡮ ꡯ ꡰ ꡲ ꡳ ꡴ ꡵ ꡶ ꡷</t>
        </is>
      </c>
      <c r="R248" s="43" t="inlineStr">
        <is>
          <t>ꡗ ꡘ ꡲ ꡶</t>
        </is>
      </c>
      <c r="S248" s="40" t="n"/>
      <c r="V248" s="14">
        <f>(LEN(O248)+1)/2</f>
        <v/>
      </c>
      <c r="W248" s="14">
        <f>ROUNDDOWN((LEN(P248)+1)/2,0)</f>
        <v/>
      </c>
      <c r="X248" s="14">
        <f>ROUNDDOWN((LEN(Q248)+1)/2,0)</f>
        <v/>
      </c>
      <c r="Y248" s="14">
        <f>ROUNDDOWN((LEN(R248)+1)/2,0)</f>
        <v/>
      </c>
      <c r="Z248" s="14">
        <f>ROUNDDOWN((LEN(S248)+1)/2,0)</f>
        <v/>
      </c>
      <c r="AA248" s="56" t="n">
        <v>46150.55860691368</v>
      </c>
    </row>
    <row r="249" ht="25.5" customHeight="1">
      <c r="B249" s="46" t="inlineStr">
        <is>
          <t>U+A8E0-U+A8FF</t>
        </is>
      </c>
      <c r="C249" s="46" t="inlineStr">
        <is>
          <t>Devanagari Extended</t>
        </is>
      </c>
      <c r="D249" s="54">
        <f>HEX2DEC(MID(B249,3,FIND("-",E249)-3))</f>
        <v/>
      </c>
      <c r="E249" s="46" t="inlineStr">
        <is>
          <t>U+A8E0-U+A8FF</t>
        </is>
      </c>
      <c r="F249" s="12" t="n">
        <v>3</v>
      </c>
      <c r="J249" s="19">
        <f>ROUNDDOWN(W249,0)/$V249</f>
        <v/>
      </c>
      <c r="K249" s="19">
        <f>ROUNDDOWN(X249,0)/$V249</f>
        <v/>
      </c>
      <c r="L249" s="19">
        <f>ROUNDDOWN(Y249,0)/$V249</f>
        <v/>
      </c>
      <c r="M249" s="19">
        <f>ROUNDDOWN(Z249,0)/$V249</f>
        <v/>
      </c>
      <c r="O249" s="36" t="inlineStr">
        <is>
          <t>ꢀ ꢁ ꢂ ꢃ ꢄ ꢅ ꢆ ꢇ ꢈ ꢉ ꢊ ꢋ ꢌ ꢍ ꢎ ꢏ ꢐ ꢑ ꢒ ꢓ ꢔ ꢕ ꢖ ꢗ ꢘ ꢙ ꢚ ꢛ ꢜ ꢝ ꢞ ꢟ ꢠ ꢡ ꢢ ꢣ ꢤ ꢥ ꢦ ꢧ ꢨ ꢩ ꢪ ꢫ ꢬ ꢭ ꢮ ꢯ ꢰ ꢱ ꢲ ꢳ ꢴ ꢵ ꢶ ꢷ ꢸ ꢹ ꢺ ꢻ ꢼ ꢽ ꢾ ꢿ ꣀ ꣁ ꣂ ꣃ ꣄ ꣅ ꣎ ꣏ ꣐ ꣑ ꣒ ꣓ ꣔ ꣕ ꣖ ꣗ ꣘ ꣙</t>
        </is>
      </c>
      <c r="P249" s="37" t="inlineStr">
        <is>
          <t>ꢂ ꢃ ꢄ ꢅ ꢆ ꢇ ꢈ ꢉ ꢊ ꢋ ꢌ ꢍ ꢎ ꢏ ꢐ ꢑ ꢒ ꢓ ꢔ ꢕ ꢖ ꢗ ꢘ ꢙ ꢚ ꢛ ꢜ ꢝ ꢞ ꢟ ꢠ ꢡ ꢢ ꢣ ꢤ ꢥ ꢦ ꢧ ꢨ ꢩ ꢪ ꢫ ꢬ ꢭ ꢮ ꢯ ꢰ ꢱ ꢲ ꢳ ꣎ ꣏ ꣐ ꣑ ꣒ ꣓ ꣔ ꣕ ꣖ ꣗ ꣘ ꣙</t>
        </is>
      </c>
      <c r="Q249" s="38" t="inlineStr">
        <is>
          <t>ꢂ ꢃ ꢄ ꢅ ꢆ ꢇ ꢈ ꢉ ꢊ ꢋ ꢌ ꢍ ꢎ ꢐ ꢑ ꢒ ꢓ ꢔ ꢕ ꢖ ꢗ ꢘ ꢙ ꢚ ꢛ ꢜ ꢝ ꢞ ꢟ ꢠ ꢡ ꢢ ꢣ ꢤ ꢥ ꢦ ꢧ ꢨ ꢩ ꢪ ꢫ ꢬ ꢭ ꢮ ꢯ ꢰ ꢱ ꢲ ꢳ ꣎ ꣏</t>
        </is>
      </c>
      <c r="R249" s="43" t="inlineStr">
        <is>
          <t>꣎</t>
        </is>
      </c>
      <c r="S249" s="40" t="n"/>
      <c r="V249" s="14">
        <f>(LEN(O249)+1)/2</f>
        <v/>
      </c>
      <c r="W249" s="14">
        <f>ROUNDDOWN((LEN(P249)+1)/2,0)</f>
        <v/>
      </c>
      <c r="X249" s="14">
        <f>ROUNDDOWN((LEN(Q249)+1)/2,0)</f>
        <v/>
      </c>
      <c r="Y249" s="14">
        <f>ROUNDDOWN((LEN(R249)+1)/2,0)</f>
        <v/>
      </c>
      <c r="Z249" s="14">
        <f>ROUNDDOWN((LEN(S249)+1)/2,0)</f>
        <v/>
      </c>
      <c r="AA249" s="56" t="n">
        <v>46150.55860743149</v>
      </c>
    </row>
    <row r="250" ht="25.5" customHeight="1">
      <c r="B250" s="46" t="inlineStr">
        <is>
          <t>U+A900-U+A92F</t>
        </is>
      </c>
      <c r="C250" s="46" t="inlineStr">
        <is>
          <t>Kayah Li</t>
        </is>
      </c>
      <c r="D250" s="54">
        <f>HEX2DEC(MID(B250,3,FIND("-",E250)-3))</f>
        <v/>
      </c>
      <c r="E250" s="46" t="inlineStr">
        <is>
          <t>U+A900-U+A92F</t>
        </is>
      </c>
      <c r="F250" s="12" t="n">
        <v>3</v>
      </c>
      <c r="J250" s="19">
        <f>ROUNDDOWN(W250,0)/$V250</f>
        <v/>
      </c>
      <c r="K250" s="19">
        <f>ROUNDDOWN(X250,0)/$V250</f>
        <v/>
      </c>
      <c r="L250" s="19">
        <f>ROUNDDOWN(Y250,0)/$V250</f>
        <v/>
      </c>
      <c r="M250" s="19">
        <f>ROUNDDOWN(Z250,0)/$V250</f>
        <v/>
      </c>
      <c r="O250" s="36" t="inlineStr">
        <is>
          <t>꣠ ꣡ ꣢ ꣣ ꣤ ꣥ ꣦ ꣧ ꣨ ꣩ ꣪ ꣫ ꣬ ꣭ ꣮ ꣯ ꣰ ꣱ ꣲ ꣳ ꣴ ꣵ ꣶ ꣷ ꣸ ꣹ ꣺ ꣻ ꣼ ꣽ ꣾ ꣿ</t>
        </is>
      </c>
      <c r="P250" s="37" t="inlineStr">
        <is>
          <t>ꣲ ꣵ ꣶ ꣸ ꣹ ꣺ ꣻ ꣼ ꣽ ꣾ</t>
        </is>
      </c>
      <c r="Q250" s="38" t="inlineStr">
        <is>
          <t>ꣲ ꣵ ꣶ ꣸ ꣹ ꣺ ꣻ ꣼ ꣽ ꣾ</t>
        </is>
      </c>
      <c r="R250" s="43" t="inlineStr">
        <is>
          <t>ꣲ ꣵ ꣶ ꣸ ꣹</t>
        </is>
      </c>
      <c r="S250" s="40" t="n"/>
      <c r="V250" s="14">
        <f>(LEN(O250)+1)/2</f>
        <v/>
      </c>
      <c r="W250" s="14">
        <f>ROUNDDOWN((LEN(P250)+1)/2,0)</f>
        <v/>
      </c>
      <c r="X250" s="14">
        <f>ROUNDDOWN((LEN(Q250)+1)/2,0)</f>
        <v/>
      </c>
      <c r="Y250" s="14">
        <f>ROUNDDOWN((LEN(R250)+1)/2,0)</f>
        <v/>
      </c>
      <c r="Z250" s="14">
        <f>ROUNDDOWN((LEN(S250)+1)/2,0)</f>
        <v/>
      </c>
      <c r="AA250" s="56" t="n">
        <v>46150.55860769549</v>
      </c>
    </row>
    <row r="251" ht="25.5" customHeight="1">
      <c r="B251" s="46" t="inlineStr">
        <is>
          <t>U+A930-U+A95F</t>
        </is>
      </c>
      <c r="C251" s="46" t="inlineStr">
        <is>
          <t>Rejang</t>
        </is>
      </c>
      <c r="D251" s="54">
        <f>HEX2DEC(MID(B251,3,FIND("-",E251)-3))</f>
        <v/>
      </c>
      <c r="E251" s="46" t="inlineStr">
        <is>
          <t>U+A930-U+A95F</t>
        </is>
      </c>
      <c r="F251" s="12" t="n">
        <v>3</v>
      </c>
      <c r="J251" s="19">
        <f>ROUNDDOWN(W251,0)/$V251</f>
        <v/>
      </c>
      <c r="K251" s="19">
        <f>ROUNDDOWN(X251,0)/$V251</f>
        <v/>
      </c>
      <c r="L251" s="19">
        <f>ROUNDDOWN(Y251,0)/$V251</f>
        <v/>
      </c>
      <c r="M251" s="19">
        <f>ROUNDDOWN(Z251,0)/$V251</f>
        <v/>
      </c>
      <c r="O251" s="36" t="inlineStr">
        <is>
          <t>꤀ ꤁ ꤂ ꤃ ꤄ ꤅ ꤆ ꤇ ꤈ ꤉ ꤊ ꤋ ꤌ ꤍ ꤎ ꤏ ꤐ ꤑ ꤒ ꤓ ꤔ ꤕ ꤖ ꤗ ꤘ ꤙ ꤚ ꤛ ꤜ ꤝ ꤞ ꤟ ꤠ ꤡ ꤢ ꤣ ꤤ ꤥ ꤦ ꤧ ꤨ ꤩ ꤪ ꤫ ꤬ ꤭ ꤮ ꤯</t>
        </is>
      </c>
      <c r="P251" s="37" t="inlineStr">
        <is>
          <t>꤀ ꤁ ꤂ ꤃ ꤄ ꤅ ꤆ ꤇ ꤈ ꤉ ꤊ ꤋ ꤌ ꤍ ꤎ ꤏ ꤐ ꤑ ꤒ ꤓ ꤔ ꤕ ꤖ ꤗ ꤘ ꤙ ꤚ ꤛ ꤜ ꤝ ꤞ ꤟ ꤠ ꤡ ꤢ ꤣ ꤤ ꤥ ꤮ ꤯</t>
        </is>
      </c>
      <c r="Q251" s="38" t="inlineStr">
        <is>
          <t>ꤊ ꤋ ꤌ ꤍ ꤎ ꤏ ꤐ ꤑ ꤒ ꤓ ꤔ ꤕ ꤖ ꤗ ꤘ ꤙ ꤚ ꤛ ꤜ ꤝ ꤞ ꤟ ꤠ ꤡ ꤢ ꤤ ꤥ ꤮ ꤯</t>
        </is>
      </c>
      <c r="R251" s="43" t="inlineStr">
        <is>
          <t>ꤊ ꤋ ꤌ ꤍ ꤎ ꤏ ꤐ ꤑ ꤒ ꤓ ꤔ ꤕ ꤖ ꤗ ꤘ ꤙ ꤚ ꤛ ꤜ ꤝ ꤞ ꤟ ꤡ ꤢ ꤤ ꤥ ꤮</t>
        </is>
      </c>
      <c r="S251" s="40" t="n"/>
      <c r="V251" s="14">
        <f>(LEN(O251)+1)/2</f>
        <v/>
      </c>
      <c r="W251" s="14">
        <f>ROUNDDOWN((LEN(P251)+1)/2,0)</f>
        <v/>
      </c>
      <c r="X251" s="14">
        <f>ROUNDDOWN((LEN(Q251)+1)/2,0)</f>
        <v/>
      </c>
      <c r="Y251" s="14">
        <f>ROUNDDOWN((LEN(R251)+1)/2,0)</f>
        <v/>
      </c>
      <c r="Z251" s="14">
        <f>ROUNDDOWN((LEN(S251)+1)/2,0)</f>
        <v/>
      </c>
      <c r="AA251" s="56" t="n">
        <v>46150.55860814502</v>
      </c>
    </row>
    <row r="252" ht="25.5" customHeight="1">
      <c r="B252" s="46" t="inlineStr">
        <is>
          <t>U+A960-U+A97C</t>
        </is>
      </c>
      <c r="C252" s="46" t="inlineStr">
        <is>
          <t>Hangul Jamo Extended-A</t>
        </is>
      </c>
      <c r="D252" s="54">
        <f>HEX2DEC(MID(B252,3,FIND("-",E252)-3))</f>
        <v/>
      </c>
      <c r="E252" s="46" t="inlineStr">
        <is>
          <t>U+A960-U+A97F</t>
        </is>
      </c>
      <c r="F252" s="12" t="n">
        <v>3</v>
      </c>
      <c r="J252" s="19">
        <f>ROUNDDOWN(W252,0)/$V252</f>
        <v/>
      </c>
      <c r="K252" s="19">
        <f>ROUNDDOWN(X252,0)/$V252</f>
        <v/>
      </c>
      <c r="L252" s="19">
        <f>ROUNDDOWN(Y252,0)/$V252</f>
        <v/>
      </c>
      <c r="M252" s="19">
        <f>ROUNDDOWN(Z252,0)/$V252</f>
        <v/>
      </c>
      <c r="O252" s="36" t="inlineStr">
        <is>
          <t>ꤰ ꤱ ꤲ ꤳ ꤴ ꤵ ꤶ ꤷ ꤸ ꤹ ꤺ ꤻ ꤼ ꤽ ꤾ ꤿ ꥀ ꥁ ꥂ ꥃ ꥄ ꥅ ꥆ ꥇ ꥈ ꥉ ꥊ ꥋ ꥌ ꥍ ꥎ ꥏ ꥐ ꥑ ꥒ ꥓ ꥟</t>
        </is>
      </c>
      <c r="P252" s="37" t="inlineStr">
        <is>
          <t>ꤰ ꤱ ꤲ ꤳ ꤴ ꤵ ꤶ ꤷ ꤸ ꤹ ꤺ ꤻ ꤼ ꤽ ꤾ ꤿ ꥀ ꥁ ꥂ ꥃ ꥄ ꥅ ꥆ ꥟</t>
        </is>
      </c>
      <c r="Q252" s="38" t="inlineStr">
        <is>
          <t>ꤰ ꤱ ꤲ ꤳ ꤴ ꤵ ꤶ ꤷ ꤸ ꤹ ꤺ ꤻ ꤼ ꤽ ꤾ ꤿ ꥀ ꥁ ꥂ ꥃ ꥄ ꥅ ꥆ ꥟</t>
        </is>
      </c>
      <c r="R252" s="43" t="inlineStr">
        <is>
          <t>ꤰ ꤱ ꤳ ꤴ ꤵ ꤶ ꤷ ꤸ ꤹ ꤼ ꤽ ꤾ ꥀ ꥁ ꥂ ꥃ ꥄ ꥆ ꥟</t>
        </is>
      </c>
      <c r="S252" s="40" t="n"/>
      <c r="V252" s="14">
        <f>(LEN(O252)+1)/2</f>
        <v/>
      </c>
      <c r="W252" s="14">
        <f>ROUNDDOWN((LEN(P252)+1)/2,0)</f>
        <v/>
      </c>
      <c r="X252" s="14">
        <f>ROUNDDOWN((LEN(Q252)+1)/2,0)</f>
        <v/>
      </c>
      <c r="Y252" s="14">
        <f>ROUNDDOWN((LEN(R252)+1)/2,0)</f>
        <v/>
      </c>
      <c r="Z252" s="14">
        <f>ROUNDDOWN((LEN(S252)+1)/2,0)</f>
        <v/>
      </c>
      <c r="AA252" s="56" t="n">
        <v>46150.55860848128</v>
      </c>
    </row>
    <row r="253" ht="25.5" customHeight="1">
      <c r="B253" s="46" t="inlineStr">
        <is>
          <t>U+A980-U+A9DF</t>
        </is>
      </c>
      <c r="C253" s="46" t="inlineStr">
        <is>
          <t>Javanese</t>
        </is>
      </c>
      <c r="D253" s="54">
        <f>HEX2DEC(MID(B253,3,FIND("-",E253)-3))</f>
        <v/>
      </c>
      <c r="E253" s="46" t="inlineStr">
        <is>
          <t>U+A980-U+A9DF</t>
        </is>
      </c>
      <c r="F253" s="12" t="n">
        <v>3</v>
      </c>
      <c r="J253" s="19">
        <f>ROUNDDOWN(W253,0)/$V253</f>
        <v/>
      </c>
      <c r="K253" s="19">
        <f>ROUNDDOWN(X253,0)/$V253</f>
        <v/>
      </c>
      <c r="L253" s="19">
        <f>ROUNDDOWN(Y253,0)/$V253</f>
        <v/>
      </c>
      <c r="M253" s="19">
        <f>ROUNDDOWN(Z253,0)/$V253</f>
        <v/>
      </c>
      <c r="O253" s="36" t="inlineStr">
        <is>
          <t>ꥠ ꥡ ꥢ ꥣ ꥤ ꥥ ꥦ ꥧ ꥨ ꥩ ꥪ ꥫ ꥬ ꥭ ꥮ ꥯ ꥰ ꥱ ꥲ ꥳ ꥴ ꥵ ꥶ ꥷ ꥸ ꥹ ꥺ ꥻ ꥼ</t>
        </is>
      </c>
      <c r="P253" s="37" t="inlineStr">
        <is>
          <t>ꥠ ꥡ ꥢ ꥣ ꥤ ꥥ ꥦ ꥧ ꥨ ꥩ ꥪ ꥫ ꥬ ꥭ ꥮ ꥯ ꥰ ꥱ ꥲ ꥳ ꥴ ꥵ ꥶ ꥷ ꥸ ꥹ ꥺ ꥻ ꥼ</t>
        </is>
      </c>
      <c r="Q253" s="38" t="inlineStr">
        <is>
          <t>ꥠ ꥡ ꥢ ꥣ ꥤ ꥥ ꥦ ꥧ ꥨ ꥩ ꥪ ꥫ ꥬ ꥭ ꥮ ꥯ ꥰ ꥱ ꥲ ꥳ ꥴ ꥵ ꥶ ꥷ ꥸ ꥹ ꥺ ꥻ ꥼ</t>
        </is>
      </c>
      <c r="R253" s="43" t="inlineStr">
        <is>
          <t>ꥢ ꥣ ꥬ ꥭ ꥱ ꥲ ꥴ ꥵ ꥷ ꥸ ꥺ ꥻ ꥼ</t>
        </is>
      </c>
      <c r="S253" s="40" t="n"/>
      <c r="V253" s="14">
        <f>(LEN(O253)+1)/2</f>
        <v/>
      </c>
      <c r="W253" s="14">
        <f>ROUNDDOWN((LEN(P253)+1)/2,0)</f>
        <v/>
      </c>
      <c r="X253" s="14">
        <f>ROUNDDOWN((LEN(Q253)+1)/2,0)</f>
        <v/>
      </c>
      <c r="Y253" s="14">
        <f>ROUNDDOWN((LEN(R253)+1)/2,0)</f>
        <v/>
      </c>
      <c r="Z253" s="14">
        <f>ROUNDDOWN((LEN(S253)+1)/2,0)</f>
        <v/>
      </c>
      <c r="AA253" s="56" t="n">
        <v>46150.55860894832</v>
      </c>
    </row>
    <row r="254" ht="25.5" customHeight="1">
      <c r="B254" s="46" t="inlineStr">
        <is>
          <t>U+A9E0-U+A9FE</t>
        </is>
      </c>
      <c r="C254" s="46" t="inlineStr">
        <is>
          <t>Myanmar Extended-B</t>
        </is>
      </c>
      <c r="D254" s="54">
        <f>HEX2DEC(MID(B254,3,FIND("-",E254)-3))</f>
        <v/>
      </c>
      <c r="E254" s="46" t="inlineStr">
        <is>
          <t>U+A9E0-U+A9FF</t>
        </is>
      </c>
      <c r="F254" s="12" t="n">
        <v>3</v>
      </c>
      <c r="J254" s="19">
        <f>ROUNDDOWN(W254,0)/$V254</f>
        <v/>
      </c>
      <c r="K254" s="19">
        <f>ROUNDDOWN(X254,0)/$V254</f>
        <v/>
      </c>
      <c r="L254" s="19">
        <f>ROUNDDOWN(Y254,0)/$V254</f>
        <v/>
      </c>
      <c r="M254" s="19">
        <f>ROUNDDOWN(Z254,0)/$V254</f>
        <v/>
      </c>
      <c r="O254" s="36" t="inlineStr">
        <is>
          <t>ꦀ ꦁ ꦂ ꦃ ꦄ ꦅ ꦆ ꦇ ꦈ ꦉ ꦊ ꦋ ꦌ ꦍ ꦎ ꦏ ꦐ ꦑ ꦒ ꦓ ꦔ ꦕ ꦖ ꦗ ꦘ ꦙ ꦚ ꦛ ꦜ ꦝ ꦞ ꦟ ꦠ ꦡ ꦢ ꦣ ꦤ ꦥ ꦦ ꦧ ꦨ ꦩ ꦪ ꦫ ꦬ ꦭ ꦮ ꦯ ꦰ ꦱ ꦲ ꦳ ꦴ ꦵ ꦶ ꦷ ꦸ ꦹ ꦺ ꦻ ꦼ ꦽ ꦾ ꦿ ꧀ ꧁ ꧂ ꧃ ꧄ ꧅ ꧆ ꧇ ꧈ ꧉ ꧊ ꧋ ꧌ ꧍ ꧏ ꧐ ꧑ ꧒ ꧓ ꧔ ꧕ ꧖ ꧗ ꧘ ꧙ ꧞ ꧟</t>
        </is>
      </c>
      <c r="P254" s="37" t="inlineStr">
        <is>
          <t>ꦄ ꦅ ꦆ ꦇ ꦈ ꦉ ꦊ ꦋ ꦌ ꦍ ꦎ ꦏ ꦐ ꦑ ꦒ ꦓ ꦔ ꦕ ꦖ ꦗ ꦘ ꦙ ꦚ ꦛ ꦜ ꦝ ꦞ ꦟ ꦠ ꦡ ꦢ ꦣ ꦤ ꦥ ꦦ ꦧ ꦨ ꦩ ꦪ ꦫ ꦬ ꦭ ꦮ ꦯ ꦰ ꦱ ꦲ ꧁ ꧂ ꧃ ꧄ ꧅ ꧆ ꧇ ꧈ ꧉ ꧊ ꧋ ꧌ ꧍ ꧐ ꧑ ꧒ ꧓ ꧔ ꧕ ꧖ ꧗ ꧘ ꧙ ꧞ ꧟</t>
        </is>
      </c>
      <c r="Q254" s="38" t="inlineStr">
        <is>
          <t>ꦄ ꦅ ꦆ ꦇ ꦈ ꦉ ꦊ ꦋ ꦌ ꦍ ꦏ ꦐ ꦑ ꦒ ꦓ ꦔ ꦕ ꦖ ꦗ ꦘ ꦙ ꦚ ꦛ ꦜ ꦝ ꦞ ꦟ ꦠ ꦡ ꦢ ꦣ ꦤ ꦥ ꦦ ꦧ ꦨ ꦩ ꦪ ꦫ ꦬ ꦭ ꦮ ꦯ ꦰ ꦱ ꦲ ꧁ ꧃ ꧄ ꧅ ꧆ ꧇ ꧈ ꧉ ꧊ ꧋ ꧌ ꧍ ꧞ ꧟</t>
        </is>
      </c>
      <c r="R254" s="43" t="inlineStr">
        <is>
          <t>ꦌ ꦍ ꦫ ꧆ ꧈ ꧉ ꧊ ꧋ ꧌ ꧍ ꧞ ꧟</t>
        </is>
      </c>
      <c r="S254" s="40" t="n"/>
      <c r="V254" s="14">
        <f>(LEN(O254)+1)/2</f>
        <v/>
      </c>
      <c r="W254" s="14">
        <f>ROUNDDOWN((LEN(P254)+1)/2,0)</f>
        <v/>
      </c>
      <c r="X254" s="14">
        <f>ROUNDDOWN((LEN(Q254)+1)/2,0)</f>
        <v/>
      </c>
      <c r="Y254" s="14">
        <f>ROUNDDOWN((LEN(R254)+1)/2,0)</f>
        <v/>
      </c>
      <c r="Z254" s="14">
        <f>ROUNDDOWN((LEN(S254)+1)/2,0)</f>
        <v/>
      </c>
      <c r="AA254" s="56" t="n">
        <v>46150.55860955471</v>
      </c>
    </row>
    <row r="255" ht="25.5" customHeight="1">
      <c r="B255" s="46" t="inlineStr">
        <is>
          <t>U+AA00-U+AA5F</t>
        </is>
      </c>
      <c r="C255" s="46" t="inlineStr">
        <is>
          <t>Cham</t>
        </is>
      </c>
      <c r="D255" s="54">
        <f>HEX2DEC(MID(B255,3,FIND("-",E255)-3))</f>
        <v/>
      </c>
      <c r="E255" s="46" t="inlineStr">
        <is>
          <t>U+AA00-U+AA5F</t>
        </is>
      </c>
      <c r="F255" s="12" t="n">
        <v>3</v>
      </c>
      <c r="J255" s="19">
        <f>ROUNDDOWN(W255,0)/$V255</f>
        <v/>
      </c>
      <c r="K255" s="19">
        <f>ROUNDDOWN(X255,0)/$V255</f>
        <v/>
      </c>
      <c r="L255" s="19">
        <f>ROUNDDOWN(Y255,0)/$V255</f>
        <v/>
      </c>
      <c r="M255" s="19">
        <f>ROUNDDOWN(Z255,0)/$V255</f>
        <v/>
      </c>
      <c r="O255" s="36" t="inlineStr">
        <is>
          <t>ꧠ ꧡ ꧢ ꧣ ꧤ ꧥ ꧦ ꧧ ꧨ ꧩ ꧪ ꧫ ꧬ ꧭ ꧮ ꧯ ꧰ ꧱ ꧲ ꧳ ꧴ ꧵ ꧶ ꧷ ꧸ ꧹ ꧺ ꧻ ꧼ ꧽ ꧾ</t>
        </is>
      </c>
      <c r="P255" s="37" t="inlineStr">
        <is>
          <t>ꧠ ꧡ ꧢ ꧣ ꧤ ꧧ ꧨ ꧩ ꧪ ꧫ ꧬ ꧭ ꧮ ꧯ ꧰ ꧱ ꧲ ꧳ ꧴ ꧵ ꧶ ꧷ ꧸ ꧹ ꧺ ꧻ ꧼ ꧽ ꧾ</t>
        </is>
      </c>
      <c r="Q255" s="38" t="inlineStr">
        <is>
          <t>ꧠ ꧡ ꧢ ꧣ ꧤ ꧧ ꧨ ꧩ ꧪ ꧫ ꧬ ꧭ ꧮ ꧯ ꧺ ꧻ ꧼ ꧽ ꧾ</t>
        </is>
      </c>
      <c r="R255" s="43" t="inlineStr"/>
      <c r="S255" s="40" t="n"/>
      <c r="V255" s="14">
        <f>(LEN(O255)+1)/2</f>
        <v/>
      </c>
      <c r="W255" s="14">
        <f>ROUNDDOWN((LEN(P255)+1)/2,0)</f>
        <v/>
      </c>
      <c r="X255" s="14">
        <f>ROUNDDOWN((LEN(Q255)+1)/2,0)</f>
        <v/>
      </c>
      <c r="Y255" s="14">
        <f>ROUNDDOWN((LEN(R255)+1)/2,0)</f>
        <v/>
      </c>
      <c r="Z255" s="14">
        <f>ROUNDDOWN((LEN(S255)+1)/2,0)</f>
        <v/>
      </c>
      <c r="AA255" s="56" t="n">
        <v>46150.55860987092</v>
      </c>
    </row>
    <row r="256" ht="25.5" customHeight="1">
      <c r="B256" s="46" t="inlineStr">
        <is>
          <t>U+AA60-U+AA7F</t>
        </is>
      </c>
      <c r="C256" s="46" t="inlineStr">
        <is>
          <t>Myanmar Extended-A</t>
        </is>
      </c>
      <c r="D256" s="54">
        <f>HEX2DEC(MID(B256,3,FIND("-",E256)-3))</f>
        <v/>
      </c>
      <c r="E256" s="46" t="inlineStr">
        <is>
          <t>U+AA60-U+AA7F</t>
        </is>
      </c>
      <c r="F256" s="12" t="n">
        <v>3</v>
      </c>
      <c r="J256" s="19">
        <f>ROUNDDOWN(W256,0)/$V256</f>
        <v/>
      </c>
      <c r="K256" s="19">
        <f>ROUNDDOWN(X256,0)/$V256</f>
        <v/>
      </c>
      <c r="L256" s="19">
        <f>ROUNDDOWN(Y256,0)/$V256</f>
        <v/>
      </c>
      <c r="M256" s="19">
        <f>ROUNDDOWN(Z256,0)/$V256</f>
        <v/>
      </c>
      <c r="O256" s="36" t="inlineStr">
        <is>
          <t>ꨀ ꨁ ꨂ ꨃ ꨄ ꨅ ꨆ ꨇ ꨈ ꨉ ꨊ ꨋ ꨌ ꨍ ꨎ ꨏ ꨐ ꨑ ꨒ ꨓ ꨔ ꨕ ꨖ ꨗ ꨘ ꨙ ꨚ ꨛ ꨜ ꨝ ꨞ ꨟ ꨠ ꨡ ꨢ ꨣ ꨤ ꨥ ꨦ ꨧ ꨨ ꨩ ꨪ ꨫ ꨬ ꨭ ꨮ ꨯ ꨰ ꨱ ꨲ ꨳ ꨴ ꨵ ꨶ ꩀ ꩁ ꩂ ꩃ ꩄ ꩅ ꩆ ꩇ ꩈ ꩉ ꩊ ꩋ ꩌ ꩍ ꩐ ꩑ ꩒ ꩓ ꩔ ꩕ ꩖ ꩗ ꩘ ꩙ ꩜ ꩝ ꩞ ꩟</t>
        </is>
      </c>
      <c r="P256" s="37" t="inlineStr">
        <is>
          <t>ꨀ ꨁ ꨂ ꨃ ꨄ ꨅ ꨆ ꨇ ꨈ ꨉ ꨊ ꨋ ꨌ ꨍ ꨎ ꨏ ꨐ ꨑ ꨒ ꨓ ꨔ ꨕ ꨖ ꨗ ꨘ ꨙ ꨚ ꨛ ꨜ ꨝ ꨞ ꨟ ꨠ ꨡ ꨢ ꨣ ꨤ ꨥ ꨦ ꨧ ꨨ ꩀ ꩁ ꩂ ꩄ ꩅ ꩆ ꩇ ꩈ ꩉ ꩊ ꩋ ꩐ ꩑ ꩒ ꩓ ꩔ ꩕ ꩖ ꩗ ꩘ ꩙ ꩜ ꩝ ꩞ ꩟</t>
        </is>
      </c>
      <c r="Q256" s="38" t="inlineStr">
        <is>
          <t>ꨀ ꨁ ꨂ ꨃ ꨄ ꨆ ꨇ ꨈ ꨉ ꨊ ꨋ ꨌ ꨍ ꨎ ꨏ ꨐ ꨑ ꨒ ꨓ ꨔ ꨕ ꨖ ꨗ ꨘ ꨙ ꨚ ꨛ ꨜ ꨝ ꨞ ꨟ ꨠ ꨡ ꨢ ꨣ ꨤ ꨥ ꨦ ꨧ ꨨ ꩀ ꩁ ꩂ ꩄ ꩅ ꩆ ꩇ ꩈ ꩉ ꩊ ꩋ ꩜ ꩝ ꩞</t>
        </is>
      </c>
      <c r="R256" s="43" t="inlineStr">
        <is>
          <t>ꨂ ꨃ ꨄ ꨆ ꨈ ꨊ ꨋ ꨌ ꨏ ꨓ ꨕ ꨖ ꨛ ꨝ ꨠ ꨡ ꨣ ꨤ ꨥ ꨧ ꨨ ꩀ ꩁ ꩂ ꩄ ꩅ ꩇ ꩉ ꩊ ꩜ ꩝</t>
        </is>
      </c>
      <c r="S256" s="40" t="n"/>
      <c r="V256" s="14">
        <f>(LEN(O256)+1)/2</f>
        <v/>
      </c>
      <c r="W256" s="14">
        <f>ROUNDDOWN((LEN(P256)+1)/2,0)</f>
        <v/>
      </c>
      <c r="X256" s="14">
        <f>ROUNDDOWN((LEN(Q256)+1)/2,0)</f>
        <v/>
      </c>
      <c r="Y256" s="14">
        <f>ROUNDDOWN((LEN(R256)+1)/2,0)</f>
        <v/>
      </c>
      <c r="Z256" s="14">
        <f>ROUNDDOWN((LEN(S256)+1)/2,0)</f>
        <v/>
      </c>
      <c r="AA256" s="56" t="n">
        <v>46150.55861061461</v>
      </c>
    </row>
    <row r="257" ht="25.5" customHeight="1">
      <c r="B257" s="46" t="inlineStr">
        <is>
          <t>U+AA80-U+AADF</t>
        </is>
      </c>
      <c r="C257" s="46" t="inlineStr">
        <is>
          <t>Tai Viet</t>
        </is>
      </c>
      <c r="D257" s="54">
        <f>HEX2DEC(MID(B257,3,FIND("-",E257)-3))</f>
        <v/>
      </c>
      <c r="E257" s="46" t="inlineStr">
        <is>
          <t>U+AA80-U+AADF</t>
        </is>
      </c>
      <c r="F257" s="12" t="n">
        <v>3</v>
      </c>
      <c r="J257" s="19">
        <f>ROUNDDOWN(W257,0)/$V257</f>
        <v/>
      </c>
      <c r="K257" s="19">
        <f>ROUNDDOWN(X257,0)/$V257</f>
        <v/>
      </c>
      <c r="L257" s="19">
        <f>ROUNDDOWN(Y257,0)/$V257</f>
        <v/>
      </c>
      <c r="M257" s="19">
        <f>ROUNDDOWN(Z257,0)/$V257</f>
        <v/>
      </c>
      <c r="O257" s="36" t="inlineStr">
        <is>
          <t>ꩠ ꩡ ꩢ ꩣ ꩤ ꩥ ꩦ ꩧ ꩨ ꩩ ꩪ ꩫ ꩬ ꩭ ꩮ ꩯ ꩰ ꩱ ꩲ ꩳ ꩴ ꩵ ꩶ ꩷ ꩸ ꩹ ꩺ ꩻ ꩼ ꩽ ꩾ ꩿ</t>
        </is>
      </c>
      <c r="P257" s="37" t="inlineStr">
        <is>
          <t>ꩠ ꩡ ꩢ ꩣ ꩤ ꩥ ꩦ ꩧ ꩨ ꩩ ꩪ ꩫ ꩬ ꩭ ꩮ ꩯ ꩱ ꩲ ꩳ ꩴ ꩵ ꩶ ꩷ ꩸ ꩹ ꩺ ꩾ ꩿ</t>
        </is>
      </c>
      <c r="Q257" s="38" t="inlineStr">
        <is>
          <t>ꩠ ꩡ ꩢ ꩣ ꩤ ꩥ ꩦ ꩧ ꩨ ꩩ ꩪ ꩫ ꩬ ꩭ ꩮ ꩯ ꩱ ꩲ ꩳ ꩴ ꩵ ꩶ ꩷ ꩸ ꩹ ꩺ ꩾ ꩿ</t>
        </is>
      </c>
      <c r="R257" s="43" t="inlineStr">
        <is>
          <t>ꩴ ꩷ ꩹</t>
        </is>
      </c>
      <c r="S257" s="40" t="n"/>
      <c r="V257" s="14">
        <f>(LEN(O257)+1)/2</f>
        <v/>
      </c>
      <c r="W257" s="14">
        <f>ROUNDDOWN((LEN(P257)+1)/2,0)</f>
        <v/>
      </c>
      <c r="X257" s="14">
        <f>ROUNDDOWN((LEN(Q257)+1)/2,0)</f>
        <v/>
      </c>
      <c r="Y257" s="14">
        <f>ROUNDDOWN((LEN(R257)+1)/2,0)</f>
        <v/>
      </c>
      <c r="Z257" s="14">
        <f>ROUNDDOWN((LEN(S257)+1)/2,0)</f>
        <v/>
      </c>
      <c r="AA257" s="56" t="n">
        <v>46150.55861107069</v>
      </c>
    </row>
    <row r="258" ht="25.5" customHeight="1">
      <c r="B258" s="46" t="inlineStr">
        <is>
          <t>U+AAE0-U+AAF6</t>
        </is>
      </c>
      <c r="C258" s="46" t="inlineStr">
        <is>
          <t>Meetei Mayek Extensions</t>
        </is>
      </c>
      <c r="D258" s="54">
        <f>HEX2DEC(MID(B258,3,FIND("-",E258)-3))</f>
        <v/>
      </c>
      <c r="E258" s="46" t="inlineStr">
        <is>
          <t>U+AAE0-U+AAFF</t>
        </is>
      </c>
      <c r="F258" s="12" t="n">
        <v>3</v>
      </c>
      <c r="J258" s="19">
        <f>ROUNDDOWN(W258,0)/$V258</f>
        <v/>
      </c>
      <c r="K258" s="19">
        <f>ROUNDDOWN(X258,0)/$V258</f>
        <v/>
      </c>
      <c r="L258" s="19">
        <f>ROUNDDOWN(Y258,0)/$V258</f>
        <v/>
      </c>
      <c r="M258" s="19">
        <f>ROUNDDOWN(Z258,0)/$V258</f>
        <v/>
      </c>
      <c r="O258" s="36" t="inlineStr">
        <is>
          <t>ꪀ ꪁ ꪂ ꪃ ꪄ ꪅ ꪆ ꪇ ꪈ ꪉ ꪊ ꪋ ꪌ ꪍ ꪎ ꪏ ꪐ ꪑ ꪒ ꪓ ꪔ ꪕ ꪖ ꪗ ꪘ ꪙ ꪚ ꪛ ꪜ ꪝ ꪞ ꪟ ꪠ ꪡ ꪢ ꪣ ꪤ ꪥ ꪦ ꪧ ꪨ ꪩ ꪪ ꪫ ꪬ ꪭ ꪮ ꪯ ꪰ ꪱ ꪲ ꪳ ꪴ ꪵ ꪶ ꪷ ꪸ ꪹ ꪺ ꪻ ꪼ ꪽ ꪾ ꪿ ꫀ ꫁ ꫂ ꫛ ꫜ ꫝ ꫞ ꫟</t>
        </is>
      </c>
      <c r="P258" s="37" t="inlineStr">
        <is>
          <t>ꪀ ꪁ ꪂ ꪃ ꪄ ꪅ ꪆ ꪇ ꪈ ꪉ ꪊ ꪋ ꪌ ꪍ ꪎ ꪏ ꪐ ꪑ ꪒ ꪓ ꪔ ꪕ ꪖ ꪗ ꪘ ꪙ ꪚ ꪛ ꪜ ꪝ ꪞ ꪟ ꪠ ꪡ ꪢ ꪣ ꪤ ꪥ ꪦ ꪧ ꪨ ꪩ ꪪ ꪫ ꪬ ꪭ ꪮ ꪯ ꪱ ꪵ ꪶ ꪹ ꪺ ꪻ ꪼ ꪽ ꫀ ꫂ ꫛ ꫜ ꫞ ꫟</t>
        </is>
      </c>
      <c r="Q258" s="38" t="inlineStr">
        <is>
          <t>ꪀ ꪁ ꪂ ꪃ ꪄ ꪅ ꪆ ꪇ ꪈ ꪉ ꪊ ꪋ ꪌ ꪍ ꪎ ꪏ ꪐ ꪑ ꪒ ꪓ ꪔ ꪕ ꪖ ꪗ ꪘ ꪙ ꪚ ꪛ ꪜ ꪝ ꪞ ꪟ ꪠ ꪡ ꪢ ꪣ ꪤ ꪥ ꪦ ꪧ ꪨ ꪩ ꪪ ꪫ ꪬ ꪭ ꪱ ꪵ ꪶ ꪹ ꪺ ꪻ ꪼ ꪽ ꫀ ꫂ ꫛ ꫜ ꫞ ꫟</t>
        </is>
      </c>
      <c r="R258" s="43" t="inlineStr">
        <is>
          <t>ꪀ ꪁ ꪂ ꪅ ꪆ ꪇ ꪉ ꪊ ꪎ ꪒ ꪙ ꪚ ꪛ ꪜ ꪝ ꪠ ꪦ ꪧ ꪩ ꪫ ꪭ ꪱ ꪶ ꪹ ꪺ ꪻ ꪼ ꫀ ꫂ ꫟</t>
        </is>
      </c>
      <c r="S258" s="40" t="n"/>
      <c r="V258" s="14">
        <f>(LEN(O258)+1)/2</f>
        <v/>
      </c>
      <c r="W258" s="14">
        <f>ROUNDDOWN((LEN(P258)+1)/2,0)</f>
        <v/>
      </c>
      <c r="X258" s="14">
        <f>ROUNDDOWN((LEN(Q258)+1)/2,0)</f>
        <v/>
      </c>
      <c r="Y258" s="14">
        <f>ROUNDDOWN((LEN(R258)+1)/2,0)</f>
        <v/>
      </c>
      <c r="Z258" s="14">
        <f>ROUNDDOWN((LEN(S258)+1)/2,0)</f>
        <v/>
      </c>
      <c r="AA258" s="56" t="n">
        <v>46150.55861167946</v>
      </c>
    </row>
    <row r="259" ht="25.5" customHeight="1">
      <c r="B259" s="46" t="inlineStr">
        <is>
          <t>U+AB01-U+AB2E</t>
        </is>
      </c>
      <c r="C259" s="46" t="inlineStr">
        <is>
          <t>Ethiopic Extended-A</t>
        </is>
      </c>
      <c r="D259" s="54">
        <f>HEX2DEC(MID(B259,3,FIND("-",E259)-3))</f>
        <v/>
      </c>
      <c r="E259" s="46" t="inlineStr">
        <is>
          <t>U+AB00-U+AB2F</t>
        </is>
      </c>
      <c r="F259" s="12" t="n">
        <v>3</v>
      </c>
      <c r="J259" s="19">
        <f>ROUNDDOWN(W259,0)/$V259</f>
        <v/>
      </c>
      <c r="K259" s="19">
        <f>ROUNDDOWN(X259,0)/$V259</f>
        <v/>
      </c>
      <c r="L259" s="19">
        <f>ROUNDDOWN(Y259,0)/$V259</f>
        <v/>
      </c>
      <c r="M259" s="19">
        <f>ROUNDDOWN(Z259,0)/$V259</f>
        <v/>
      </c>
      <c r="O259" s="36" t="inlineStr">
        <is>
          <t>ꫠ ꫡ ꫢ ꫣ ꫤ ꫥ ꫦ ꫧ ꫨ ꫩ ꫪ ꫫ ꫬ ꫭ ꫮ ꫯ ꫰ ꫱ ꫲ ꫳ ꫴ ꫵ ꫶</t>
        </is>
      </c>
      <c r="P259" s="37" t="inlineStr">
        <is>
          <t>ꫠ ꫡ ꫢ ꫣ ꫤ ꫥ ꫦ ꫧ ꫨ ꫩ ꫪ ꫰ ꫱ ꫲ</t>
        </is>
      </c>
      <c r="Q259" s="38" t="inlineStr">
        <is>
          <t>ꫠ ꫢ ꫣ ꫤ ꫥ ꫦ ꫧ ꫨ ꫩ ꫪ ꫰ ꫱ ꫲ</t>
        </is>
      </c>
      <c r="R259" s="43" t="inlineStr">
        <is>
          <t>ꫠ ꫢ ꫥ ꫧ ꫨ ꫪ ꫰ ꫱ ꫲ</t>
        </is>
      </c>
      <c r="S259" s="40" t="n"/>
      <c r="V259" s="14">
        <f>(LEN(O259)+1)/2</f>
        <v/>
      </c>
      <c r="W259" s="14">
        <f>ROUNDDOWN((LEN(P259)+1)/2,0)</f>
        <v/>
      </c>
      <c r="X259" s="14">
        <f>ROUNDDOWN((LEN(Q259)+1)/2,0)</f>
        <v/>
      </c>
      <c r="Y259" s="14">
        <f>ROUNDDOWN((LEN(R259)+1)/2,0)</f>
        <v/>
      </c>
      <c r="Z259" s="14">
        <f>ROUNDDOWN((LEN(S259)+1)/2,0)</f>
        <v/>
      </c>
      <c r="AA259" s="56" t="n">
        <v>46150.55861193402</v>
      </c>
    </row>
    <row r="260" ht="25.5" customHeight="1">
      <c r="B260" s="46" t="inlineStr">
        <is>
          <t>U+AB30-U+AB6B</t>
        </is>
      </c>
      <c r="C260" s="46" t="inlineStr">
        <is>
          <t>Latin Extended-E</t>
        </is>
      </c>
      <c r="D260" s="54">
        <f>HEX2DEC(MID(B260,3,FIND("-",E260)-3))</f>
        <v/>
      </c>
      <c r="E260" s="46" t="inlineStr">
        <is>
          <t>U+AB30-U+AB6F</t>
        </is>
      </c>
      <c r="F260" s="12" t="n">
        <v>3</v>
      </c>
      <c r="J260" s="19">
        <f>ROUNDDOWN(W260,0)/$V260</f>
        <v/>
      </c>
      <c r="K260" s="19">
        <f>ROUNDDOWN(X260,0)/$V260</f>
        <v/>
      </c>
      <c r="L260" s="19">
        <f>ROUNDDOWN(Y260,0)/$V260</f>
        <v/>
      </c>
      <c r="M260" s="19">
        <f>ROUNDDOWN(Z260,0)/$V260</f>
        <v/>
      </c>
      <c r="O260" s="36" t="inlineStr">
        <is>
          <t>ꬁ ꬂ ꬃ ꬄ ꬅ ꬆ ꬉ ꬊ ꬋ ꬌ ꬍ ꬎ ꬑ ꬒ ꬓ ꬔ ꬕ ꬖ ꬠ ꬡ ꬢ ꬣ ꬤ ꬥ ꬦ ꬨ ꬩ ꬪ ꬫ ꬬ ꬭ ꬮ</t>
        </is>
      </c>
      <c r="P260" s="37" t="inlineStr">
        <is>
          <t>ꬁ ꬂ ꬃ ꬄ ꬅ ꬆ ꬉ ꬊ ꬋ ꬌ ꬍ ꬎ ꬑ ꬒ ꬓ ꬔ ꬕ ꬖ ꬠ ꬡ ꬢ ꬣ ꬤ ꬥ ꬦ ꬨ ꬩ ꬪ ꬫ ꬬ ꬭ ꬮ</t>
        </is>
      </c>
      <c r="Q260" s="38" t="inlineStr">
        <is>
          <t>ꬁ ꬂ ꬃ ꬄ ꬅ ꬆ ꬉ ꬊ ꬋ ꬌ ꬍ ꬎ ꬑ ꬒ ꬓ ꬔ ꬕ ꬖ ꬠ ꬡ ꬢ ꬣ ꬤ ꬥ ꬦ ꬨ ꬩ ꬪ ꬫ ꬬ ꬭ ꬮ</t>
        </is>
      </c>
      <c r="R260" s="43" t="inlineStr">
        <is>
          <t>ꬁ ꬂ ꬃ ꬄ ꬅ ꬆ ꬉ ꬊ ꬋ ꬌ ꬍ ꬎ ꬓ ꬕ ꬖ ꬨ ꬫ ꬬ ꬭ ꬮ</t>
        </is>
      </c>
      <c r="S260" s="40" t="n"/>
      <c r="V260" s="14">
        <f>(LEN(O260)+1)/2</f>
        <v/>
      </c>
      <c r="W260" s="14">
        <f>ROUNDDOWN((LEN(P260)+1)/2,0)</f>
        <v/>
      </c>
      <c r="X260" s="14">
        <f>ROUNDDOWN((LEN(Q260)+1)/2,0)</f>
        <v/>
      </c>
      <c r="Y260" s="14">
        <f>ROUNDDOWN((LEN(R260)+1)/2,0)</f>
        <v/>
      </c>
      <c r="Z260" s="14">
        <f>ROUNDDOWN((LEN(S260)+1)/2,0)</f>
        <v/>
      </c>
      <c r="AA260" s="56" t="n">
        <v>46150.55861233238</v>
      </c>
    </row>
    <row r="261" ht="25.5" customHeight="1">
      <c r="B261" s="46" t="inlineStr">
        <is>
          <t>U+AB70-U+ABBF</t>
        </is>
      </c>
      <c r="C261" s="46" t="inlineStr">
        <is>
          <t>Cherokee Supplement</t>
        </is>
      </c>
      <c r="D261" s="54">
        <f>HEX2DEC(MID(B261,3,FIND("-",E261)-3))</f>
        <v/>
      </c>
      <c r="E261" s="46" t="inlineStr">
        <is>
          <t>U+AB70-U+ABBF</t>
        </is>
      </c>
      <c r="F261" s="12" t="n">
        <v>3</v>
      </c>
      <c r="J261" s="19">
        <f>ROUNDDOWN(W261,0)/$V261</f>
        <v/>
      </c>
      <c r="K261" s="19">
        <f>ROUNDDOWN(X261,0)/$V261</f>
        <v/>
      </c>
      <c r="L261" s="19">
        <f>ROUNDDOWN(Y261,0)/$V261</f>
        <v/>
      </c>
      <c r="M261" s="19">
        <f>ROUNDDOWN(Z261,0)/$V261</f>
        <v/>
      </c>
      <c r="O261" s="36" t="inlineStr">
        <is>
          <t>ꭰ ꭱ ꭲ ꭳ ꭴ ꭵ ꭶ ꭷ ꭸ ꭹ ꭺ ꭻ ꭼ ꭽ ꭾ ꭿ ꮀ ꮁ ꮂ ꮃ ꮄ ꮅ ꮆ ꮇ ꮈ ꮉ ꮊ ꮋ ꮌ ꮍ ꮎ ꮏ ꮐ ꮑ ꮒ ꮓ ꮔ ꮕ ꮖ ꮗ ꮘ ꮙ ꮚ ꮛ ꮜ ꮝ ꮞ ꮟ ꮠ ꮡ ꮢ ꮣ ꮤ ꮥ ꮦ ꮧ ꮨ ꮩ ꮪ ꮫ ꮬ ꮭ ꮮ ꮯ ꮰ ꮱ ꮲ ꮳ ꮴ ꮵ ꮶ ꮷ ꮸ ꮹ ꮺ ꮻ ꮼ ꮽ ꮾ ꮿ</t>
        </is>
      </c>
      <c r="P261" s="37" t="inlineStr">
        <is>
          <t>ꭰ ꭱ ꭲ ꭳ ꭴ ꭵ ꭶ ꭷ ꭸ ꭹ ꭺ ꭻ ꭼ ꭽ ꭾ ꭿ ꮀ ꮁ ꮂ ꮃ ꮄ ꮅ ꮆ ꮇ ꮈ ꮉ ꮊ ꮋ ꮌ ꮍ ꮎ ꮏ ꮐ ꮑ ꮒ ꮓ ꮔ ꮕ ꮖ ꮗ ꮘ ꮙ ꮚ ꮛ ꮜ ꮝ ꮞ ꮟ ꮠ ꮡ ꮢ ꮣ ꮤ ꮥ ꮦ ꮧ ꮨ ꮩ ꮪ ꮫ ꮬ ꮭ ꮮ ꮯ ꮰ ꮱ ꮲ ꮳ ꮴ ꮵ ꮶ ꮷ ꮸ ꮹ ꮺ ꮻ ꮼ ꮽ ꮾ ꮿ</t>
        </is>
      </c>
      <c r="Q261" s="38" t="inlineStr">
        <is>
          <t>ꭰ ꭱ ꭲ ꭴ ꭵ ꭶ ꭷ ꭸ ꭹ ꭺ ꭻ ꭼ ꭽ ꭾ ꭿ ꮀ ꮁ ꮂ ꮃ ꮄ ꮅ ꮆ ꮇ ꮈ ꮉ ꮊ ꮋ ꮌ ꮍ ꮎ ꮏ ꮐ ꮑ ꮒ ꮓ ꮔ ꮕ ꮖ ꮗ ꮘ ꮙ ꮚ ꮛ ꮜ ꮝ ꮞ ꮟ ꮠ ꮡ ꮢ ꮣ ꮤ ꮥ ꮦ ꮧ ꮨ ꮩ ꮪ ꮫ ꮬ ꮭ ꮮ ꮯ ꮰ ꮱ ꮲ ꮳ ꮴ ꮵ ꮶ ꮷ ꮸ ꮹ ꮺ ꮻ ꮼ ꮽ ꮾ ꮿ</t>
        </is>
      </c>
      <c r="R261" s="43" t="inlineStr">
        <is>
          <t>ꭰ ꭱ ꭲ ꭴ ꭶ ꭷ ꭸ ꭹ ꭺ ꭻ ꭼ ꭽ ꭾ ꭿ ꮀ ꮂ ꮄ ꮅ ꮆ ꮇ ꮈ ꮉ ꮊ ꮋ ꮌ ꮍ ꮎ ꮏ ꮐ ꮑ ꮒ ꮔ ꮕ ꮖ ꮗ ꮘ ꮙ ꮚ ꮛ ꮜ ꮝ ꮞ ꮟ ꮠ ꮡ ꮢ ꮣ ꮤ ꮥ ꮦ ꮧ ꮨ ꮫ ꮬ ꮭ ꮮ ꮰ ꮱ ꮲ ꮳ ꮴ ꮵ ꮶ ꮷ ꮸ ꮹ ꮺ ꮻ ꮼ ꮽ ꮾ ꮿ</t>
        </is>
      </c>
      <c r="S261" s="40" t="n"/>
      <c r="V261" s="14">
        <f>(LEN(O261)+1)/2</f>
        <v/>
      </c>
      <c r="W261" s="14">
        <f>ROUNDDOWN((LEN(P261)+1)/2,0)</f>
        <v/>
      </c>
      <c r="X261" s="14">
        <f>ROUNDDOWN((LEN(Q261)+1)/2,0)</f>
        <v/>
      </c>
      <c r="Y261" s="14">
        <f>ROUNDDOWN((LEN(R261)+1)/2,0)</f>
        <v/>
      </c>
      <c r="Z261" s="14">
        <f>ROUNDDOWN((LEN(S261)+1)/2,0)</f>
        <v/>
      </c>
      <c r="AA261" s="56" t="n">
        <v>46150.55861298674</v>
      </c>
    </row>
    <row r="262" ht="25.5" customHeight="1">
      <c r="B262" s="46" t="inlineStr">
        <is>
          <t>U+ABC0-U+ABF9</t>
        </is>
      </c>
      <c r="C262" s="46" t="inlineStr">
        <is>
          <t>Meetei Mayek</t>
        </is>
      </c>
      <c r="D262" s="54">
        <f>HEX2DEC(MID(B262,3,FIND("-",E262)-3))</f>
        <v/>
      </c>
      <c r="E262" s="46" t="inlineStr">
        <is>
          <t>U+ABC0-U+ABFF</t>
        </is>
      </c>
      <c r="F262" s="12" t="n">
        <v>3</v>
      </c>
      <c r="J262" s="19">
        <f>ROUNDDOWN(W262,0)/$V262</f>
        <v/>
      </c>
      <c r="K262" s="19">
        <f>ROUNDDOWN(X262,0)/$V262</f>
        <v/>
      </c>
      <c r="L262" s="19">
        <f>ROUNDDOWN(Y262,0)/$V262</f>
        <v/>
      </c>
      <c r="M262" s="19">
        <f>ROUNDDOWN(Z262,0)/$V262</f>
        <v/>
      </c>
      <c r="O262" s="36" t="inlineStr">
        <is>
          <t>ꯀ ꯁ ꯂ ꯃ ꯄ ꯅ ꯆ ꯇ ꯈ ꯉ ꯊ ꯋ ꯌ ꯍ ꯎ ꯏ ꯐ ꯑ ꯒ ꯓ ꯔ ꯕ ꯖ ꯗ ꯘ ꯙ ꯚ ꯛ ꯜ ꯝ ꯞ ꯟ ꯠ ꯡ ꯢ ꯣ ꯤ ꯥ ꯦ ꯧ ꯨ ꯩ ꯪ ꯫ ꯬ ꯭ ꯰ ꯱ ꯲ ꯳ ꯴ ꯵ ꯶ ꯷ ꯸ ꯹</t>
        </is>
      </c>
      <c r="P262" s="37" t="inlineStr">
        <is>
          <t>ꯀ ꯁ ꯂ ꯃ ꯄ ꯅ ꯆ ꯇ ꯈ ꯉ ꯊ ꯋ ꯌ ꯍ ꯎ ꯏ ꯐ ꯑ ꯒ ꯓ ꯔ ꯕ ꯖ ꯗ ꯘ ꯙ ꯚ ꯛ ꯜ ꯝ ꯞ ꯟ ꯠ ꯡ ꯢ ꯫ ꯰ ꯱ ꯲ ꯳ ꯴ ꯵ ꯶ ꯷ ꯸ ꯹</t>
        </is>
      </c>
      <c r="Q262" s="38" t="inlineStr">
        <is>
          <t>ꯀ ꯁ ꯂ ꯃ ꯄ ꯅ ꯆ ꯇ ꯈ ꯉ ꯊ ꯋ ꯌ ꯍ ꯎ ꯏ ꯐ ꯑ ꯒ ꯓ ꯔ ꯕ ꯖ ꯗ ꯘ ꯙ ꯚ ꯛ ꯜ ꯝ ꯞ ꯟ ꯠ ꯡ ꯢ ꯫</t>
        </is>
      </c>
      <c r="R262" s="43" t="inlineStr">
        <is>
          <t>ꯁ ꯂ ꯅ ꯆ ꯇ ꯈ ꯊ ꯋ ꯎ ꯏ ꯐ ꯑ ꯒ ꯓ ꯔ ꯕ ꯖ ꯗ ꯘ ꯙ ꯚ ꯛ ꯜ ꯝ ꯞ ꯟ ꯠ ꯡ ꯢ</t>
        </is>
      </c>
      <c r="S262" s="40" t="n"/>
      <c r="V262" s="14">
        <f>(LEN(O262)+1)/2</f>
        <v/>
      </c>
      <c r="W262" s="14">
        <f>ROUNDDOWN((LEN(P262)+1)/2,0)</f>
        <v/>
      </c>
      <c r="X262" s="14">
        <f>ROUNDDOWN((LEN(Q262)+1)/2,0)</f>
        <v/>
      </c>
      <c r="Y262" s="14">
        <f>ROUNDDOWN((LEN(R262)+1)/2,0)</f>
        <v/>
      </c>
      <c r="Z262" s="14">
        <f>ROUNDDOWN((LEN(S262)+1)/2,0)</f>
        <v/>
      </c>
      <c r="AA262" s="56" t="n">
        <v>46150.55861340094</v>
      </c>
    </row>
    <row r="263" ht="102" customHeight="1">
      <c r="B263" s="46" t="inlineStr">
        <is>
          <t>U+AC00-U+ACFD</t>
        </is>
      </c>
      <c r="C263" s="46" t="inlineStr">
        <is>
          <t>Hangul Syllables</t>
        </is>
      </c>
      <c r="D263" s="54">
        <f>HEX2DEC(MID(B263,3,FIND("-",E263)-3))</f>
        <v/>
      </c>
      <c r="E263" s="46" t="inlineStr">
        <is>
          <t>U+AC00-U+D7AF</t>
        </is>
      </c>
      <c r="F263" s="12" t="n">
        <v>3</v>
      </c>
      <c r="J263" s="19">
        <f>ROUNDDOWN(W263,0)/$V263</f>
        <v/>
      </c>
      <c r="K263" s="19">
        <f>ROUNDDOWN(X263,0)/$V263</f>
        <v/>
      </c>
      <c r="L263" s="19">
        <f>ROUNDDOWN(Y263,0)/$V263</f>
        <v/>
      </c>
      <c r="M263" s="19">
        <f>ROUNDDOWN(Z263,0)/$V263</f>
        <v/>
      </c>
      <c r="O263" s="36" t="inlineStr">
        <is>
          <t>가 각 갂 갃 간 갅 갆 갇 갈 갉 갊 갋 갌 갍 갎 갏 감 갑 값 갓 갔 강 갖 갗 갘 같 갚 갛 개 객 갞 갟 갠 갡 갢 갣 갤 갥 갦 갧 갨 갩 갪 갫 갬 갭 갮 갯 갰 갱 갲 갳 갴 갵 갶 갷 갸 갹 갺 갻 갼 갽 갾 갿 걀 걁 걂 걃 걄 걅 걆 걇 걈 걉 걊 걋 걌 걍 걎 걏 걐 걑 걒 걓 걔 걕 걖 걗 걘 걙 걚 걛 걜 걝 걞 걟 걠 걡 걢 걣 걤 걥 걦 걧 걨 걩 걪 걫 걬 걭 걮 걯 거 걱 걲 걳 건 걵 걶 걷 걸 걹 걺 걻 걼 걽 걾 걿 검 겁 겂 것 겄 겅 겆 겇 겈 겉 겊 겋 게 겍 겎 겏 겐 겑 겒 겓 겔 겕 겖 겗 겘 겙 겚 겛 겜 겝 겞 겟 겠 겡 겢 겣 겤 겥 겦 겧 겨 격 겪 겫 견 겭 겮 겯 결 겱 겲 겳 겴 겵 겶 겷 겸 겹 겺 겻 겼 경 겾 겿 곀 곁 곂 곃 계 곅 곆 곇 곈 곉 곊 곋 곌 곍 곎 곏 곐 곑 곒 곓 곔 곕 곖 곗 곘 곙 곚 곛 곜 곝 곞 곟 고 곡 곢 곣 곤 곥 곦 곧 골 곩 곪 곫 곬 곭 곮 곯 곰 곱 곲 곳 곴 공 곶 곷 곸 곹 곺 곻 과 곽</t>
        </is>
      </c>
      <c r="P263" s="37" t="inlineStr"/>
      <c r="Q263" s="38" t="inlineStr"/>
      <c r="R263" s="43" t="inlineStr"/>
      <c r="S263" s="40" t="n"/>
      <c r="V263" s="14">
        <f>(LEN(O263)+1)/2</f>
        <v/>
      </c>
      <c r="W263" s="14">
        <f>ROUNDDOWN((LEN(P263)+1)/2,0)</f>
        <v/>
      </c>
      <c r="X263" s="14">
        <f>ROUNDDOWN((LEN(Q263)+1)/2,0)</f>
        <v/>
      </c>
      <c r="Y263" s="14">
        <f>ROUNDDOWN((LEN(R263)+1)/2,0)</f>
        <v/>
      </c>
      <c r="Z263" s="14">
        <f>ROUNDDOWN((LEN(S263)+1)/2,0)</f>
        <v/>
      </c>
      <c r="AA263" s="56" t="n">
        <v>46150.55861341001</v>
      </c>
    </row>
    <row r="264" ht="102" customHeight="1">
      <c r="B264" s="46" t="inlineStr">
        <is>
          <t>U+ACFE-U+ADFB</t>
        </is>
      </c>
      <c r="C264" s="46" t="inlineStr">
        <is>
          <t>Hangul Syllables</t>
        </is>
      </c>
      <c r="D264" s="54">
        <f>HEX2DEC(MID(B264,3,FIND("-",E264)-3))</f>
        <v/>
      </c>
      <c r="E264" s="46" t="inlineStr">
        <is>
          <t>U+AC00-U+D7AF</t>
        </is>
      </c>
      <c r="F264" s="12" t="n">
        <v>3</v>
      </c>
      <c r="J264" s="19">
        <f>ROUNDDOWN(W264,0)/$V264</f>
        <v/>
      </c>
      <c r="K264" s="19">
        <f>ROUNDDOWN(X264,0)/$V264</f>
        <v/>
      </c>
      <c r="L264" s="19">
        <f>ROUNDDOWN(Y264,0)/$V264</f>
        <v/>
      </c>
      <c r="M264" s="19">
        <f>ROUNDDOWN(Z264,0)/$V264</f>
        <v/>
      </c>
      <c r="O264" s="36" t="inlineStr">
        <is>
          <t>곾 곿 관 괁 괂 괃 괄 괅 괆 괇 괈 괉 괊 괋 괌 괍 괎 괏 괐 광 괒 괓 괔 괕 괖 괗 괘 괙 괚 괛 괜 괝 괞 괟 괠 괡 괢 괣 괤 괥 괦 괧 괨 괩 괪 괫 괬 괭 괮 괯 괰 괱 괲 괳 괴 괵 괶 괷 괸 괹 괺 괻 괼 괽 괾 괿 굀 굁 굂 굃 굄 굅 굆 굇 굈 굉 굊 굋 굌 굍 굎 굏 교 굑 굒 굓 굔 굕 굖 굗 굘 굙 굚 굛 굜 굝 굞 굟 굠 굡 굢 굣 굤 굥 굦 굧 굨 굩 굪 굫 구 국 굮 굯 군 굱 굲 굳 굴 굵 굶 굷 굸 굹 굺 굻 굼 굽 굾 굿 궀 궁 궂 궃 궄 궅 궆 궇 궈 궉 궊 궋 권 궍 궎 궏 궐 궑 궒 궓 궔 궕 궖 궗 궘 궙 궚 궛 궜 궝 궞 궟 궠 궡 궢 궣 궤 궥 궦 궧 궨 궩 궪 궫 궬 궭 궮 궯 궰 궱 궲 궳 궴 궵 궶 궷 궸 궹 궺 궻 궼 궽 궾 궿 귀 귁 귂 귃 귄 귅 귆 귇 귈 귉 귊 귋 귌 귍 귎 귏 귐 귑 귒 귓 귔 귕 귖 귗 귘 귙 귚 귛 규 귝 귞 귟 균 귡 귢 귣 귤 귥 귦 귧 귨 귩 귪 귫 귬 귭 귮 귯 귰 귱 귲 귳 귴 귵 귶 귷 그 극 귺 귻</t>
        </is>
      </c>
      <c r="P264" s="37" t="inlineStr"/>
      <c r="Q264" s="38" t="inlineStr"/>
      <c r="R264" s="43" t="inlineStr"/>
      <c r="S264" s="40" t="n"/>
      <c r="V264" s="14">
        <f>(LEN(O264)+1)/2</f>
        <v/>
      </c>
      <c r="W264" s="14">
        <f>ROUNDDOWN((LEN(P264)+1)/2,0)</f>
        <v/>
      </c>
      <c r="X264" s="14">
        <f>ROUNDDOWN((LEN(Q264)+1)/2,0)</f>
        <v/>
      </c>
      <c r="Y264" s="14">
        <f>ROUNDDOWN((LEN(R264)+1)/2,0)</f>
        <v/>
      </c>
      <c r="Z264" s="14">
        <f>ROUNDDOWN((LEN(S264)+1)/2,0)</f>
        <v/>
      </c>
      <c r="AA264" s="56" t="n">
        <v>46150.55861341845</v>
      </c>
    </row>
    <row r="265" ht="102" customHeight="1">
      <c r="B265" s="46" t="inlineStr">
        <is>
          <t>U+ADFC-U+AEF9</t>
        </is>
      </c>
      <c r="C265" s="46" t="inlineStr">
        <is>
          <t>Hangul Syllables</t>
        </is>
      </c>
      <c r="D265" s="54">
        <f>HEX2DEC(MID(B265,3,FIND("-",E265)-3))</f>
        <v/>
      </c>
      <c r="E265" s="46" t="inlineStr">
        <is>
          <t>U+AC00-U+D7AF</t>
        </is>
      </c>
      <c r="F265" s="12" t="n">
        <v>3</v>
      </c>
      <c r="J265" s="19">
        <f>ROUNDDOWN(W265,0)/$V265</f>
        <v/>
      </c>
      <c r="K265" s="19">
        <f>ROUNDDOWN(X265,0)/$V265</f>
        <v/>
      </c>
      <c r="L265" s="19">
        <f>ROUNDDOWN(Y265,0)/$V265</f>
        <v/>
      </c>
      <c r="M265" s="19">
        <f>ROUNDDOWN(Z265,0)/$V265</f>
        <v/>
      </c>
      <c r="O265" s="36" t="inlineStr">
        <is>
          <t>근 귽 귾 귿 글 긁 긂 긃 긄 긅 긆 긇 금 급 긊 긋 긌 긍 긎 긏 긐 긑 긒 긓 긔 긕 긖 긗 긘 긙 긚 긛 긜 긝 긞 긟 긠 긡 긢 긣 긤 긥 긦 긧 긨 긩 긪 긫 긬 긭 긮 긯 기 긱 긲 긳 긴 긵 긶 긷 길 긹 긺 긻 긼 긽 긾 긿 김 깁 깂 깃 깄 깅 깆 깇 깈 깉 깊 깋 까 깍 깎 깏 깐 깑 깒 깓 깔 깕 깖 깗 깘 깙 깚 깛 깜 깝 깞 깟 깠 깡 깢 깣 깤 깥 깦 깧 깨 깩 깪 깫 깬 깭 깮 깯 깰 깱 깲 깳 깴 깵 깶 깷 깸 깹 깺 깻 깼 깽 깾 깿 꺀 꺁 꺂 꺃 꺄 꺅 꺆 꺇 꺈 꺉 꺊 꺋 꺌 꺍 꺎 꺏 꺐 꺑 꺒 꺓 꺔 꺕 꺖 꺗 꺘 꺙 꺚 꺛 꺜 꺝 꺞 꺟 꺠 꺡 꺢 꺣 꺤 꺥 꺦 꺧 꺨 꺩 꺪 꺫 꺬 꺭 꺮 꺯 꺰 꺱 꺲 꺳 꺴 꺵 꺶 꺷 꺸 꺹 꺺 꺻 꺼 꺽 꺾 꺿 껀 껁 껂 껃 껄 껅 껆 껇 껈 껉 껊 껋 껌 껍 껎 껏 껐 껑 껒 껓 껔 껕 껖 껗 께 껙 껚 껛 껜 껝 껞 껟 껠 껡 껢 껣 껤 껥 껦 껧 껨 껩 껪 껫 껬 껭 껮 껯 껰 껱 껲 껳 껴 껵 껶 껷 껸 껹</t>
        </is>
      </c>
      <c r="P265" s="37" t="inlineStr"/>
      <c r="Q265" s="38" t="inlineStr"/>
      <c r="R265" s="43" t="inlineStr"/>
      <c r="S265" s="40" t="n"/>
      <c r="V265" s="14">
        <f>(LEN(O265)+1)/2</f>
        <v/>
      </c>
      <c r="W265" s="14">
        <f>ROUNDDOWN((LEN(P265)+1)/2,0)</f>
        <v/>
      </c>
      <c r="X265" s="14">
        <f>ROUNDDOWN((LEN(Q265)+1)/2,0)</f>
        <v/>
      </c>
      <c r="Y265" s="14">
        <f>ROUNDDOWN((LEN(R265)+1)/2,0)</f>
        <v/>
      </c>
      <c r="Z265" s="14">
        <f>ROUNDDOWN((LEN(S265)+1)/2,0)</f>
        <v/>
      </c>
      <c r="AA265" s="56" t="n">
        <v>46150.55861342483</v>
      </c>
    </row>
    <row r="266" ht="102" customHeight="1">
      <c r="B266" s="46" t="inlineStr">
        <is>
          <t>U+AEFA-U+AFF7</t>
        </is>
      </c>
      <c r="C266" s="46" t="inlineStr">
        <is>
          <t>Hangul Syllables</t>
        </is>
      </c>
      <c r="D266" s="54">
        <f>HEX2DEC(MID(B266,3,FIND("-",E266)-3))</f>
        <v/>
      </c>
      <c r="E266" s="46" t="inlineStr">
        <is>
          <t>U+AC00-U+D7AF</t>
        </is>
      </c>
      <c r="F266" s="12" t="n">
        <v>3</v>
      </c>
      <c r="J266" s="19">
        <f>ROUNDDOWN(W266,0)/$V266</f>
        <v/>
      </c>
      <c r="K266" s="19">
        <f>ROUNDDOWN(X266,0)/$V266</f>
        <v/>
      </c>
      <c r="L266" s="19">
        <f>ROUNDDOWN(Y266,0)/$V266</f>
        <v/>
      </c>
      <c r="M266" s="19">
        <f>ROUNDDOWN(Z266,0)/$V266</f>
        <v/>
      </c>
      <c r="O266" s="36" t="inlineStr">
        <is>
          <t>껺 껻 껼 껽 껾 껿 꼀 꼁 꼂 꼃 꼄 꼅 꼆 꼇 꼈 꼉 꼊 꼋 꼌 꼍 꼎 꼏 꼐 꼑 꼒 꼓 꼔 꼕 꼖 꼗 꼘 꼙 꼚 꼛 꼜 꼝 꼞 꼟 꼠 꼡 꼢 꼣 꼤 꼥 꼦 꼧 꼨 꼩 꼪 꼫 꼬 꼭 꼮 꼯 꼰 꼱 꼲 꼳 꼴 꼵 꼶 꼷 꼸 꼹 꼺 꼻 꼼 꼽 꼾 꼿 꽀 꽁 꽂 꽃 꽄 꽅 꽆 꽇 꽈 꽉 꽊 꽋 꽌 꽍 꽎 꽏 꽐 꽑 꽒 꽓 꽔 꽕 꽖 꽗 꽘 꽙 꽚 꽛 꽜 꽝 꽞 꽟 꽠 꽡 꽢 꽣 꽤 꽥 꽦 꽧 꽨 꽩 꽪 꽫 꽬 꽭 꽮 꽯 꽰 꽱 꽲 꽳 꽴 꽵 꽶 꽷 꽸 꽹 꽺 꽻 꽼 꽽 꽾 꽿 꾀 꾁 꾂 꾃 꾄 꾅 꾆 꾇 꾈 꾉 꾊 꾋 꾌 꾍 꾎 꾏 꾐 꾑 꾒 꾓 꾔 꾕 꾖 꾗 꾘 꾙 꾚 꾛 꾜 꾝 꾞 꾟 꾠 꾡 꾢 꾣 꾤 꾥 꾦 꾧 꾨 꾩 꾪 꾫 꾬 꾭 꾮 꾯 꾰 꾱 꾲 꾳 꾴 꾵 꾶 꾷 꾸 꾹 꾺 꾻 꾼 꾽 꾾 꾿 꿀 꿁 꿂 꿃 꿄 꿅 꿆 꿇 꿈 꿉 꿊 꿋 꿌 꿍 꿎 꿏 꿐 꿑 꿒 꿓 꿔 꿕 꿖 꿗 꿘 꿙 꿚 꿛 꿜 꿝 꿞 꿟 꿠 꿡 꿢 꿣 꿤 꿥 꿦 꿧 꿨 꿩 꿪 꿫 꿬 꿭 꿮 꿯 꿰 꿱 꿲 꿳 꿴 꿵 꿶 꿷</t>
        </is>
      </c>
      <c r="P266" s="37" t="inlineStr"/>
      <c r="Q266" s="38" t="inlineStr"/>
      <c r="R266" s="43" t="inlineStr"/>
      <c r="S266" s="40" t="n"/>
      <c r="V266" s="14">
        <f>(LEN(O266)+1)/2</f>
        <v/>
      </c>
      <c r="W266" s="14">
        <f>ROUNDDOWN((LEN(P266)+1)/2,0)</f>
        <v/>
      </c>
      <c r="X266" s="14">
        <f>ROUNDDOWN((LEN(Q266)+1)/2,0)</f>
        <v/>
      </c>
      <c r="Y266" s="14">
        <f>ROUNDDOWN((LEN(R266)+1)/2,0)</f>
        <v/>
      </c>
      <c r="Z266" s="14">
        <f>ROUNDDOWN((LEN(S266)+1)/2,0)</f>
        <v/>
      </c>
      <c r="AA266" s="56" t="n">
        <v>46150.55861343077</v>
      </c>
    </row>
    <row r="267" ht="102" customHeight="1">
      <c r="B267" s="46" t="inlineStr">
        <is>
          <t>U+AFF8-U+B0F5</t>
        </is>
      </c>
      <c r="C267" s="46" t="inlineStr">
        <is>
          <t>Hangul Syllables</t>
        </is>
      </c>
      <c r="D267" s="54">
        <f>HEX2DEC(MID(B267,3,FIND("-",E267)-3))</f>
        <v/>
      </c>
      <c r="E267" s="46" t="inlineStr">
        <is>
          <t>U+AC00-U+D7AF</t>
        </is>
      </c>
      <c r="F267" s="12" t="n">
        <v>3</v>
      </c>
      <c r="J267" s="19">
        <f>ROUNDDOWN(W267,0)/$V267</f>
        <v/>
      </c>
      <c r="K267" s="19">
        <f>ROUNDDOWN(X267,0)/$V267</f>
        <v/>
      </c>
      <c r="L267" s="19">
        <f>ROUNDDOWN(Y267,0)/$V267</f>
        <v/>
      </c>
      <c r="M267" s="19">
        <f>ROUNDDOWN(Z267,0)/$V267</f>
        <v/>
      </c>
      <c r="O267" s="36" t="inlineStr">
        <is>
          <t>꿸 꿹 꿺 꿻 꿼 꿽 꿾 꿿 뀀 뀁 뀂 뀃 뀄 뀅 뀆 뀇 뀈 뀉 뀊 뀋 뀌 뀍 뀎 뀏 뀐 뀑 뀒 뀓 뀔 뀕 뀖 뀗 뀘 뀙 뀚 뀛 뀜 뀝 뀞 뀟 뀠 뀡 뀢 뀣 뀤 뀥 뀦 뀧 뀨 뀩 뀪 뀫 뀬 뀭 뀮 뀯 뀰 뀱 뀲 뀳 뀴 뀵 뀶 뀷 뀸 뀹 뀺 뀻 뀼 뀽 뀾 뀿 끀 끁 끂 끃 끄 끅 끆 끇 끈 끉 끊 끋 끌 끍 끎 끏 끐 끑 끒 끓 끔 끕 끖 끗 끘 끙 끚 끛 끜 끝 끞 끟 끠 끡 끢 끣 끤 끥 끦 끧 끨 끩 끪 끫 끬 끭 끮 끯 끰 끱 끲 끳 끴 끵 끶 끷 끸 끹 끺 끻 끼 끽 끾 끿 낀 낁 낂 낃 낄 낅 낆 낇 낈 낉 낊 낋 낌 낍 낎 낏 낐 낑 낒 낓 낔 낕 낖 낗 나 낙 낚 낛 난 낝 낞 낟 날 낡 낢 낣 낤 낥 낦 낧 남 납 낪 낫 났 낭 낮 낯 낰 낱 낲 낳 내 낵 낶 낷 낸 낹 낺 낻 낼 낽 낾 낿 냀 냁 냂 냃 냄 냅 냆 냇 냈 냉 냊 냋 냌 냍 냎 냏 냐 냑 냒 냓 냔 냕 냖 냗 냘 냙 냚 냛 냜 냝 냞 냟 냠 냡 냢 냣 냤 냥 냦 냧 냨 냩 냪 냫 냬 냭 냮 냯 냰 냱 냲 냳 냴 냵</t>
        </is>
      </c>
      <c r="P267" s="37" t="inlineStr"/>
      <c r="Q267" s="38" t="inlineStr"/>
      <c r="R267" s="43" t="inlineStr"/>
      <c r="S267" s="40" t="n"/>
      <c r="V267" s="14">
        <f>(LEN(O267)+1)/2</f>
        <v/>
      </c>
      <c r="W267" s="14">
        <f>ROUNDDOWN((LEN(P267)+1)/2,0)</f>
        <v/>
      </c>
      <c r="X267" s="14">
        <f>ROUNDDOWN((LEN(Q267)+1)/2,0)</f>
        <v/>
      </c>
      <c r="Y267" s="14">
        <f>ROUNDDOWN((LEN(R267)+1)/2,0)</f>
        <v/>
      </c>
      <c r="Z267" s="14">
        <f>ROUNDDOWN((LEN(S267)+1)/2,0)</f>
        <v/>
      </c>
      <c r="AA267" s="56" t="n">
        <v>46150.55861343651</v>
      </c>
    </row>
    <row r="268" ht="102" customHeight="1">
      <c r="B268" s="46" t="inlineStr">
        <is>
          <t>U+B0F6-U+B1F3</t>
        </is>
      </c>
      <c r="C268" s="46" t="inlineStr">
        <is>
          <t>Hangul Syllables</t>
        </is>
      </c>
      <c r="D268" s="54">
        <f>HEX2DEC(MID(B268,3,FIND("-",E268)-3))</f>
        <v/>
      </c>
      <c r="E268" s="46" t="inlineStr">
        <is>
          <t>U+AC00-U+D7AF</t>
        </is>
      </c>
      <c r="F268" s="12" t="n">
        <v>3</v>
      </c>
      <c r="J268" s="19">
        <f>ROUNDDOWN(W268,0)/$V268</f>
        <v/>
      </c>
      <c r="K268" s="19">
        <f>ROUNDDOWN(X268,0)/$V268</f>
        <v/>
      </c>
      <c r="L268" s="19">
        <f>ROUNDDOWN(Y268,0)/$V268</f>
        <v/>
      </c>
      <c r="M268" s="19">
        <f>ROUNDDOWN(Z268,0)/$V268</f>
        <v/>
      </c>
      <c r="O268" s="36" t="inlineStr">
        <is>
          <t>냶 냷 냸 냹 냺 냻 냼 냽 냾 냿 넀 넁 넂 넃 넄 넅 넆 넇 너 넉 넊 넋 넌 넍 넎 넏 널 넑 넒 넓 넔 넕 넖 넗 넘 넙 넚 넛 넜 넝 넞 넟 넠 넡 넢 넣 네 넥 넦 넧 넨 넩 넪 넫 넬 넭 넮 넯 넰 넱 넲 넳 넴 넵 넶 넷 넸 넹 넺 넻 넼 넽 넾 넿 녀 녁 녂 녃 년 녅 녆 녇 녈 녉 녊 녋 녌 녍 녎 녏 념 녑 녒 녓 녔 녕 녖 녗 녘 녙 녚 녛 녜 녝 녞 녟 녠 녡 녢 녣 녤 녥 녦 녧 녨 녩 녪 녫 녬 녭 녮 녯 녰 녱 녲 녳 녴 녵 녶 녷 노 녹 녺 녻 논 녽 녾 녿 놀 놁 놂 놃 놄 놅 놆 놇 놈 놉 놊 놋 놌 농 놎 놏 놐 놑 높 놓 놔 놕 놖 놗 놘 놙 놚 놛 놜 놝 놞 놟 놠 놡 놢 놣 놤 놥 놦 놧 놨 놩 놪 놫 놬 놭 놮 놯 놰 놱 놲 놳 놴 놵 놶 놷 놸 놹 놺 놻 놼 놽 놾 놿 뇀 뇁 뇂 뇃 뇄 뇅 뇆 뇇 뇈 뇉 뇊 뇋 뇌 뇍 뇎 뇏 뇐 뇑 뇒 뇓 뇔 뇕 뇖 뇗 뇘 뇙 뇚 뇛 뇜 뇝 뇞 뇟 뇠 뇡 뇢 뇣 뇤 뇥 뇦 뇧 뇨 뇩 뇪 뇫 뇬 뇭 뇮 뇯 뇰 뇱 뇲 뇳</t>
        </is>
      </c>
      <c r="P268" s="37" t="inlineStr"/>
      <c r="Q268" s="38" t="inlineStr"/>
      <c r="R268" s="43" t="inlineStr"/>
      <c r="S268" s="40" t="n"/>
      <c r="V268" s="14">
        <f>(LEN(O268)+1)/2</f>
        <v/>
      </c>
      <c r="W268" s="14">
        <f>ROUNDDOWN((LEN(P268)+1)/2,0)</f>
        <v/>
      </c>
      <c r="X268" s="14">
        <f>ROUNDDOWN((LEN(Q268)+1)/2,0)</f>
        <v/>
      </c>
      <c r="Y268" s="14">
        <f>ROUNDDOWN((LEN(R268)+1)/2,0)</f>
        <v/>
      </c>
      <c r="Z268" s="14">
        <f>ROUNDDOWN((LEN(S268)+1)/2,0)</f>
        <v/>
      </c>
      <c r="AA268" s="56" t="n">
        <v>46150.55861344315</v>
      </c>
    </row>
    <row r="269" ht="102" customHeight="1">
      <c r="B269" s="46" t="inlineStr">
        <is>
          <t>U+B1F4-U+B2F1</t>
        </is>
      </c>
      <c r="C269" s="46" t="inlineStr">
        <is>
          <t>Hangul Syllables</t>
        </is>
      </c>
      <c r="D269" s="54">
        <f>HEX2DEC(MID(B269,3,FIND("-",E269)-3))</f>
        <v/>
      </c>
      <c r="E269" s="46" t="inlineStr">
        <is>
          <t>U+AC00-U+D7AF</t>
        </is>
      </c>
      <c r="F269" s="12" t="n">
        <v>3</v>
      </c>
      <c r="J269" s="19">
        <f>ROUNDDOWN(W269,0)/$V269</f>
        <v/>
      </c>
      <c r="K269" s="19">
        <f>ROUNDDOWN(X269,0)/$V269</f>
        <v/>
      </c>
      <c r="L269" s="19">
        <f>ROUNDDOWN(Y269,0)/$V269</f>
        <v/>
      </c>
      <c r="M269" s="19">
        <f>ROUNDDOWN(Z269,0)/$V269</f>
        <v/>
      </c>
      <c r="O269" s="36" t="inlineStr">
        <is>
          <t>뇴 뇵 뇶 뇷 뇸 뇹 뇺 뇻 뇼 뇽 뇾 뇿 눀 눁 눂 눃 누 눅 눆 눇 눈 눉 눊 눋 눌 눍 눎 눏 눐 눑 눒 눓 눔 눕 눖 눗 눘 눙 눚 눛 눜 눝 눞 눟 눠 눡 눢 눣 눤 눥 눦 눧 눨 눩 눪 눫 눬 눭 눮 눯 눰 눱 눲 눳 눴 눵 눶 눷 눸 눹 눺 눻 눼 눽 눾 눿 뉀 뉁 뉂 뉃 뉄 뉅 뉆 뉇 뉈 뉉 뉊 뉋 뉌 뉍 뉎 뉏 뉐 뉑 뉒 뉓 뉔 뉕 뉖 뉗 뉘 뉙 뉚 뉛 뉜 뉝 뉞 뉟 뉠 뉡 뉢 뉣 뉤 뉥 뉦 뉧 뉨 뉩 뉪 뉫 뉬 뉭 뉮 뉯 뉰 뉱 뉲 뉳 뉴 뉵 뉶 뉷 뉸 뉹 뉺 뉻 뉼 뉽 뉾 뉿 늀 늁 늂 늃 늄 늅 늆 늇 늈 늉 늊 늋 늌 늍 늎 늏 느 늑 늒 늓 는 늕 늖 늗 늘 늙 늚 늛 늜 늝 늞 늟 늠 늡 늢 늣 늤 능 늦 늧 늨 늩 늪 늫 늬 늭 늮 늯 늰 늱 늲 늳 늴 늵 늶 늷 늸 늹 늺 늻 늼 늽 늾 늿 닀 닁 닂 닃 닄 닅 닆 닇 니 닉 닊 닋 닌 닍 닎 닏 닐 닑 닒 닓 닔 닕 닖 닗 님 닙 닚 닛 닜 닝 닞 닟 닠 닡 닢 닣 다 닥 닦 닧 단 닩 닪 닫 달 닭 닮 닯 닰 닱</t>
        </is>
      </c>
      <c r="P269" s="37" t="inlineStr"/>
      <c r="Q269" s="38" t="inlineStr"/>
      <c r="R269" s="43" t="inlineStr"/>
      <c r="S269" s="40" t="n"/>
      <c r="V269" s="14">
        <f>(LEN(O269)+1)/2</f>
        <v/>
      </c>
      <c r="W269" s="14">
        <f>ROUNDDOWN((LEN(P269)+1)/2,0)</f>
        <v/>
      </c>
      <c r="X269" s="14">
        <f>ROUNDDOWN((LEN(Q269)+1)/2,0)</f>
        <v/>
      </c>
      <c r="Y269" s="14">
        <f>ROUNDDOWN((LEN(R269)+1)/2,0)</f>
        <v/>
      </c>
      <c r="Z269" s="14">
        <f>ROUNDDOWN((LEN(S269)+1)/2,0)</f>
        <v/>
      </c>
      <c r="AA269" s="56" t="n">
        <v>46150.55861344952</v>
      </c>
    </row>
    <row r="270" ht="102" customHeight="1">
      <c r="B270" s="46" t="inlineStr">
        <is>
          <t>U+B2F2-U+B3EF</t>
        </is>
      </c>
      <c r="C270" s="46" t="inlineStr">
        <is>
          <t>Hangul Syllables</t>
        </is>
      </c>
      <c r="D270" s="54">
        <f>HEX2DEC(MID(B270,3,FIND("-",E270)-3))</f>
        <v/>
      </c>
      <c r="E270" s="46" t="inlineStr">
        <is>
          <t>U+AC00-U+D7AF</t>
        </is>
      </c>
      <c r="F270" s="12" t="n">
        <v>3</v>
      </c>
      <c r="J270" s="19">
        <f>ROUNDDOWN(W270,0)/$V270</f>
        <v/>
      </c>
      <c r="K270" s="19">
        <f>ROUNDDOWN(X270,0)/$V270</f>
        <v/>
      </c>
      <c r="L270" s="19">
        <f>ROUNDDOWN(Y270,0)/$V270</f>
        <v/>
      </c>
      <c r="M270" s="19">
        <f>ROUNDDOWN(Z270,0)/$V270</f>
        <v/>
      </c>
      <c r="O270" s="36" t="inlineStr">
        <is>
          <t>닲 닳 담 답 닶 닷 닸 당 닺 닻 닼 닽 닾 닿 대 댁 댂 댃 댄 댅 댆 댇 댈 댉 댊 댋 댌 댍 댎 댏 댐 댑 댒 댓 댔 댕 댖 댗 댘 댙 댚 댛 댜 댝 댞 댟 댠 댡 댢 댣 댤 댥 댦 댧 댨 댩 댪 댫 댬 댭 댮 댯 댰 댱 댲 댳 댴 댵 댶 댷 댸 댹 댺 댻 댼 댽 댾 댿 덀 덁 덂 덃 덄 덅 덆 덇 덈 덉 덊 덋 덌 덍 덎 덏 덐 덑 덒 덓 더 덕 덖 덗 던 덙 덚 덛 덜 덝 덞 덟 덠 덡 덢 덣 덤 덥 덦 덧 덨 덩 덪 덫 덬 덭 덮 덯 데 덱 덲 덳 덴 덵 덶 덷 델 덹 덺 덻 덼 덽 덾 덿 뎀 뎁 뎂 뎃 뎄 뎅 뎆 뎇 뎈 뎉 뎊 뎋 뎌 뎍 뎎 뎏 뎐 뎑 뎒 뎓 뎔 뎕 뎖 뎗 뎘 뎙 뎚 뎛 뎜 뎝 뎞 뎟 뎠 뎡 뎢 뎣 뎤 뎥 뎦 뎧 뎨 뎩 뎪 뎫 뎬 뎭 뎮 뎯 뎰 뎱 뎲 뎳 뎴 뎵 뎶 뎷 뎸 뎹 뎺 뎻 뎼 뎽 뎾 뎿 돀 돁 돂 돃 도 독 돆 돇 돈 돉 돊 돋 돌 돍 돎 돏 돐 돑 돒 돓 돔 돕 돖 돗 돘 동 돚 돛 돜 돝 돞 돟 돠 돡 돢 돣 돤 돥 돦 돧 돨 돩 돪 돫 돬 돭 돮 돯</t>
        </is>
      </c>
      <c r="P270" s="37" t="inlineStr"/>
      <c r="Q270" s="38" t="inlineStr"/>
      <c r="R270" s="43" t="inlineStr"/>
      <c r="S270" s="40" t="n"/>
      <c r="V270" s="14">
        <f>(LEN(O270)+1)/2</f>
        <v/>
      </c>
      <c r="W270" s="14">
        <f>ROUNDDOWN((LEN(P270)+1)/2,0)</f>
        <v/>
      </c>
      <c r="X270" s="14">
        <f>ROUNDDOWN((LEN(Q270)+1)/2,0)</f>
        <v/>
      </c>
      <c r="Y270" s="14">
        <f>ROUNDDOWN((LEN(R270)+1)/2,0)</f>
        <v/>
      </c>
      <c r="Z270" s="14">
        <f>ROUNDDOWN((LEN(S270)+1)/2,0)</f>
        <v/>
      </c>
      <c r="AA270" s="56" t="n">
        <v>46150.55861345548</v>
      </c>
    </row>
    <row r="271" ht="102" customHeight="1">
      <c r="B271" s="46" t="inlineStr">
        <is>
          <t>U+B3F0-U+B4ED</t>
        </is>
      </c>
      <c r="C271" s="46" t="inlineStr">
        <is>
          <t>Hangul Syllables</t>
        </is>
      </c>
      <c r="D271" s="54">
        <f>HEX2DEC(MID(B271,3,FIND("-",E271)-3))</f>
        <v/>
      </c>
      <c r="E271" s="46" t="inlineStr">
        <is>
          <t>U+AC00-U+D7AF</t>
        </is>
      </c>
      <c r="F271" s="12" t="n">
        <v>3</v>
      </c>
      <c r="J271" s="19">
        <f>ROUNDDOWN(W271,0)/$V271</f>
        <v/>
      </c>
      <c r="K271" s="19">
        <f>ROUNDDOWN(X271,0)/$V271</f>
        <v/>
      </c>
      <c r="L271" s="19">
        <f>ROUNDDOWN(Y271,0)/$V271</f>
        <v/>
      </c>
      <c r="M271" s="19">
        <f>ROUNDDOWN(Z271,0)/$V271</f>
        <v/>
      </c>
      <c r="O271" s="36" t="inlineStr">
        <is>
          <t>돰 돱 돲 돳 돴 돵 돶 돷 돸 돹 돺 돻 돼 돽 돾 돿 됀 됁 됂 됃 됄 됅 됆 됇 됈 됉 됊 됋 됌 됍 됎 됏 됐 됑 됒 됓 됔 됕 됖 됗 되 됙 됚 됛 된 됝 됞 됟 될 됡 됢 됣 됤 됥 됦 됧 됨 됩 됪 됫 됬 됭 됮 됯 됰 됱 됲 됳 됴 됵 됶 됷 됸 됹 됺 됻 됼 됽 됾 됿 둀 둁 둂 둃 둄 둅 둆 둇 둈 둉 둊 둋 둌 둍 둎 둏 두 둑 둒 둓 둔 둕 둖 둗 둘 둙 둚 둛 둜 둝 둞 둟 둠 둡 둢 둣 둤 둥 둦 둧 둨 둩 둪 둫 둬 둭 둮 둯 둰 둱 둲 둳 둴 둵 둶 둷 둸 둹 둺 둻 둼 둽 둾 둿 뒀 뒁 뒂 뒃 뒄 뒅 뒆 뒇 뒈 뒉 뒊 뒋 뒌 뒍 뒎 뒏 뒐 뒑 뒒 뒓 뒔 뒕 뒖 뒗 뒘 뒙 뒚 뒛 뒜 뒝 뒞 뒟 뒠 뒡 뒢 뒣 뒤 뒥 뒦 뒧 뒨 뒩 뒪 뒫 뒬 뒭 뒮 뒯 뒰 뒱 뒲 뒳 뒴 뒵 뒶 뒷 뒸 뒹 뒺 뒻 뒼 뒽 뒾 뒿 듀 듁 듂 듃 듄 듅 듆 듇 듈 듉 듊 듋 듌 듍 듎 듏 듐 듑 듒 듓 듔 듕 듖 듗 듘 듙 듚 듛 드 득 듞 듟 든 듡 듢 듣 들 듥 듦 듧 듨 듩 듪 듫 듬 듭</t>
        </is>
      </c>
      <c r="P271" s="37" t="inlineStr"/>
      <c r="Q271" s="38" t="inlineStr"/>
      <c r="R271" s="43" t="inlineStr"/>
      <c r="S271" s="40" t="n"/>
      <c r="V271" s="14">
        <f>(LEN(O271)+1)/2</f>
        <v/>
      </c>
      <c r="W271" s="14">
        <f>ROUNDDOWN((LEN(P271)+1)/2,0)</f>
        <v/>
      </c>
      <c r="X271" s="14">
        <f>ROUNDDOWN((LEN(Q271)+1)/2,0)</f>
        <v/>
      </c>
      <c r="Y271" s="14">
        <f>ROUNDDOWN((LEN(R271)+1)/2,0)</f>
        <v/>
      </c>
      <c r="Z271" s="14">
        <f>ROUNDDOWN((LEN(S271)+1)/2,0)</f>
        <v/>
      </c>
      <c r="AA271" s="56" t="n">
        <v>46150.55861346212</v>
      </c>
    </row>
    <row r="272" ht="102" customHeight="1">
      <c r="B272" s="46" t="inlineStr">
        <is>
          <t>U+B4EE-U+B5EB</t>
        </is>
      </c>
      <c r="C272" s="46" t="inlineStr">
        <is>
          <t>Hangul Syllables</t>
        </is>
      </c>
      <c r="D272" s="54">
        <f>HEX2DEC(MID(B272,3,FIND("-",E272)-3))</f>
        <v/>
      </c>
      <c r="E272" s="46" t="inlineStr">
        <is>
          <t>U+AC00-U+D7AF</t>
        </is>
      </c>
      <c r="F272" s="12" t="n">
        <v>3</v>
      </c>
      <c r="J272" s="19">
        <f>ROUNDDOWN(W272,0)/$V272</f>
        <v/>
      </c>
      <c r="K272" s="19">
        <f>ROUNDDOWN(X272,0)/$V272</f>
        <v/>
      </c>
      <c r="L272" s="19">
        <f>ROUNDDOWN(Y272,0)/$V272</f>
        <v/>
      </c>
      <c r="M272" s="19">
        <f>ROUNDDOWN(Z272,0)/$V272</f>
        <v/>
      </c>
      <c r="O272" s="36" t="inlineStr">
        <is>
          <t>듮 듯 듰 등 듲 듳 듴 듵 듶 듷 듸 듹 듺 듻 듼 듽 듾 듿 딀 딁 딂 딃 딄 딅 딆 딇 딈 딉 딊 딋 딌 딍 딎 딏 딐 딑 딒 딓 디 딕 딖 딗 딘 딙 딚 딛 딜 딝 딞 딟 딠 딡 딢 딣 딤 딥 딦 딧 딨 딩 딪 딫 딬 딭 딮 딯 따 딱 딲 딳 딴 딵 딶 딷 딸 딹 딺 딻 딼 딽 딾 딿 땀 땁 땂 땃 땄 땅 땆 땇 땈 땉 땊 땋 때 땍 땎 땏 땐 땑 땒 땓 땔 땕 땖 땗 땘 땙 땚 땛 땜 땝 땞 땟 땠 땡 땢 땣 땤 땥 땦 땧 땨 땩 땪 땫 땬 땭 땮 땯 땰 땱 땲 땳 땴 땵 땶 땷 땸 땹 땺 땻 땼 땽 땾 땿 떀 떁 떂 떃 떄 떅 떆 떇 떈 떉 떊 떋 떌 떍 떎 떏 떐 떑 떒 떓 떔 떕 떖 떗 떘 떙 떚 떛 떜 떝 떞 떟 떠 떡 떢 떣 떤 떥 떦 떧 떨 떩 떪 떫 떬 떭 떮 떯 떰 떱 떲 떳 떴 떵 떶 떷 떸 떹 떺 떻 떼 떽 떾 떿 뗀 뗁 뗂 뗃 뗄 뗅 뗆 뗇 뗈 뗉 뗊 뗋 뗌 뗍 뗎 뗏 뗐 뗑 뗒 뗓 뗔 뗕 뗖 뗗 뗘 뗙 뗚 뗛 뗜 뗝 뗞 뗟 뗠 뗡 뗢 뗣 뗤 뗥 뗦 뗧 뗨 뗩 뗪 뗫</t>
        </is>
      </c>
      <c r="P272" s="37" t="inlineStr"/>
      <c r="Q272" s="38" t="inlineStr"/>
      <c r="R272" s="43" t="inlineStr"/>
      <c r="S272" s="40" t="n"/>
      <c r="V272" s="14">
        <f>(LEN(O272)+1)/2</f>
        <v/>
      </c>
      <c r="W272" s="14">
        <f>ROUNDDOWN((LEN(P272)+1)/2,0)</f>
        <v/>
      </c>
      <c r="X272" s="14">
        <f>ROUNDDOWN((LEN(Q272)+1)/2,0)</f>
        <v/>
      </c>
      <c r="Y272" s="14">
        <f>ROUNDDOWN((LEN(R272)+1)/2,0)</f>
        <v/>
      </c>
      <c r="Z272" s="14">
        <f>ROUNDDOWN((LEN(S272)+1)/2,0)</f>
        <v/>
      </c>
      <c r="AA272" s="56" t="n">
        <v>46150.55861346833</v>
      </c>
    </row>
    <row r="273" ht="102" customHeight="1">
      <c r="B273" s="46" t="inlineStr">
        <is>
          <t>U+B5EC-U+B6E9</t>
        </is>
      </c>
      <c r="C273" s="46" t="inlineStr">
        <is>
          <t>Hangul Syllables</t>
        </is>
      </c>
      <c r="D273" s="54">
        <f>HEX2DEC(MID(B273,3,FIND("-",E273)-3))</f>
        <v/>
      </c>
      <c r="E273" s="46" t="inlineStr">
        <is>
          <t>U+AC00-U+D7AF</t>
        </is>
      </c>
      <c r="F273" s="12" t="n">
        <v>3</v>
      </c>
      <c r="J273" s="19">
        <f>ROUNDDOWN(W273,0)/$V273</f>
        <v/>
      </c>
      <c r="K273" s="19">
        <f>ROUNDDOWN(X273,0)/$V273</f>
        <v/>
      </c>
      <c r="L273" s="19">
        <f>ROUNDDOWN(Y273,0)/$V273</f>
        <v/>
      </c>
      <c r="M273" s="19">
        <f>ROUNDDOWN(Z273,0)/$V273</f>
        <v/>
      </c>
      <c r="O273" s="36" t="inlineStr">
        <is>
          <t>뗬 뗭 뗮 뗯 뗰 뗱 뗲 뗳 뗴 뗵 뗶 뗷 뗸 뗹 뗺 뗻 뗼 뗽 뗾 뗿 똀 똁 똂 똃 똄 똅 똆 똇 똈 똉 똊 똋 똌 똍 똎 똏 또 똑 똒 똓 똔 똕 똖 똗 똘 똙 똚 똛 똜 똝 똞 똟 똠 똡 똢 똣 똤 똥 똦 똧 똨 똩 똪 똫 똬 똭 똮 똯 똰 똱 똲 똳 똴 똵 똶 똷 똸 똹 똺 똻 똼 똽 똾 똿 뙀 뙁 뙂 뙃 뙄 뙅 뙆 뙇 뙈 뙉 뙊 뙋 뙌 뙍 뙎 뙏 뙐 뙑 뙒 뙓 뙔 뙕 뙖 뙗 뙘 뙙 뙚 뙛 뙜 뙝 뙞 뙟 뙠 뙡 뙢 뙣 뙤 뙥 뙦 뙧 뙨 뙩 뙪 뙫 뙬 뙭 뙮 뙯 뙰 뙱 뙲 뙳 뙴 뙵 뙶 뙷 뙸 뙹 뙺 뙻 뙼 뙽 뙾 뙿 뚀 뚁 뚂 뚃 뚄 뚅 뚆 뚇 뚈 뚉 뚊 뚋 뚌 뚍 뚎 뚏 뚐 뚑 뚒 뚓 뚔 뚕 뚖 뚗 뚘 뚙 뚚 뚛 뚜 뚝 뚞 뚟 뚠 뚡 뚢 뚣 뚤 뚥 뚦 뚧 뚨 뚩 뚪 뚫 뚬 뚭 뚮 뚯 뚰 뚱 뚲 뚳 뚴 뚵 뚶 뚷 뚸 뚹 뚺 뚻 뚼 뚽 뚾 뚿 뛀 뛁 뛂 뛃 뛄 뛅 뛆 뛇 뛈 뛉 뛊 뛋 뛌 뛍 뛎 뛏 뛐 뛑 뛒 뛓 뛔 뛕 뛖 뛗 뛘 뛙 뛚 뛛 뛜 뛝 뛞 뛟 뛠 뛡 뛢 뛣 뛤 뛥 뛦 뛧 뛨 뛩</t>
        </is>
      </c>
      <c r="P273" s="37" t="inlineStr"/>
      <c r="Q273" s="38" t="inlineStr"/>
      <c r="R273" s="43" t="inlineStr"/>
      <c r="S273" s="40" t="n"/>
      <c r="V273" s="14">
        <f>(LEN(O273)+1)/2</f>
        <v/>
      </c>
      <c r="W273" s="14">
        <f>ROUNDDOWN((LEN(P273)+1)/2,0)</f>
        <v/>
      </c>
      <c r="X273" s="14">
        <f>ROUNDDOWN((LEN(Q273)+1)/2,0)</f>
        <v/>
      </c>
      <c r="Y273" s="14">
        <f>ROUNDDOWN((LEN(R273)+1)/2,0)</f>
        <v/>
      </c>
      <c r="Z273" s="14">
        <f>ROUNDDOWN((LEN(S273)+1)/2,0)</f>
        <v/>
      </c>
      <c r="AA273" s="56" t="n">
        <v>46150.55861347474</v>
      </c>
    </row>
    <row r="274" ht="102" customHeight="1">
      <c r="B274" s="46" t="inlineStr">
        <is>
          <t>U+B6EA-U+B7E7</t>
        </is>
      </c>
      <c r="C274" s="46" t="inlineStr">
        <is>
          <t>Hangul Syllables</t>
        </is>
      </c>
      <c r="D274" s="54">
        <f>HEX2DEC(MID(B274,3,FIND("-",E274)-3))</f>
        <v/>
      </c>
      <c r="E274" s="46" t="inlineStr">
        <is>
          <t>U+AC00-U+D7AF</t>
        </is>
      </c>
      <c r="F274" s="12" t="n">
        <v>3</v>
      </c>
      <c r="J274" s="19">
        <f>ROUNDDOWN(W274,0)/$V274</f>
        <v/>
      </c>
      <c r="K274" s="19">
        <f>ROUNDDOWN(X274,0)/$V274</f>
        <v/>
      </c>
      <c r="L274" s="19">
        <f>ROUNDDOWN(Y274,0)/$V274</f>
        <v/>
      </c>
      <c r="M274" s="19">
        <f>ROUNDDOWN(Z274,0)/$V274</f>
        <v/>
      </c>
      <c r="O274" s="36" t="inlineStr">
        <is>
          <t>뛪 뛫 뛬 뛭 뛮 뛯 뛰 뛱 뛲 뛳 뛴 뛵 뛶 뛷 뛸 뛹 뛺 뛻 뛼 뛽 뛾 뛿 뜀 뜁 뜂 뜃 뜄 뜅 뜆 뜇 뜈 뜉 뜊 뜋 뜌 뜍 뜎 뜏 뜐 뜑 뜒 뜓 뜔 뜕 뜖 뜗 뜘 뜙 뜚 뜛 뜜 뜝 뜞 뜟 뜠 뜡 뜢 뜣 뜤 뜥 뜦 뜧 뜨 뜩 뜪 뜫 뜬 뜭 뜮 뜯 뜰 뜱 뜲 뜳 뜴 뜵 뜶 뜷 뜸 뜹 뜺 뜻 뜼 뜽 뜾 뜿 띀 띁 띂 띃 띄 띅 띆 띇 띈 띉 띊 띋 띌 띍 띎 띏 띐 띑 띒 띓 띔 띕 띖 띗 띘 띙 띚 띛 띜 띝 띞 띟 띠 띡 띢 띣 띤 띥 띦 띧 띨 띩 띪 띫 띬 띭 띮 띯 띰 띱 띲 띳 띴 띵 띶 띷 띸 띹 띺 띻 라 락 띾 띿 란 랁 랂 랃 랄 랅 랆 랇 랈 랉 랊 랋 람 랍 랎 랏 랐 랑 랒 랓 랔 랕 랖 랗 래 랙 랚 랛 랜 랝 랞 랟 랠 랡 랢 랣 랤 랥 랦 랧 램 랩 랪 랫 랬 랭 랮 랯 랰 랱 랲 랳 랴 략 랶 랷 랸 랹 랺 랻 랼 랽 랾 랿 럀 럁 럂 럃 럄 럅 럆 럇 럈 량 럊 럋 럌 럍 럎 럏 럐 럑 럒 럓 럔 럕 럖 럗 럘 럙 럚 럛 럜 럝 럞 럟 럠 럡 럢 럣 럤 럥 럦 럧</t>
        </is>
      </c>
      <c r="P274" s="37" t="inlineStr"/>
      <c r="Q274" s="38" t="inlineStr"/>
      <c r="R274" s="43" t="inlineStr"/>
      <c r="S274" s="40" t="n"/>
      <c r="V274" s="14">
        <f>(LEN(O274)+1)/2</f>
        <v/>
      </c>
      <c r="W274" s="14">
        <f>ROUNDDOWN((LEN(P274)+1)/2,0)</f>
        <v/>
      </c>
      <c r="X274" s="14">
        <f>ROUNDDOWN((LEN(Q274)+1)/2,0)</f>
        <v/>
      </c>
      <c r="Y274" s="14">
        <f>ROUNDDOWN((LEN(R274)+1)/2,0)</f>
        <v/>
      </c>
      <c r="Z274" s="14">
        <f>ROUNDDOWN((LEN(S274)+1)/2,0)</f>
        <v/>
      </c>
      <c r="AA274" s="56" t="n">
        <v>46150.55861348081</v>
      </c>
    </row>
    <row r="275" ht="102" customHeight="1">
      <c r="B275" s="46" t="inlineStr">
        <is>
          <t>U+B7E8-U+B8E5</t>
        </is>
      </c>
      <c r="C275" s="46" t="inlineStr">
        <is>
          <t>Hangul Syllables</t>
        </is>
      </c>
      <c r="D275" s="54">
        <f>HEX2DEC(MID(B275,3,FIND("-",E275)-3))</f>
        <v/>
      </c>
      <c r="E275" s="46" t="inlineStr">
        <is>
          <t>U+AC00-U+D7AF</t>
        </is>
      </c>
      <c r="F275" s="12" t="n">
        <v>3</v>
      </c>
      <c r="J275" s="19">
        <f>ROUNDDOWN(W275,0)/$V275</f>
        <v/>
      </c>
      <c r="K275" s="19">
        <f>ROUNDDOWN(X275,0)/$V275</f>
        <v/>
      </c>
      <c r="L275" s="19">
        <f>ROUNDDOWN(Y275,0)/$V275</f>
        <v/>
      </c>
      <c r="M275" s="19">
        <f>ROUNDDOWN(Z275,0)/$V275</f>
        <v/>
      </c>
      <c r="O275" s="36" t="inlineStr">
        <is>
          <t>럨 럩 럪 럫 러 럭 럮 럯 런 럱 럲 럳 럴 럵 럶 럷 럸 럹 럺 럻 럼 럽 럾 럿 렀 렁 렂 렃 렄 렅 렆 렇 레 렉 렊 렋 렌 렍 렎 렏 렐 렑 렒 렓 렔 렕 렖 렗 렘 렙 렚 렛 렜 렝 렞 렟 렠 렡 렢 렣 려 력 렦 렧 련 렩 렪 렫 렬 렭 렮 렯 렰 렱 렲 렳 렴 렵 렶 렷 렸 령 렺 렻 렼 렽 렾 렿 례 롁 롂 롃 롄 롅 롆 롇 롈 롉 롊 롋 롌 롍 롎 롏 롐 롑 롒 롓 롔 롕 롖 롗 롘 롙 롚 롛 로 록 롞 롟 론 롡 롢 롣 롤 롥 롦 롧 롨 롩 롪 롫 롬 롭 롮 롯 롰 롱 롲 롳 롴 롵 롶 롷 롸 롹 롺 롻 롼 롽 롾 롿 뢀 뢁 뢂 뢃 뢄 뢅 뢆 뢇 뢈 뢉 뢊 뢋 뢌 뢍 뢎 뢏 뢐 뢑 뢒 뢓 뢔 뢕 뢖 뢗 뢘 뢙 뢚 뢛 뢜 뢝 뢞 뢟 뢠 뢡 뢢 뢣 뢤 뢥 뢦 뢧 뢨 뢩 뢪 뢫 뢬 뢭 뢮 뢯 뢰 뢱 뢲 뢳 뢴 뢵 뢶 뢷 뢸 뢹 뢺 뢻 뢼 뢽 뢾 뢿 룀 룁 룂 룃 룄 룅 룆 룇 룈 룉 룊 룋 료 룍 룎 룏 룐 룑 룒 룓 룔 룕 룖 룗 룘 룙 룚 룛 룜 룝 룞 룟 룠 룡 룢 룣 룤 룥</t>
        </is>
      </c>
      <c r="P275" s="37" t="inlineStr"/>
      <c r="Q275" s="38" t="inlineStr"/>
      <c r="R275" s="43" t="inlineStr"/>
      <c r="S275" s="40" t="n"/>
      <c r="V275" s="14">
        <f>(LEN(O275)+1)/2</f>
        <v/>
      </c>
      <c r="W275" s="14">
        <f>ROUNDDOWN((LEN(P275)+1)/2,0)</f>
        <v/>
      </c>
      <c r="X275" s="14">
        <f>ROUNDDOWN((LEN(Q275)+1)/2,0)</f>
        <v/>
      </c>
      <c r="Y275" s="14">
        <f>ROUNDDOWN((LEN(R275)+1)/2,0)</f>
        <v/>
      </c>
      <c r="Z275" s="14">
        <f>ROUNDDOWN((LEN(S275)+1)/2,0)</f>
        <v/>
      </c>
      <c r="AA275" s="56" t="n">
        <v>46150.55861348751</v>
      </c>
    </row>
    <row r="276" ht="102" customHeight="1">
      <c r="B276" s="46" t="inlineStr">
        <is>
          <t>U+B8E6-U+B9E3</t>
        </is>
      </c>
      <c r="C276" s="46" t="inlineStr">
        <is>
          <t>Hangul Syllables</t>
        </is>
      </c>
      <c r="D276" s="54">
        <f>HEX2DEC(MID(B276,3,FIND("-",E276)-3))</f>
        <v/>
      </c>
      <c r="E276" s="46" t="inlineStr">
        <is>
          <t>U+AC00-U+D7AF</t>
        </is>
      </c>
      <c r="F276" s="12" t="n">
        <v>3</v>
      </c>
      <c r="J276" s="19">
        <f>ROUNDDOWN(W276,0)/$V276</f>
        <v/>
      </c>
      <c r="K276" s="19">
        <f>ROUNDDOWN(X276,0)/$V276</f>
        <v/>
      </c>
      <c r="L276" s="19">
        <f>ROUNDDOWN(Y276,0)/$V276</f>
        <v/>
      </c>
      <c r="M276" s="19">
        <f>ROUNDDOWN(Z276,0)/$V276</f>
        <v/>
      </c>
      <c r="O276" s="36" t="inlineStr">
        <is>
          <t>룦 룧 루 룩 룪 룫 룬 룭 룮 룯 룰 룱 룲 룳 룴 룵 룶 룷 룸 룹 룺 룻 룼 룽 룾 룿 뤀 뤁 뤂 뤃 뤄 뤅 뤆 뤇 뤈 뤉 뤊 뤋 뤌 뤍 뤎 뤏 뤐 뤑 뤒 뤓 뤔 뤕 뤖 뤗 뤘 뤙 뤚 뤛 뤜 뤝 뤞 뤟 뤠 뤡 뤢 뤣 뤤 뤥 뤦 뤧 뤨 뤩 뤪 뤫 뤬 뤭 뤮 뤯 뤰 뤱 뤲 뤳 뤴 뤵 뤶 뤷 뤸 뤹 뤺 뤻 뤼 뤽 뤾 뤿 륀 륁 륂 륃 륄 륅 륆 륇 륈 륉 륊 륋 륌 륍 륎 륏 륐 륑 륒 륓 륔 륕 륖 륗 류 륙 륚 륛 륜 륝 륞 륟 률 륡 륢 륣 륤 륥 륦 륧 륨 륩 륪 륫 륬 륭 륮 륯 륰 륱 륲 륳 르 륵 륶 륷 른 륹 륺 륻 를 륽 륾 륿 릀 릁 릂 릃 름 릅 릆 릇 릈 릉 릊 릋 릌 릍 릎 릏 릐 릑 릒 릓 릔 릕 릖 릗 릘 릙 릚 릛 릜 릝 릞 릟 릠 릡 릢 릣 릤 릥 릦 릧 릨 릩 릪 릫 리 릭 릮 릯 린 릱 릲 릳 릴 릵 릶 릷 릸 릹 릺 릻 림 립 릾 릿 맀 링 맂 맃 맄 맅 맆 맇 마 막 맊 맋 만 맍 많 맏 말 맑 맒 맓 맔 맕 맖 맗 맘 맙 맚 맛 맜 망 맞 맟 맠 맡 맢 맣</t>
        </is>
      </c>
      <c r="P276" s="37" t="inlineStr"/>
      <c r="Q276" s="38" t="inlineStr"/>
      <c r="R276" s="43" t="inlineStr"/>
      <c r="S276" s="40" t="n"/>
      <c r="V276" s="14">
        <f>(LEN(O276)+1)/2</f>
        <v/>
      </c>
      <c r="W276" s="14">
        <f>ROUNDDOWN((LEN(P276)+1)/2,0)</f>
        <v/>
      </c>
      <c r="X276" s="14">
        <f>ROUNDDOWN((LEN(Q276)+1)/2,0)</f>
        <v/>
      </c>
      <c r="Y276" s="14">
        <f>ROUNDDOWN((LEN(R276)+1)/2,0)</f>
        <v/>
      </c>
      <c r="Z276" s="14">
        <f>ROUNDDOWN((LEN(S276)+1)/2,0)</f>
        <v/>
      </c>
      <c r="AA276" s="56" t="n">
        <v>46150.55861349403</v>
      </c>
    </row>
    <row r="277" ht="102" customHeight="1">
      <c r="B277" s="46" t="inlineStr">
        <is>
          <t>U+B9E4-U+BAE1</t>
        </is>
      </c>
      <c r="C277" s="46" t="inlineStr">
        <is>
          <t>Hangul Syllables</t>
        </is>
      </c>
      <c r="D277" s="54">
        <f>HEX2DEC(MID(B277,3,FIND("-",E277)-3))</f>
        <v/>
      </c>
      <c r="E277" s="46" t="inlineStr">
        <is>
          <t>U+AC00-U+D7AF</t>
        </is>
      </c>
      <c r="F277" s="12" t="n">
        <v>3</v>
      </c>
      <c r="J277" s="19">
        <f>ROUNDDOWN(W277,0)/$V277</f>
        <v/>
      </c>
      <c r="K277" s="19">
        <f>ROUNDDOWN(X277,0)/$V277</f>
        <v/>
      </c>
      <c r="L277" s="19">
        <f>ROUNDDOWN(Y277,0)/$V277</f>
        <v/>
      </c>
      <c r="M277" s="19">
        <f>ROUNDDOWN(Z277,0)/$V277</f>
        <v/>
      </c>
      <c r="O277" s="36" t="inlineStr">
        <is>
          <t>매 맥 맦 맧 맨 맩 맪 맫 맬 맭 맮 맯 맰 맱 맲 맳 맴 맵 맶 맷 맸 맹 맺 맻 맼 맽 맾 맿 먀 먁 먂 먃 먄 먅 먆 먇 먈 먉 먊 먋 먌 먍 먎 먏 먐 먑 먒 먓 먔 먕 먖 먗 먘 먙 먚 먛 먜 먝 먞 먟 먠 먡 먢 먣 먤 먥 먦 먧 먨 먩 먪 먫 먬 먭 먮 먯 먰 먱 먲 먳 먴 먵 먶 먷 머 먹 먺 먻 먼 먽 먾 먿 멀 멁 멂 멃 멄 멅 멆 멇 멈 멉 멊 멋 멌 멍 멎 멏 멐 멑 멒 멓 메 멕 멖 멗 멘 멙 멚 멛 멜 멝 멞 멟 멠 멡 멢 멣 멤 멥 멦 멧 멨 멩 멪 멫 멬 멭 멮 멯 며 멱 멲 멳 면 멵 멶 멷 멸 멹 멺 멻 멼 멽 멾 멿 몀 몁 몂 몃 몄 명 몆 몇 몈 몉 몊 몋 몌 몍 몎 몏 몐 몑 몒 몓 몔 몕 몖 몗 몘 몙 몚 몛 몜 몝 몞 몟 몠 몡 몢 몣 몤 몥 몦 몧 모 목 몪 몫 몬 몭 몮 몯 몰 몱 몲 몳 몴 몵 몶 몷 몸 몹 몺 못 몼 몽 몾 몿 뫀 뫁 뫂 뫃 뫄 뫅 뫆 뫇 뫈 뫉 뫊 뫋 뫌 뫍 뫎 뫏 뫐 뫑 뫒 뫓 뫔 뫕 뫖 뫗 뫘 뫙 뫚 뫛 뫜 뫝 뫞 뫟 뫠 뫡</t>
        </is>
      </c>
      <c r="P277" s="37" t="inlineStr"/>
      <c r="Q277" s="38" t="inlineStr"/>
      <c r="R277" s="43" t="inlineStr"/>
      <c r="S277" s="40" t="n"/>
      <c r="V277" s="14">
        <f>(LEN(O277)+1)/2</f>
        <v/>
      </c>
      <c r="W277" s="14">
        <f>ROUNDDOWN((LEN(P277)+1)/2,0)</f>
        <v/>
      </c>
      <c r="X277" s="14">
        <f>ROUNDDOWN((LEN(Q277)+1)/2,0)</f>
        <v/>
      </c>
      <c r="Y277" s="14">
        <f>ROUNDDOWN((LEN(R277)+1)/2,0)</f>
        <v/>
      </c>
      <c r="Z277" s="14">
        <f>ROUNDDOWN((LEN(S277)+1)/2,0)</f>
        <v/>
      </c>
      <c r="AA277" s="56" t="n">
        <v>46150.5586134998</v>
      </c>
    </row>
    <row r="278" ht="102" customHeight="1">
      <c r="B278" s="46" t="inlineStr">
        <is>
          <t>U+BAE2-U+BBDF</t>
        </is>
      </c>
      <c r="C278" s="46" t="inlineStr">
        <is>
          <t>Hangul Syllables</t>
        </is>
      </c>
      <c r="D278" s="54">
        <f>HEX2DEC(MID(B278,3,FIND("-",E278)-3))</f>
        <v/>
      </c>
      <c r="E278" s="46" t="inlineStr">
        <is>
          <t>U+AC00-U+D7AF</t>
        </is>
      </c>
      <c r="F278" s="12" t="n">
        <v>3</v>
      </c>
      <c r="J278" s="19">
        <f>ROUNDDOWN(W278,0)/$V278</f>
        <v/>
      </c>
      <c r="K278" s="19">
        <f>ROUNDDOWN(X278,0)/$V278</f>
        <v/>
      </c>
      <c r="L278" s="19">
        <f>ROUNDDOWN(Y278,0)/$V278</f>
        <v/>
      </c>
      <c r="M278" s="19">
        <f>ROUNDDOWN(Z278,0)/$V278</f>
        <v/>
      </c>
      <c r="O278" s="36" t="inlineStr">
        <is>
          <t>뫢 뫣 뫤 뫥 뫦 뫧 뫨 뫩 뫪 뫫 뫬 뫭 뫮 뫯 뫰 뫱 뫲 뫳 뫴 뫵 뫶 뫷 뫸 뫹 뫺 뫻 뫼 뫽 뫾 뫿 묀 묁 묂 묃 묄 묅 묆 묇 묈 묉 묊 묋 묌 묍 묎 묏 묐 묑 묒 묓 묔 묕 묖 묗 묘 묙 묚 묛 묜 묝 묞 묟 묠 묡 묢 묣 묤 묥 묦 묧 묨 묩 묪 묫 묬 묭 묮 묯 묰 묱 묲 묳 무 묵 묶 묷 문 묹 묺 묻 물 묽 묾 묿 뭀 뭁 뭂 뭃 뭄 뭅 뭆 뭇 뭈 뭉 뭊 뭋 뭌 뭍 뭎 뭏 뭐 뭑 뭒 뭓 뭔 뭕 뭖 뭗 뭘 뭙 뭚 뭛 뭜 뭝 뭞 뭟 뭠 뭡 뭢 뭣 뭤 뭥 뭦 뭧 뭨 뭩 뭪 뭫 뭬 뭭 뭮 뭯 뭰 뭱 뭲 뭳 뭴 뭵 뭶 뭷 뭸 뭹 뭺 뭻 뭼 뭽 뭾 뭿 뮀 뮁 뮂 뮃 뮄 뮅 뮆 뮇 뮈 뮉 뮊 뮋 뮌 뮍 뮎 뮏 뮐 뮑 뮒 뮓 뮔 뮕 뮖 뮗 뮘 뮙 뮚 뮛 뮜 뮝 뮞 뮟 뮠 뮡 뮢 뮣 뮤 뮥 뮦 뮧 뮨 뮩 뮪 뮫 뮬 뮭 뮮 뮯 뮰 뮱 뮲 뮳 뮴 뮵 뮶 뮷 뮸 뮹 뮺 뮻 뮼 뮽 뮾 뮿 므 믁 믂 믃 믄 믅 믆 믇 믈 믉 믊 믋 믌 믍 믎 믏 믐 믑 믒 믓 믔 믕 믖 믗 믘 믙 믚 믛 믜 믝 믞 믟</t>
        </is>
      </c>
      <c r="P278" s="37" t="inlineStr"/>
      <c r="Q278" s="38" t="inlineStr"/>
      <c r="R278" s="43" t="inlineStr"/>
      <c r="S278" s="40" t="n"/>
      <c r="V278" s="14">
        <f>(LEN(O278)+1)/2</f>
        <v/>
      </c>
      <c r="W278" s="14">
        <f>ROUNDDOWN((LEN(P278)+1)/2,0)</f>
        <v/>
      </c>
      <c r="X278" s="14">
        <f>ROUNDDOWN((LEN(Q278)+1)/2,0)</f>
        <v/>
      </c>
      <c r="Y278" s="14">
        <f>ROUNDDOWN((LEN(R278)+1)/2,0)</f>
        <v/>
      </c>
      <c r="Z278" s="14">
        <f>ROUNDDOWN((LEN(S278)+1)/2,0)</f>
        <v/>
      </c>
      <c r="AA278" s="56" t="n">
        <v>46150.55861350579</v>
      </c>
    </row>
    <row r="279" ht="102" customHeight="1">
      <c r="B279" s="46" t="inlineStr">
        <is>
          <t>U+BBE0-U+BCDD</t>
        </is>
      </c>
      <c r="C279" s="46" t="inlineStr">
        <is>
          <t>Hangul Syllables</t>
        </is>
      </c>
      <c r="D279" s="54">
        <f>HEX2DEC(MID(B279,3,FIND("-",E279)-3))</f>
        <v/>
      </c>
      <c r="E279" s="46" t="inlineStr">
        <is>
          <t>U+AC00-U+D7AF</t>
        </is>
      </c>
      <c r="F279" s="12" t="n">
        <v>3</v>
      </c>
      <c r="J279" s="19">
        <f>ROUNDDOWN(W279,0)/$V279</f>
        <v/>
      </c>
      <c r="K279" s="19">
        <f>ROUNDDOWN(X279,0)/$V279</f>
        <v/>
      </c>
      <c r="L279" s="19">
        <f>ROUNDDOWN(Y279,0)/$V279</f>
        <v/>
      </c>
      <c r="M279" s="19">
        <f>ROUNDDOWN(Z279,0)/$V279</f>
        <v/>
      </c>
      <c r="O279" s="36" t="inlineStr">
        <is>
          <t>믠 믡 믢 믣 믤 믥 믦 믧 믨 믩 믪 믫 믬 믭 믮 믯 믰 믱 믲 믳 믴 믵 믶 믷 미 믹 믺 믻 민 믽 믾 믿 밀 밁 밂 밃 밄 밅 밆 밇 밈 밉 밊 밋 밌 밍 밎 및 밐 밑 밒 밓 바 박 밖 밗 반 밙 밚 받 발 밝 밞 밟 밠 밡 밢 밣 밤 밥 밦 밧 밨 방 밪 밫 밬 밭 밮 밯 배 백 밲 밳 밴 밵 밶 밷 밸 밹 밺 밻 밼 밽 밾 밿 뱀 뱁 뱂 뱃 뱄 뱅 뱆 뱇 뱈 뱉 뱊 뱋 뱌 뱍 뱎 뱏 뱐 뱑 뱒 뱓 뱔 뱕 뱖 뱗 뱘 뱙 뱚 뱛 뱜 뱝 뱞 뱟 뱠 뱡 뱢 뱣 뱤 뱥 뱦 뱧 뱨 뱩 뱪 뱫 뱬 뱭 뱮 뱯 뱰 뱱 뱲 뱳 뱴 뱵 뱶 뱷 뱸 뱹 뱺 뱻 뱼 뱽 뱾 뱿 벀 벁 벂 벃 버 벅 벆 벇 번 벉 벊 벋 벌 벍 벎 벏 벐 벑 벒 벓 범 법 벖 벗 벘 벙 벚 벛 벜 벝 벞 벟 베 벡 벢 벣 벤 벥 벦 벧 벨 벩 벪 벫 벬 벭 벮 벯 벰 벱 벲 벳 벴 벵 벶 벷 벸 벹 벺 벻 벼 벽 벾 벿 변 볁 볂 볃 별 볅 볆 볇 볈 볉 볊 볋 볌 볍 볎 볏 볐 병 볒 볓 볔 볕 볖 볗 볘 볙 볚 볛 볜 볝</t>
        </is>
      </c>
      <c r="P279" s="37" t="inlineStr"/>
      <c r="Q279" s="38" t="inlineStr"/>
      <c r="R279" s="43" t="inlineStr"/>
      <c r="S279" s="40" t="n"/>
      <c r="V279" s="14">
        <f>(LEN(O279)+1)/2</f>
        <v/>
      </c>
      <c r="W279" s="14">
        <f>ROUNDDOWN((LEN(P279)+1)/2,0)</f>
        <v/>
      </c>
      <c r="X279" s="14">
        <f>ROUNDDOWN((LEN(Q279)+1)/2,0)</f>
        <v/>
      </c>
      <c r="Y279" s="14">
        <f>ROUNDDOWN((LEN(R279)+1)/2,0)</f>
        <v/>
      </c>
      <c r="Z279" s="14">
        <f>ROUNDDOWN((LEN(S279)+1)/2,0)</f>
        <v/>
      </c>
      <c r="AA279" s="56" t="n">
        <v>46150.55861351247</v>
      </c>
    </row>
    <row r="280" ht="102" customHeight="1">
      <c r="B280" s="46" t="inlineStr">
        <is>
          <t>U+BCDE-U+BDDB</t>
        </is>
      </c>
      <c r="C280" s="46" t="inlineStr">
        <is>
          <t>Hangul Syllables</t>
        </is>
      </c>
      <c r="D280" s="54">
        <f>HEX2DEC(MID(B280,3,FIND("-",E280)-3))</f>
        <v/>
      </c>
      <c r="E280" s="46" t="inlineStr">
        <is>
          <t>U+AC00-U+D7AF</t>
        </is>
      </c>
      <c r="F280" s="12" t="n">
        <v>3</v>
      </c>
      <c r="J280" s="19">
        <f>ROUNDDOWN(W280,0)/$V280</f>
        <v/>
      </c>
      <c r="K280" s="19">
        <f>ROUNDDOWN(X280,0)/$V280</f>
        <v/>
      </c>
      <c r="L280" s="19">
        <f>ROUNDDOWN(Y280,0)/$V280</f>
        <v/>
      </c>
      <c r="M280" s="19">
        <f>ROUNDDOWN(Z280,0)/$V280</f>
        <v/>
      </c>
      <c r="O280" s="36" t="inlineStr">
        <is>
          <t>볞 볟 볠 볡 볢 볣 볤 볥 볦 볧 볨 볩 볪 볫 볬 볭 볮 볯 볰 볱 볲 볳 보 복 볶 볷 본 볹 볺 볻 볼 볽 볾 볿 봀 봁 봂 봃 봄 봅 봆 봇 봈 봉 봊 봋 봌 봍 봎 봏 봐 봑 봒 봓 봔 봕 봖 봗 봘 봙 봚 봛 봜 봝 봞 봟 봠 봡 봢 봣 봤 봥 봦 봧 봨 봩 봪 봫 봬 봭 봮 봯 봰 봱 봲 봳 봴 봵 봶 봷 봸 봹 봺 봻 봼 봽 봾 봿 뵀 뵁 뵂 뵃 뵄 뵅 뵆 뵇 뵈 뵉 뵊 뵋 뵌 뵍 뵎 뵏 뵐 뵑 뵒 뵓 뵔 뵕 뵖 뵗 뵘 뵙 뵚 뵛 뵜 뵝 뵞 뵟 뵠 뵡 뵢 뵣 뵤 뵥 뵦 뵧 뵨 뵩 뵪 뵫 뵬 뵭 뵮 뵯 뵰 뵱 뵲 뵳 뵴 뵵 뵶 뵷 뵸 뵹 뵺 뵻 뵼 뵽 뵾 뵿 부 북 붂 붃 분 붅 붆 붇 불 붉 붊 붋 붌 붍 붎 붏 붐 붑 붒 붓 붔 붕 붖 붗 붘 붙 붚 붛 붜 붝 붞 붟 붠 붡 붢 붣 붤 붥 붦 붧 붨 붩 붪 붫 붬 붭 붮 붯 붰 붱 붲 붳 붴 붵 붶 붷 붸 붹 붺 붻 붼 붽 붾 붿 뷀 뷁 뷂 뷃 뷄 뷅 뷆 뷇 뷈 뷉 뷊 뷋 뷌 뷍 뷎 뷏 뷐 뷑 뷒 뷓 뷔 뷕 뷖 뷗 뷘 뷙 뷚 뷛</t>
        </is>
      </c>
      <c r="P280" s="37" t="inlineStr"/>
      <c r="Q280" s="38" t="inlineStr"/>
      <c r="R280" s="43" t="inlineStr"/>
      <c r="S280" s="40" t="n"/>
      <c r="V280" s="14">
        <f>(LEN(O280)+1)/2</f>
        <v/>
      </c>
      <c r="W280" s="14">
        <f>ROUNDDOWN((LEN(P280)+1)/2,0)</f>
        <v/>
      </c>
      <c r="X280" s="14">
        <f>ROUNDDOWN((LEN(Q280)+1)/2,0)</f>
        <v/>
      </c>
      <c r="Y280" s="14">
        <f>ROUNDDOWN((LEN(R280)+1)/2,0)</f>
        <v/>
      </c>
      <c r="Z280" s="14">
        <f>ROUNDDOWN((LEN(S280)+1)/2,0)</f>
        <v/>
      </c>
      <c r="AA280" s="56" t="n">
        <v>46150.55861352016</v>
      </c>
    </row>
    <row r="281" ht="102" customHeight="1">
      <c r="B281" s="46" t="inlineStr">
        <is>
          <t>U+BDDC-U+BED9</t>
        </is>
      </c>
      <c r="C281" s="46" t="inlineStr">
        <is>
          <t>Hangul Syllables</t>
        </is>
      </c>
      <c r="D281" s="54">
        <f>HEX2DEC(MID(B281,3,FIND("-",E281)-3))</f>
        <v/>
      </c>
      <c r="E281" s="46" t="inlineStr">
        <is>
          <t>U+AC00-U+D7AF</t>
        </is>
      </c>
      <c r="F281" s="12" t="n">
        <v>3</v>
      </c>
      <c r="J281" s="19">
        <f>ROUNDDOWN(W281,0)/$V281</f>
        <v/>
      </c>
      <c r="K281" s="19">
        <f>ROUNDDOWN(X281,0)/$V281</f>
        <v/>
      </c>
      <c r="L281" s="19">
        <f>ROUNDDOWN(Y281,0)/$V281</f>
        <v/>
      </c>
      <c r="M281" s="19">
        <f>ROUNDDOWN(Z281,0)/$V281</f>
        <v/>
      </c>
      <c r="O281" s="36" t="inlineStr">
        <is>
          <t>뷜 뷝 뷞 뷟 뷠 뷡 뷢 뷣 뷤 뷥 뷦 뷧 뷨 뷩 뷪 뷫 뷬 뷭 뷮 뷯 뷰 뷱 뷲 뷳 뷴 뷵 뷶 뷷 뷸 뷹 뷺 뷻 뷼 뷽 뷾 뷿 븀 븁 븂 븃 븄 븅 븆 븇 븈 븉 븊 븋 브 븍 븎 븏 븐 븑 븒 븓 블 븕 븖 븗 븘 븙 븚 븛 븜 븝 븞 븟 븠 븡 븢 븣 븤 븥 븦 븧 븨 븩 븪 븫 븬 븭 븮 븯 븰 븱 븲 븳 븴 븵 븶 븷 븸 븹 븺 븻 븼 븽 븾 븿 빀 빁 빂 빃 비 빅 빆 빇 빈 빉 빊 빋 빌 빍 빎 빏 빐 빑 빒 빓 빔 빕 빖 빗 빘 빙 빚 빛 빜 빝 빞 빟 빠 빡 빢 빣 빤 빥 빦 빧 빨 빩 빪 빫 빬 빭 빮 빯 빰 빱 빲 빳 빴 빵 빶 빷 빸 빹 빺 빻 빼 빽 빾 빿 뺀 뺁 뺂 뺃 뺄 뺅 뺆 뺇 뺈 뺉 뺊 뺋 뺌 뺍 뺎 뺏 뺐 뺑 뺒 뺓 뺔 뺕 뺖 뺗 뺘 뺙 뺚 뺛 뺜 뺝 뺞 뺟 뺠 뺡 뺢 뺣 뺤 뺥 뺦 뺧 뺨 뺩 뺪 뺫 뺬 뺭 뺮 뺯 뺰 뺱 뺲 뺳 뺴 뺵 뺶 뺷 뺸 뺹 뺺 뺻 뺼 뺽 뺾 뺿 뻀 뻁 뻂 뻃 뻄 뻅 뻆 뻇 뻈 뻉 뻊 뻋 뻌 뻍 뻎 뻏 뻐 뻑 뻒 뻓 뻔 뻕 뻖 뻗 뻘 뻙</t>
        </is>
      </c>
      <c r="P281" s="37" t="inlineStr"/>
      <c r="Q281" s="38" t="inlineStr"/>
      <c r="R281" s="43" t="inlineStr"/>
      <c r="S281" s="40" t="n"/>
      <c r="V281" s="14">
        <f>(LEN(O281)+1)/2</f>
        <v/>
      </c>
      <c r="W281" s="14">
        <f>ROUNDDOWN((LEN(P281)+1)/2,0)</f>
        <v/>
      </c>
      <c r="X281" s="14">
        <f>ROUNDDOWN((LEN(Q281)+1)/2,0)</f>
        <v/>
      </c>
      <c r="Y281" s="14">
        <f>ROUNDDOWN((LEN(R281)+1)/2,0)</f>
        <v/>
      </c>
      <c r="Z281" s="14">
        <f>ROUNDDOWN((LEN(S281)+1)/2,0)</f>
        <v/>
      </c>
      <c r="AA281" s="56" t="n">
        <v>46150.55861352766</v>
      </c>
    </row>
    <row r="282" ht="102" customHeight="1">
      <c r="B282" s="46" t="inlineStr">
        <is>
          <t>U+BEDA-U+BFD7</t>
        </is>
      </c>
      <c r="C282" s="46" t="inlineStr">
        <is>
          <t>Hangul Syllables</t>
        </is>
      </c>
      <c r="D282" s="54">
        <f>HEX2DEC(MID(B282,3,FIND("-",E282)-3))</f>
        <v/>
      </c>
      <c r="E282" s="46" t="inlineStr">
        <is>
          <t>U+AC00-U+D7AF</t>
        </is>
      </c>
      <c r="F282" s="12" t="n">
        <v>3</v>
      </c>
      <c r="J282" s="19">
        <f>ROUNDDOWN(W282,0)/$V282</f>
        <v/>
      </c>
      <c r="K282" s="19">
        <f>ROUNDDOWN(X282,0)/$V282</f>
        <v/>
      </c>
      <c r="L282" s="19">
        <f>ROUNDDOWN(Y282,0)/$V282</f>
        <v/>
      </c>
      <c r="M282" s="19">
        <f>ROUNDDOWN(Z282,0)/$V282</f>
        <v/>
      </c>
      <c r="O282" s="36" t="inlineStr">
        <is>
          <t>뻚 뻛 뻜 뻝 뻞 뻟 뻠 뻡 뻢 뻣 뻤 뻥 뻦 뻧 뻨 뻩 뻪 뻫 뻬 뻭 뻮 뻯 뻰 뻱 뻲 뻳 뻴 뻵 뻶 뻷 뻸 뻹 뻺 뻻 뻼 뻽 뻾 뻿 뼀 뼁 뼂 뼃 뼄 뼅 뼆 뼇 뼈 뼉 뼊 뼋 뼌 뼍 뼎 뼏 뼐 뼑 뼒 뼓 뼔 뼕 뼖 뼗 뼘 뼙 뼚 뼛 뼜 뼝 뼞 뼟 뼠 뼡 뼢 뼣 뼤 뼥 뼦 뼧 뼨 뼩 뼪 뼫 뼬 뼭 뼮 뼯 뼰 뼱 뼲 뼳 뼴 뼵 뼶 뼷 뼸 뼹 뼺 뼻 뼼 뼽 뼾 뼿 뽀 뽁 뽂 뽃 뽄 뽅 뽆 뽇 뽈 뽉 뽊 뽋 뽌 뽍 뽎 뽏 뽐 뽑 뽒 뽓 뽔 뽕 뽖 뽗 뽘 뽙 뽚 뽛 뽜 뽝 뽞 뽟 뽠 뽡 뽢 뽣 뽤 뽥 뽦 뽧 뽨 뽩 뽪 뽫 뽬 뽭 뽮 뽯 뽰 뽱 뽲 뽳 뽴 뽵 뽶 뽷 뽸 뽹 뽺 뽻 뽼 뽽 뽾 뽿 뾀 뾁 뾂 뾃 뾄 뾅 뾆 뾇 뾈 뾉 뾊 뾋 뾌 뾍 뾎 뾏 뾐 뾑 뾒 뾓 뾔 뾕 뾖 뾗 뾘 뾙 뾚 뾛 뾜 뾝 뾞 뾟 뾠 뾡 뾢 뾣 뾤 뾥 뾦 뾧 뾨 뾩 뾪 뾫 뾬 뾭 뾮 뾯 뾰 뾱 뾲 뾳 뾴 뾵 뾶 뾷 뾸 뾹 뾺 뾻 뾼 뾽 뾾 뾿 뿀 뿁 뿂 뿃 뿄 뿅 뿆 뿇 뿈 뿉 뿊 뿋 뿌 뿍 뿎 뿏 뿐 뿑 뿒 뿓 뿔 뿕 뿖 뿗</t>
        </is>
      </c>
      <c r="P282" s="37" t="inlineStr"/>
      <c r="Q282" s="38" t="inlineStr"/>
      <c r="R282" s="43" t="inlineStr"/>
      <c r="S282" s="40" t="n"/>
      <c r="V282" s="14">
        <f>(LEN(O282)+1)/2</f>
        <v/>
      </c>
      <c r="W282" s="14">
        <f>ROUNDDOWN((LEN(P282)+1)/2,0)</f>
        <v/>
      </c>
      <c r="X282" s="14">
        <f>ROUNDDOWN((LEN(Q282)+1)/2,0)</f>
        <v/>
      </c>
      <c r="Y282" s="14">
        <f>ROUNDDOWN((LEN(R282)+1)/2,0)</f>
        <v/>
      </c>
      <c r="Z282" s="14">
        <f>ROUNDDOWN((LEN(S282)+1)/2,0)</f>
        <v/>
      </c>
      <c r="AA282" s="56" t="n">
        <v>46150.55861353462</v>
      </c>
    </row>
    <row r="283" ht="102" customHeight="1">
      <c r="B283" s="46" t="inlineStr">
        <is>
          <t>U+BFD8-U+C0D5</t>
        </is>
      </c>
      <c r="C283" s="46" t="inlineStr">
        <is>
          <t>Hangul Syllables</t>
        </is>
      </c>
      <c r="D283" s="54">
        <f>HEX2DEC(MID(B283,3,FIND("-",E283)-3))</f>
        <v/>
      </c>
      <c r="E283" s="46" t="inlineStr">
        <is>
          <t>U+AC00-U+D7AF</t>
        </is>
      </c>
      <c r="F283" s="12" t="n">
        <v>3</v>
      </c>
      <c r="J283" s="19">
        <f>ROUNDDOWN(W283,0)/$V283</f>
        <v/>
      </c>
      <c r="K283" s="19">
        <f>ROUNDDOWN(X283,0)/$V283</f>
        <v/>
      </c>
      <c r="L283" s="19">
        <f>ROUNDDOWN(Y283,0)/$V283</f>
        <v/>
      </c>
      <c r="M283" s="19">
        <f>ROUNDDOWN(Z283,0)/$V283</f>
        <v/>
      </c>
      <c r="O283" s="36" t="inlineStr">
        <is>
          <t>뿘 뿙 뿚 뿛 뿜 뿝 뿞 뿟 뿠 뿡 뿢 뿣 뿤 뿥 뿦 뿧 뿨 뿩 뿪 뿫 뿬 뿭 뿮 뿯 뿰 뿱 뿲 뿳 뿴 뿵 뿶 뿷 뿸 뿹 뿺 뿻 뿼 뿽 뿾 뿿 쀀 쀁 쀂 쀃 쀄 쀅 쀆 쀇 쀈 쀉 쀊 쀋 쀌 쀍 쀎 쀏 쀐 쀑 쀒 쀓 쀔 쀕 쀖 쀗 쀘 쀙 쀚 쀛 쀜 쀝 쀞 쀟 쀠 쀡 쀢 쀣 쀤 쀥 쀦 쀧 쀨 쀩 쀪 쀫 쀬 쀭 쀮 쀯 쀰 쀱 쀲 쀳 쀴 쀵 쀶 쀷 쀸 쀹 쀺 쀻 쀼 쀽 쀾 쀿 쁀 쁁 쁂 쁃 쁄 쁅 쁆 쁇 쁈 쁉 쁊 쁋 쁌 쁍 쁎 쁏 쁐 쁑 쁒 쁓 쁔 쁕 쁖 쁗 쁘 쁙 쁚 쁛 쁜 쁝 쁞 쁟 쁠 쁡 쁢 쁣 쁤 쁥 쁦 쁧 쁨 쁩 쁪 쁫 쁬 쁭 쁮 쁯 쁰 쁱 쁲 쁳 쁴 쁵 쁶 쁷 쁸 쁹 쁺 쁻 쁼 쁽 쁾 쁿 삀 삁 삂 삃 삄 삅 삆 삇 삈 삉 삊 삋 삌 삍 삎 삏 삐 삑 삒 삓 삔 삕 삖 삗 삘 삙 삚 삛 삜 삝 삞 삟 삠 삡 삢 삣 삤 삥 삦 삧 삨 삩 삪 삫 사 삭 삮 삯 산 삱 삲 삳 살 삵 삶 삷 삸 삹 삺 삻 삼 삽 삾 삿 샀 상 샂 샃 샄 샅 샆 샇 새 색 샊 샋 샌 샍 샎 샏 샐 샑 샒 샓 샔 샕</t>
        </is>
      </c>
      <c r="P283" s="37" t="inlineStr"/>
      <c r="Q283" s="38" t="inlineStr"/>
      <c r="R283" s="43" t="inlineStr"/>
      <c r="S283" s="40" t="n"/>
      <c r="V283" s="14">
        <f>(LEN(O283)+1)/2</f>
        <v/>
      </c>
      <c r="W283" s="14">
        <f>ROUNDDOWN((LEN(P283)+1)/2,0)</f>
        <v/>
      </c>
      <c r="X283" s="14">
        <f>ROUNDDOWN((LEN(Q283)+1)/2,0)</f>
        <v/>
      </c>
      <c r="Y283" s="14">
        <f>ROUNDDOWN((LEN(R283)+1)/2,0)</f>
        <v/>
      </c>
      <c r="Z283" s="14">
        <f>ROUNDDOWN((LEN(S283)+1)/2,0)</f>
        <v/>
      </c>
      <c r="AA283" s="56" t="n">
        <v>46150.55861354071</v>
      </c>
    </row>
    <row r="284" ht="102" customHeight="1">
      <c r="B284" s="46" t="inlineStr">
        <is>
          <t>U+C0D6-U+C1D3</t>
        </is>
      </c>
      <c r="C284" s="46" t="inlineStr">
        <is>
          <t>Hangul Syllables</t>
        </is>
      </c>
      <c r="D284" s="54">
        <f>HEX2DEC(MID(B284,3,FIND("-",E284)-3))</f>
        <v/>
      </c>
      <c r="E284" s="46" t="inlineStr">
        <is>
          <t>U+AC00-U+D7AF</t>
        </is>
      </c>
      <c r="F284" s="12" t="n">
        <v>3</v>
      </c>
      <c r="J284" s="19">
        <f>ROUNDDOWN(W284,0)/$V284</f>
        <v/>
      </c>
      <c r="K284" s="19">
        <f>ROUNDDOWN(X284,0)/$V284</f>
        <v/>
      </c>
      <c r="L284" s="19">
        <f>ROUNDDOWN(Y284,0)/$V284</f>
        <v/>
      </c>
      <c r="M284" s="19">
        <f>ROUNDDOWN(Z284,0)/$V284</f>
        <v/>
      </c>
      <c r="O284" s="36" t="inlineStr">
        <is>
          <t>샖 샗 샘 샙 샚 샛 샜 생 샞 샟 샠 샡 샢 샣 샤 샥 샦 샧 샨 샩 샪 샫 샬 샭 샮 샯 샰 샱 샲 샳 샴 샵 샶 샷 샸 샹 샺 샻 샼 샽 샾 샿 섀 섁 섂 섃 섄 섅 섆 섇 섈 섉 섊 섋 섌 섍 섎 섏 섐 섑 섒 섓 섔 섕 섖 섗 섘 섙 섚 섛 서 석 섞 섟 선 섡 섢 섣 설 섥 섦 섧 섨 섩 섪 섫 섬 섭 섮 섯 섰 성 섲 섳 섴 섵 섶 섷 세 섹 섺 섻 센 섽 섾 섿 셀 셁 셂 셃 셄 셅 셆 셇 셈 셉 셊 셋 셌 셍 셎 셏 셐 셑 셒 셓 셔 셕 셖 셗 션 셙 셚 셛 셜 셝 셞 셟 셠 셡 셢 셣 셤 셥 셦 셧 셨 셩 셪 셫 셬 셭 셮 셯 셰 셱 셲 셳 셴 셵 셶 셷 셸 셹 셺 셻 셼 셽 셾 셿 솀 솁 솂 솃 솄 솅 솆 솇 솈 솉 솊 솋 소 속 솎 솏 손 솑 솒 솓 솔 솕 솖 솗 솘 솙 솚 솛 솜 솝 솞 솟 솠 송 솢 솣 솤 솥 솦 솧 솨 솩 솪 솫 솬 솭 솮 솯 솰 솱 솲 솳 솴 솵 솶 솷 솸 솹 솺 솻 솼 솽 솾 솿 쇀 쇁 쇂 쇃 쇄 쇅 쇆 쇇 쇈 쇉 쇊 쇋 쇌 쇍 쇎 쇏 쇐 쇑 쇒 쇓</t>
        </is>
      </c>
      <c r="P284" s="37" t="inlineStr"/>
      <c r="Q284" s="38" t="inlineStr"/>
      <c r="R284" s="43" t="inlineStr"/>
      <c r="S284" s="40" t="n"/>
      <c r="V284" s="14">
        <f>(LEN(O284)+1)/2</f>
        <v/>
      </c>
      <c r="W284" s="14">
        <f>ROUNDDOWN((LEN(P284)+1)/2,0)</f>
        <v/>
      </c>
      <c r="X284" s="14">
        <f>ROUNDDOWN((LEN(Q284)+1)/2,0)</f>
        <v/>
      </c>
      <c r="Y284" s="14">
        <f>ROUNDDOWN((LEN(R284)+1)/2,0)</f>
        <v/>
      </c>
      <c r="Z284" s="14">
        <f>ROUNDDOWN((LEN(S284)+1)/2,0)</f>
        <v/>
      </c>
      <c r="AA284" s="56" t="n">
        <v>46150.55861354659</v>
      </c>
    </row>
    <row r="285" ht="102" customHeight="1">
      <c r="B285" s="46" t="inlineStr">
        <is>
          <t>U+C1D4-U+C2D1</t>
        </is>
      </c>
      <c r="C285" s="46" t="inlineStr">
        <is>
          <t>Hangul Syllables</t>
        </is>
      </c>
      <c r="D285" s="54">
        <f>HEX2DEC(MID(B285,3,FIND("-",E285)-3))</f>
        <v/>
      </c>
      <c r="E285" s="46" t="inlineStr">
        <is>
          <t>U+AC00-U+D7AF</t>
        </is>
      </c>
      <c r="F285" s="12" t="n">
        <v>3</v>
      </c>
      <c r="J285" s="19">
        <f>ROUNDDOWN(W285,0)/$V285</f>
        <v/>
      </c>
      <c r="K285" s="19">
        <f>ROUNDDOWN(X285,0)/$V285</f>
        <v/>
      </c>
      <c r="L285" s="19">
        <f>ROUNDDOWN(Y285,0)/$V285</f>
        <v/>
      </c>
      <c r="M285" s="19">
        <f>ROUNDDOWN(Z285,0)/$V285</f>
        <v/>
      </c>
      <c r="O285" s="36" t="inlineStr">
        <is>
          <t>쇔 쇕 쇖 쇗 쇘 쇙 쇚 쇛 쇜 쇝 쇞 쇟 쇠 쇡 쇢 쇣 쇤 쇥 쇦 쇧 쇨 쇩 쇪 쇫 쇬 쇭 쇮 쇯 쇰 쇱 쇲 쇳 쇴 쇵 쇶 쇷 쇸 쇹 쇺 쇻 쇼 쇽 쇾 쇿 숀 숁 숂 숃 숄 숅 숆 숇 숈 숉 숊 숋 숌 숍 숎 숏 숐 숑 숒 숓 숔 숕 숖 숗 수 숙 숚 숛 순 숝 숞 숟 술 숡 숢 숣 숤 숥 숦 숧 숨 숩 숪 숫 숬 숭 숮 숯 숰 숱 숲 숳 숴 숵 숶 숷 숸 숹 숺 숻 숼 숽 숾 숿 쉀 쉁 쉂 쉃 쉄 쉅 쉆 쉇 쉈 쉉 쉊 쉋 쉌 쉍 쉎 쉏 쉐 쉑 쉒 쉓 쉔 쉕 쉖 쉗 쉘 쉙 쉚 쉛 쉜 쉝 쉞 쉟 쉠 쉡 쉢 쉣 쉤 쉥 쉦 쉧 쉨 쉩 쉪 쉫 쉬 쉭 쉮 쉯 쉰 쉱 쉲 쉳 쉴 쉵 쉶 쉷 쉸 쉹 쉺 쉻 쉼 쉽 쉾 쉿 슀 슁 슂 슃 슄 슅 슆 슇 슈 슉 슊 슋 슌 슍 슎 슏 슐 슑 슒 슓 슔 슕 슖 슗 슘 슙 슚 슛 슜 슝 슞 슟 슠 슡 슢 슣 스 슥 슦 슧 슨 슩 슪 슫 슬 슭 슮 슯 슰 슱 슲 슳 슴 습 슶 슷 슸 승 슺 슻 슼 슽 슾 슿 싀 싁 싂 싃 싄 싅 싆 싇 싈 싉 싊 싋 싌 싍 싎 싏 싐 싑</t>
        </is>
      </c>
      <c r="P285" s="37" t="inlineStr"/>
      <c r="Q285" s="38" t="inlineStr"/>
      <c r="R285" s="43" t="inlineStr"/>
      <c r="S285" s="40" t="n"/>
      <c r="V285" s="14">
        <f>(LEN(O285)+1)/2</f>
        <v/>
      </c>
      <c r="W285" s="14">
        <f>ROUNDDOWN((LEN(P285)+1)/2,0)</f>
        <v/>
      </c>
      <c r="X285" s="14">
        <f>ROUNDDOWN((LEN(Q285)+1)/2,0)</f>
        <v/>
      </c>
      <c r="Y285" s="14">
        <f>ROUNDDOWN((LEN(R285)+1)/2,0)</f>
        <v/>
      </c>
      <c r="Z285" s="14">
        <f>ROUNDDOWN((LEN(S285)+1)/2,0)</f>
        <v/>
      </c>
      <c r="AA285" s="56" t="n">
        <v>46150.55861355223</v>
      </c>
    </row>
    <row r="286" ht="102" customHeight="1">
      <c r="B286" s="46" t="inlineStr">
        <is>
          <t>U+C2D2-U+C3CF</t>
        </is>
      </c>
      <c r="C286" s="46" t="inlineStr">
        <is>
          <t>Hangul Syllables</t>
        </is>
      </c>
      <c r="D286" s="54">
        <f>HEX2DEC(MID(B286,3,FIND("-",E286)-3))</f>
        <v/>
      </c>
      <c r="E286" s="46" t="inlineStr">
        <is>
          <t>U+AC00-U+D7AF</t>
        </is>
      </c>
      <c r="F286" s="12" t="n">
        <v>3</v>
      </c>
      <c r="J286" s="19">
        <f>ROUNDDOWN(W286,0)/$V286</f>
        <v/>
      </c>
      <c r="K286" s="19">
        <f>ROUNDDOWN(X286,0)/$V286</f>
        <v/>
      </c>
      <c r="L286" s="19">
        <f>ROUNDDOWN(Y286,0)/$V286</f>
        <v/>
      </c>
      <c r="M286" s="19">
        <f>ROUNDDOWN(Z286,0)/$V286</f>
        <v/>
      </c>
      <c r="O286" s="36" t="inlineStr">
        <is>
          <t>싒 싓 싔 싕 싖 싗 싘 싙 싚 싛 시 식 싞 싟 신 싡 싢 싣 실 싥 싦 싧 싨 싩 싪 싫 심 십 싮 싯 싰 싱 싲 싳 싴 싵 싶 싷 싸 싹 싺 싻 싼 싽 싾 싿 쌀 쌁 쌂 쌃 쌄 쌅 쌆 쌇 쌈 쌉 쌊 쌋 쌌 쌍 쌎 쌏 쌐 쌑 쌒 쌓 쌔 쌕 쌖 쌗 쌘 쌙 쌚 쌛 쌜 쌝 쌞 쌟 쌠 쌡 쌢 쌣 쌤 쌥 쌦 쌧 쌨 쌩 쌪 쌫 쌬 쌭 쌮 쌯 쌰 쌱 쌲 쌳 쌴 쌵 쌶 쌷 쌸 쌹 쌺 쌻 쌼 쌽 쌾 쌿 썀 썁 썂 썃 썄 썅 썆 썇 썈 썉 썊 썋 썌 썍 썎 썏 썐 썑 썒 썓 썔 썕 썖 썗 썘 썙 썚 썛 썜 썝 썞 썟 썠 썡 썢 썣 썤 썥 썦 썧 써 썩 썪 썫 썬 썭 썮 썯 썰 썱 썲 썳 썴 썵 썶 썷 썸 썹 썺 썻 썼 썽 썾 썿 쎀 쎁 쎂 쎃 쎄 쎅 쎆 쎇 쎈 쎉 쎊 쎋 쎌 쎍 쎎 쎏 쎐 쎑 쎒 쎓 쎔 쎕 쎖 쎗 쎘 쎙 쎚 쎛 쎜 쎝 쎞 쎟 쎠 쎡 쎢 쎣 쎤 쎥 쎦 쎧 쎨 쎩 쎪 쎫 쎬 쎭 쎮 쎯 쎰 쎱 쎲 쎳 쎴 쎵 쎶 쎷 쎸 쎹 쎺 쎻 쎼 쎽 쎾 쎿 쏀 쏁 쏂 쏃 쏄 쏅 쏆 쏇 쏈 쏉 쏊 쏋 쏌 쏍 쏎 쏏</t>
        </is>
      </c>
      <c r="P286" s="37" t="inlineStr"/>
      <c r="Q286" s="38" t="inlineStr"/>
      <c r="R286" s="43" t="inlineStr"/>
      <c r="S286" s="40" t="n"/>
      <c r="V286" s="14">
        <f>(LEN(O286)+1)/2</f>
        <v/>
      </c>
      <c r="W286" s="14">
        <f>ROUNDDOWN((LEN(P286)+1)/2,0)</f>
        <v/>
      </c>
      <c r="X286" s="14">
        <f>ROUNDDOWN((LEN(Q286)+1)/2,0)</f>
        <v/>
      </c>
      <c r="Y286" s="14">
        <f>ROUNDDOWN((LEN(R286)+1)/2,0)</f>
        <v/>
      </c>
      <c r="Z286" s="14">
        <f>ROUNDDOWN((LEN(S286)+1)/2,0)</f>
        <v/>
      </c>
      <c r="AA286" s="56" t="n">
        <v>46150.55861355876</v>
      </c>
    </row>
    <row r="287" ht="102" customHeight="1">
      <c r="B287" s="46" t="inlineStr">
        <is>
          <t>U+C3D0-U+C4CD</t>
        </is>
      </c>
      <c r="C287" s="46" t="inlineStr">
        <is>
          <t>Hangul Syllables</t>
        </is>
      </c>
      <c r="D287" s="54">
        <f>HEX2DEC(MID(B287,3,FIND("-",E287)-3))</f>
        <v/>
      </c>
      <c r="E287" s="46" t="inlineStr">
        <is>
          <t>U+AC00-U+D7AF</t>
        </is>
      </c>
      <c r="F287" s="12" t="n">
        <v>3</v>
      </c>
      <c r="J287" s="19">
        <f>ROUNDDOWN(W287,0)/$V287</f>
        <v/>
      </c>
      <c r="K287" s="19">
        <f>ROUNDDOWN(X287,0)/$V287</f>
        <v/>
      </c>
      <c r="L287" s="19">
        <f>ROUNDDOWN(Y287,0)/$V287</f>
        <v/>
      </c>
      <c r="M287" s="19">
        <f>ROUNDDOWN(Z287,0)/$V287</f>
        <v/>
      </c>
      <c r="O287" s="36" t="inlineStr">
        <is>
          <t>쏐 쏑 쏒 쏓 쏔 쏕 쏖 쏗 쏘 쏙 쏚 쏛 쏜 쏝 쏞 쏟 쏠 쏡 쏢 쏣 쏤 쏥 쏦 쏧 쏨 쏩 쏪 쏫 쏬 쏭 쏮 쏯 쏰 쏱 쏲 쏳 쏴 쏵 쏶 쏷 쏸 쏹 쏺 쏻 쏼 쏽 쏾 쏿 쐀 쐁 쐂 쐃 쐄 쐅 쐆 쐇 쐈 쐉 쐊 쐋 쐌 쐍 쐎 쐏 쐐 쐑 쐒 쐓 쐔 쐕 쐖 쐗 쐘 쐙 쐚 쐛 쐜 쐝 쐞 쐟 쐠 쐡 쐢 쐣 쐤 쐥 쐦 쐧 쐨 쐩 쐪 쐫 쐬 쐭 쐮 쐯 쐰 쐱 쐲 쐳 쐴 쐵 쐶 쐷 쐸 쐹 쐺 쐻 쐼 쐽 쐾 쐿 쑀 쑁 쑂 쑃 쑄 쑅 쑆 쑇 쑈 쑉 쑊 쑋 쑌 쑍 쑎 쑏 쑐 쑑 쑒 쑓 쑔 쑕 쑖 쑗 쑘 쑙 쑚 쑛 쑜 쑝 쑞 쑟 쑠 쑡 쑢 쑣 쑤 쑥 쑦 쑧 쑨 쑩 쑪 쑫 쑬 쑭 쑮 쑯 쑰 쑱 쑲 쑳 쑴 쑵 쑶 쑷 쑸 쑹 쑺 쑻 쑼 쑽 쑾 쑿 쒀 쒁 쒂 쒃 쒄 쒅 쒆 쒇 쒈 쒉 쒊 쒋 쒌 쒍 쒎 쒏 쒐 쒑 쒒 쒓 쒔 쒕 쒖 쒗 쒘 쒙 쒚 쒛 쒜 쒝 쒞 쒟 쒠 쒡 쒢 쒣 쒤 쒥 쒦 쒧 쒨 쒩 쒪 쒫 쒬 쒭 쒮 쒯 쒰 쒱 쒲 쒳 쒴 쒵 쒶 쒷 쒸 쒹 쒺 쒻 쒼 쒽 쒾 쒿 쓀 쓁 쓂 쓃 쓄 쓅 쓆 쓇 쓈 쓉 쓊 쓋 쓌 쓍</t>
        </is>
      </c>
      <c r="P287" s="37" t="inlineStr"/>
      <c r="Q287" s="38" t="inlineStr"/>
      <c r="R287" s="43" t="inlineStr"/>
      <c r="S287" s="40" t="n"/>
      <c r="V287" s="14">
        <f>(LEN(O287)+1)/2</f>
        <v/>
      </c>
      <c r="W287" s="14">
        <f>ROUNDDOWN((LEN(P287)+1)/2,0)</f>
        <v/>
      </c>
      <c r="X287" s="14">
        <f>ROUNDDOWN((LEN(Q287)+1)/2,0)</f>
        <v/>
      </c>
      <c r="Y287" s="14">
        <f>ROUNDDOWN((LEN(R287)+1)/2,0)</f>
        <v/>
      </c>
      <c r="Z287" s="14">
        <f>ROUNDDOWN((LEN(S287)+1)/2,0)</f>
        <v/>
      </c>
      <c r="AA287" s="56" t="n">
        <v>46150.55861356471</v>
      </c>
    </row>
    <row r="288" ht="102" customHeight="1">
      <c r="B288" s="46" t="inlineStr">
        <is>
          <t>U+C4CE-U+C5CB</t>
        </is>
      </c>
      <c r="C288" s="46" t="inlineStr">
        <is>
          <t>Hangul Syllables</t>
        </is>
      </c>
      <c r="D288" s="54">
        <f>HEX2DEC(MID(B288,3,FIND("-",E288)-3))</f>
        <v/>
      </c>
      <c r="E288" s="46" t="inlineStr">
        <is>
          <t>U+AC00-U+D7AF</t>
        </is>
      </c>
      <c r="F288" s="12" t="n">
        <v>3</v>
      </c>
      <c r="J288" s="19">
        <f>ROUNDDOWN(W288,0)/$V288</f>
        <v/>
      </c>
      <c r="K288" s="19">
        <f>ROUNDDOWN(X288,0)/$V288</f>
        <v/>
      </c>
      <c r="L288" s="19">
        <f>ROUNDDOWN(Y288,0)/$V288</f>
        <v/>
      </c>
      <c r="M288" s="19">
        <f>ROUNDDOWN(Z288,0)/$V288</f>
        <v/>
      </c>
      <c r="O288" s="36" t="inlineStr">
        <is>
          <t>쓎 쓏 쓐 쓑 쓒 쓓 쓔 쓕 쓖 쓗 쓘 쓙 쓚 쓛 쓜 쓝 쓞 쓟 쓠 쓡 쓢 쓣 쓤 쓥 쓦 쓧 쓨 쓩 쓪 쓫 쓬 쓭 쓮 쓯 쓰 쓱 쓲 쓳 쓴 쓵 쓶 쓷 쓸 쓹 쓺 쓻 쓼 쓽 쓾 쓿 씀 씁 씂 씃 씄 씅 씆 씇 씈 씉 씊 씋 씌 씍 씎 씏 씐 씑 씒 씓 씔 씕 씖 씗 씘 씙 씚 씛 씜 씝 씞 씟 씠 씡 씢 씣 씤 씥 씦 씧 씨 씩 씪 씫 씬 씭 씮 씯 씰 씱 씲 씳 씴 씵 씶 씷 씸 씹 씺 씻 씼 씽 씾 씿 앀 앁 앂 앃 아 악 앆 앇 안 앉 않 앋 알 앍 앎 앏 앐 앑 앒 앓 암 압 앖 앗 았 앙 앚 앛 앜 앝 앞 앟 애 액 앢 앣 앤 앥 앦 앧 앨 앩 앪 앫 앬 앭 앮 앯 앰 앱 앲 앳 앴 앵 앶 앷 앸 앹 앺 앻 야 약 앾 앿 얀 얁 얂 얃 얄 얅 얆 얇 얈 얉 얊 얋 얌 얍 얎 얏 얐 양 얒 얓 얔 얕 얖 얗 얘 얙 얚 얛 얜 얝 얞 얟 얠 얡 얢 얣 얤 얥 얦 얧 얨 얩 얪 얫 얬 얭 얮 얯 얰 얱 얲 얳 어 억 얶 얷 언 얹 얺 얻 얼 얽 얾 얿 엀 엁 엂 엃 엄 업 없 엇 었 엉 엊 엋</t>
        </is>
      </c>
      <c r="P288" s="37" t="inlineStr"/>
      <c r="Q288" s="38" t="inlineStr"/>
      <c r="R288" s="43" t="inlineStr"/>
      <c r="S288" s="40" t="n"/>
      <c r="V288" s="14">
        <f>(LEN(O288)+1)/2</f>
        <v/>
      </c>
      <c r="W288" s="14">
        <f>ROUNDDOWN((LEN(P288)+1)/2,0)</f>
        <v/>
      </c>
      <c r="X288" s="14">
        <f>ROUNDDOWN((LEN(Q288)+1)/2,0)</f>
        <v/>
      </c>
      <c r="Y288" s="14">
        <f>ROUNDDOWN((LEN(R288)+1)/2,0)</f>
        <v/>
      </c>
      <c r="Z288" s="14">
        <f>ROUNDDOWN((LEN(S288)+1)/2,0)</f>
        <v/>
      </c>
      <c r="AA288" s="56" t="n">
        <v>46150.55861357043</v>
      </c>
    </row>
    <row r="289" ht="102" customHeight="1">
      <c r="B289" s="46" t="inlineStr">
        <is>
          <t>U+C5CC-U+C6C9</t>
        </is>
      </c>
      <c r="C289" s="46" t="inlineStr">
        <is>
          <t>Hangul Syllables</t>
        </is>
      </c>
      <c r="D289" s="54">
        <f>HEX2DEC(MID(B289,3,FIND("-",E289)-3))</f>
        <v/>
      </c>
      <c r="E289" s="46" t="inlineStr">
        <is>
          <t>U+AC00-U+D7AF</t>
        </is>
      </c>
      <c r="F289" s="12" t="n">
        <v>3</v>
      </c>
      <c r="J289" s="19">
        <f>ROUNDDOWN(W289,0)/$V289</f>
        <v/>
      </c>
      <c r="K289" s="19">
        <f>ROUNDDOWN(X289,0)/$V289</f>
        <v/>
      </c>
      <c r="L289" s="19">
        <f>ROUNDDOWN(Y289,0)/$V289</f>
        <v/>
      </c>
      <c r="M289" s="19">
        <f>ROUNDDOWN(Z289,0)/$V289</f>
        <v/>
      </c>
      <c r="O289" s="36" t="inlineStr">
        <is>
          <t>엌 엍 엎 엏 에 엑 엒 엓 엔 엕 엖 엗 엘 엙 엚 엛 엜 엝 엞 엟 엠 엡 엢 엣 엤 엥 엦 엧 엨 엩 엪 엫 여 역 엮 엯 연 엱 엲 엳 열 엵 엶 엷 엸 엹 엺 엻 염 엽 엾 엿 였 영 옂 옃 옄 옅 옆 옇 예 옉 옊 옋 옌 옍 옎 옏 옐 옑 옒 옓 옔 옕 옖 옗 옘 옙 옚 옛 옜 옝 옞 옟 옠 옡 옢 옣 오 옥 옦 옧 온 옩 옪 옫 올 옭 옮 옯 옰 옱 옲 옳 옴 옵 옶 옷 옸 옹 옺 옻 옼 옽 옾 옿 와 왁 왂 왃 완 왅 왆 왇 왈 왉 왊 왋 왌 왍 왎 왏 왐 왑 왒 왓 왔 왕 왖 왗 왘 왙 왚 왛 왜 왝 왞 왟 왠 왡 왢 왣 왤 왥 왦 왧 왨 왩 왪 왫 왬 왭 왮 왯 왰 왱 왲 왳 왴 왵 왶 왷 외 왹 왺 왻 왼 왽 왾 왿 욀 욁 욂 욃 욄 욅 욆 욇 욈 욉 욊 욋 욌 욍 욎 욏 욐 욑 욒 욓 요 욕 욖 욗 욘 욙 욚 욛 욜 욝 욞 욟 욠 욡 욢 욣 욤 욥 욦 욧 욨 용 욪 욫 욬 욭 욮 욯 우 욱 욲 욳 운 욵 욶 욷 울 욹 욺 욻 욼 욽 욾 욿 움 웁 웂 웃 웄 웅 웆 웇 웈 웉</t>
        </is>
      </c>
      <c r="P289" s="37" t="inlineStr"/>
      <c r="Q289" s="38" t="inlineStr"/>
      <c r="R289" s="43" t="inlineStr"/>
      <c r="S289" s="40" t="n"/>
      <c r="V289" s="14">
        <f>(LEN(O289)+1)/2</f>
        <v/>
      </c>
      <c r="W289" s="14">
        <f>ROUNDDOWN((LEN(P289)+1)/2,0)</f>
        <v/>
      </c>
      <c r="X289" s="14">
        <f>ROUNDDOWN((LEN(Q289)+1)/2,0)</f>
        <v/>
      </c>
      <c r="Y289" s="14">
        <f>ROUNDDOWN((LEN(R289)+1)/2,0)</f>
        <v/>
      </c>
      <c r="Z289" s="14">
        <f>ROUNDDOWN((LEN(S289)+1)/2,0)</f>
        <v/>
      </c>
      <c r="AA289" s="56" t="n">
        <v>46150.55861357594</v>
      </c>
    </row>
    <row r="290" ht="102" customHeight="1">
      <c r="B290" s="46" t="inlineStr">
        <is>
          <t>U+C6CA-U+C7C7</t>
        </is>
      </c>
      <c r="C290" s="46" t="inlineStr">
        <is>
          <t>Hangul Syllables</t>
        </is>
      </c>
      <c r="D290" s="54">
        <f>HEX2DEC(MID(B290,3,FIND("-",E290)-3))</f>
        <v/>
      </c>
      <c r="E290" s="46" t="inlineStr">
        <is>
          <t>U+AC00-U+D7AF</t>
        </is>
      </c>
      <c r="F290" s="12" t="n">
        <v>3</v>
      </c>
      <c r="J290" s="19">
        <f>ROUNDDOWN(W290,0)/$V290</f>
        <v/>
      </c>
      <c r="K290" s="19">
        <f>ROUNDDOWN(X290,0)/$V290</f>
        <v/>
      </c>
      <c r="L290" s="19">
        <f>ROUNDDOWN(Y290,0)/$V290</f>
        <v/>
      </c>
      <c r="M290" s="19">
        <f>ROUNDDOWN(Z290,0)/$V290</f>
        <v/>
      </c>
      <c r="O290" s="36" t="inlineStr">
        <is>
          <t>웊 웋 워 웍 웎 웏 원 웑 웒 웓 월 웕 웖 웗 웘 웙 웚 웛 웜 웝 웞 웟 웠 웡 웢 웣 웤 웥 웦 웧 웨 웩 웪 웫 웬 웭 웮 웯 웰 웱 웲 웳 웴 웵 웶 웷 웸 웹 웺 웻 웼 웽 웾 웿 윀 윁 윂 윃 위 윅 윆 윇 윈 윉 윊 윋 윌 윍 윎 윏 윐 윑 윒 윓 윔 윕 윖 윗 윘 윙 윚 윛 윜 윝 윞 윟 유 육 윢 윣 윤 윥 윦 윧 율 윩 윪 윫 윬 윭 윮 윯 윰 윱 윲 윳 윴 융 윶 윷 윸 윹 윺 윻 으 윽 윾 윿 은 읁 읂 읃 을 읅 읆 읇 읈 읉 읊 읋 음 읍 읎 읏 읐 응 읒 읓 읔 읕 읖 읗 의 읙 읚 읛 읜 읝 읞 읟 읠 읡 읢 읣 읤 읥 읦 읧 읨 읩 읪 읫 읬 읭 읮 읯 읰 읱 읲 읳 이 익 읶 읷 인 읹 읺 읻 일 읽 읾 읿 잀 잁 잂 잃 임 입 잆 잇 있 잉 잊 잋 잌 잍 잎 잏 자 작 잒 잓 잔 잕 잖 잗 잘 잙 잚 잛 잜 잝 잞 잟 잠 잡 잢 잣 잤 장 잦 잧 잨 잩 잪 잫 재 잭 잮 잯 잰 잱 잲 잳 잴 잵 잶 잷 잸 잹 잺 잻 잼 잽 잾 잿 쟀 쟁 쟂 쟃 쟄 쟅 쟆 쟇</t>
        </is>
      </c>
      <c r="P290" s="37" t="inlineStr"/>
      <c r="Q290" s="38" t="inlineStr"/>
      <c r="R290" s="43" t="inlineStr"/>
      <c r="S290" s="40" t="n"/>
      <c r="V290" s="14">
        <f>(LEN(O290)+1)/2</f>
        <v/>
      </c>
      <c r="W290" s="14">
        <f>ROUNDDOWN((LEN(P290)+1)/2,0)</f>
        <v/>
      </c>
      <c r="X290" s="14">
        <f>ROUNDDOWN((LEN(Q290)+1)/2,0)</f>
        <v/>
      </c>
      <c r="Y290" s="14">
        <f>ROUNDDOWN((LEN(R290)+1)/2,0)</f>
        <v/>
      </c>
      <c r="Z290" s="14">
        <f>ROUNDDOWN((LEN(S290)+1)/2,0)</f>
        <v/>
      </c>
      <c r="AA290" s="56" t="n">
        <v>46150.5586135825</v>
      </c>
    </row>
    <row r="291" ht="102" customHeight="1">
      <c r="B291" s="46" t="inlineStr">
        <is>
          <t>U+C7C8-U+C8C5</t>
        </is>
      </c>
      <c r="C291" s="46" t="inlineStr">
        <is>
          <t>Hangul Syllables</t>
        </is>
      </c>
      <c r="D291" s="54">
        <f>HEX2DEC(MID(B291,3,FIND("-",E291)-3))</f>
        <v/>
      </c>
      <c r="E291" s="46" t="inlineStr">
        <is>
          <t>U+AC00-U+D7AF</t>
        </is>
      </c>
      <c r="F291" s="12" t="n">
        <v>3</v>
      </c>
      <c r="J291" s="19">
        <f>ROUNDDOWN(W291,0)/$V291</f>
        <v/>
      </c>
      <c r="K291" s="19">
        <f>ROUNDDOWN(X291,0)/$V291</f>
        <v/>
      </c>
      <c r="L291" s="19">
        <f>ROUNDDOWN(Y291,0)/$V291</f>
        <v/>
      </c>
      <c r="M291" s="19">
        <f>ROUNDDOWN(Z291,0)/$V291</f>
        <v/>
      </c>
      <c r="O291" s="36" t="inlineStr">
        <is>
          <t>쟈 쟉 쟊 쟋 쟌 쟍 쟎 쟏 쟐 쟑 쟒 쟓 쟔 쟕 쟖 쟗 쟘 쟙 쟚 쟛 쟜 쟝 쟞 쟟 쟠 쟡 쟢 쟣 쟤 쟥 쟦 쟧 쟨 쟩 쟪 쟫 쟬 쟭 쟮 쟯 쟰 쟱 쟲 쟳 쟴 쟵 쟶 쟷 쟸 쟹 쟺 쟻 쟼 쟽 쟾 쟿 저 적 젂 젃 전 젅 젆 젇 절 젉 젊 젋 젌 젍 젎 젏 점 접 젒 젓 젔 정 젖 젗 젘 젙 젚 젛 제 젝 젞 젟 젠 젡 젢 젣 젤 젥 젦 젧 젨 젩 젪 젫 젬 젭 젮 젯 젰 젱 젲 젳 젴 젵 젶 젷 져 젹 젺 젻 젼 젽 젾 젿 졀 졁 졂 졃 졄 졅 졆 졇 졈 졉 졊 졋 졌 졍 졎 졏 졐 졑 졒 졓 졔 졕 졖 졗 졘 졙 졚 졛 졜 졝 졞 졟 졠 졡 졢 졣 졤 졥 졦 졧 졨 졩 졪 졫 졬 졭 졮 졯 조 족 졲 졳 존 졵 졶 졷 졸 졹 졺 졻 졼 졽 졾 졿 좀 좁 좂 좃 좄 종 좆 좇 좈 좉 좊 좋 좌 좍 좎 좏 좐 좑 좒 좓 좔 좕 좖 좗 좘 좙 좚 좛 좜 좝 좞 좟 좠 좡 좢 좣 좤 좥 좦 좧 좨 좩 좪 좫 좬 좭 좮 좯 좰 좱 좲 좳 좴 좵 좶 좷 좸 좹 좺 좻 좼 좽 좾 좿 죀 죁 죂 죃 죄 죅</t>
        </is>
      </c>
      <c r="P291" s="37" t="inlineStr"/>
      <c r="Q291" s="38" t="inlineStr"/>
      <c r="R291" s="43" t="inlineStr"/>
      <c r="S291" s="40" t="n"/>
      <c r="V291" s="14">
        <f>(LEN(O291)+1)/2</f>
        <v/>
      </c>
      <c r="W291" s="14">
        <f>ROUNDDOWN((LEN(P291)+1)/2,0)</f>
        <v/>
      </c>
      <c r="X291" s="14">
        <f>ROUNDDOWN((LEN(Q291)+1)/2,0)</f>
        <v/>
      </c>
      <c r="Y291" s="14">
        <f>ROUNDDOWN((LEN(R291)+1)/2,0)</f>
        <v/>
      </c>
      <c r="Z291" s="14">
        <f>ROUNDDOWN((LEN(S291)+1)/2,0)</f>
        <v/>
      </c>
      <c r="AA291" s="56" t="n">
        <v>46150.55861358892</v>
      </c>
    </row>
    <row r="292" ht="102" customHeight="1">
      <c r="B292" s="46" t="inlineStr">
        <is>
          <t>U+C8C6-U+C9C3</t>
        </is>
      </c>
      <c r="C292" s="46" t="inlineStr">
        <is>
          <t>Hangul Syllables</t>
        </is>
      </c>
      <c r="D292" s="54">
        <f>HEX2DEC(MID(B292,3,FIND("-",E292)-3))</f>
        <v/>
      </c>
      <c r="E292" s="46" t="inlineStr">
        <is>
          <t>U+AC00-U+D7AF</t>
        </is>
      </c>
      <c r="F292" s="12" t="n">
        <v>3</v>
      </c>
      <c r="J292" s="19">
        <f>ROUNDDOWN(W292,0)/$V292</f>
        <v/>
      </c>
      <c r="K292" s="19">
        <f>ROUNDDOWN(X292,0)/$V292</f>
        <v/>
      </c>
      <c r="L292" s="19">
        <f>ROUNDDOWN(Y292,0)/$V292</f>
        <v/>
      </c>
      <c r="M292" s="19">
        <f>ROUNDDOWN(Z292,0)/$V292</f>
        <v/>
      </c>
      <c r="O292" s="36" t="inlineStr">
        <is>
          <t>죆 죇 죈 죉 죊 죋 죌 죍 죎 죏 죐 죑 죒 죓 죔 죕 죖 죗 죘 죙 죚 죛 죜 죝 죞 죟 죠 죡 죢 죣 죤 죥 죦 죧 죨 죩 죪 죫 죬 죭 죮 죯 죰 죱 죲 죳 죴 죵 죶 죷 죸 죹 죺 죻 주 죽 죾 죿 준 줁 줂 줃 줄 줅 줆 줇 줈 줉 줊 줋 줌 줍 줎 줏 줐 중 줒 줓 줔 줕 줖 줗 줘 줙 줚 줛 줜 줝 줞 줟 줠 줡 줢 줣 줤 줥 줦 줧 줨 줩 줪 줫 줬 줭 줮 줯 줰 줱 줲 줳 줴 줵 줶 줷 줸 줹 줺 줻 줼 줽 줾 줿 쥀 쥁 쥂 쥃 쥄 쥅 쥆 쥇 쥈 쥉 쥊 쥋 쥌 쥍 쥎 쥏 쥐 쥑 쥒 쥓 쥔 쥕 쥖 쥗 쥘 쥙 쥚 쥛 쥜 쥝 쥞 쥟 쥠 쥡 쥢 쥣 쥤 쥥 쥦 쥧 쥨 쥩 쥪 쥫 쥬 쥭 쥮 쥯 쥰 쥱 쥲 쥳 쥴 쥵 쥶 쥷 쥸 쥹 쥺 쥻 쥼 쥽 쥾 쥿 즀 즁 즂 즃 즄 즅 즆 즇 즈 즉 즊 즋 즌 즍 즎 즏 즐 즑 즒 즓 즔 즕 즖 즗 즘 즙 즚 즛 즜 증 즞 즟 즠 즡 즢 즣 즤 즥 즦 즧 즨 즩 즪 즫 즬 즭 즮 즯 즰 즱 즲 즳 즴 즵 즶 즷 즸 즹 즺 즻 즼 즽 즾 즿 지 직 짂 짃</t>
        </is>
      </c>
      <c r="P292" s="37" t="inlineStr"/>
      <c r="Q292" s="38" t="inlineStr"/>
      <c r="R292" s="43" t="inlineStr"/>
      <c r="S292" s="40" t="n"/>
      <c r="V292" s="14">
        <f>(LEN(O292)+1)/2</f>
        <v/>
      </c>
      <c r="W292" s="14">
        <f>ROUNDDOWN((LEN(P292)+1)/2,0)</f>
        <v/>
      </c>
      <c r="X292" s="14">
        <f>ROUNDDOWN((LEN(Q292)+1)/2,0)</f>
        <v/>
      </c>
      <c r="Y292" s="14">
        <f>ROUNDDOWN((LEN(R292)+1)/2,0)</f>
        <v/>
      </c>
      <c r="Z292" s="14">
        <f>ROUNDDOWN((LEN(S292)+1)/2,0)</f>
        <v/>
      </c>
      <c r="AA292" s="56" t="n">
        <v>46150.55861359464</v>
      </c>
    </row>
    <row r="293" ht="102" customHeight="1">
      <c r="B293" s="46" t="inlineStr">
        <is>
          <t>U+C9C4-U+CAC1</t>
        </is>
      </c>
      <c r="C293" s="46" t="inlineStr">
        <is>
          <t>Hangul Syllables</t>
        </is>
      </c>
      <c r="D293" s="54">
        <f>HEX2DEC(MID(B293,3,FIND("-",E293)-3))</f>
        <v/>
      </c>
      <c r="E293" s="46" t="inlineStr">
        <is>
          <t>U+AC00-U+D7AF</t>
        </is>
      </c>
      <c r="F293" s="12" t="n">
        <v>3</v>
      </c>
      <c r="J293" s="19">
        <f>ROUNDDOWN(W293,0)/$V293</f>
        <v/>
      </c>
      <c r="K293" s="19">
        <f>ROUNDDOWN(X293,0)/$V293</f>
        <v/>
      </c>
      <c r="L293" s="19">
        <f>ROUNDDOWN(Y293,0)/$V293</f>
        <v/>
      </c>
      <c r="M293" s="19">
        <f>ROUNDDOWN(Z293,0)/$V293</f>
        <v/>
      </c>
      <c r="O293" s="36" t="inlineStr">
        <is>
          <t>진 짅 짆 짇 질 짉 짊 짋 짌 짍 짎 짏 짐 집 짒 짓 짔 징 짖 짗 짘 짙 짚 짛 짜 짝 짞 짟 짠 짡 짢 짣 짤 짥 짦 짧 짨 짩 짪 짫 짬 짭 짮 짯 짰 짱 짲 짳 짴 짵 짶 짷 째 짹 짺 짻 짼 짽 짾 짿 쨀 쨁 쨂 쨃 쨄 쨅 쨆 쨇 쨈 쨉 쨊 쨋 쨌 쨍 쨎 쨏 쨐 쨑 쨒 쨓 쨔 쨕 쨖 쨗 쨘 쨙 쨚 쨛 쨜 쨝 쨞 쨟 쨠 쨡 쨢 쨣 쨤 쨥 쨦 쨧 쨨 쨩 쨪 쨫 쨬 쨭 쨮 쨯 쨰 쨱 쨲 쨳 쨴 쨵 쨶 쨷 쨸 쨹 쨺 쨻 쨼 쨽 쨾 쨿 쩀 쩁 쩂 쩃 쩄 쩅 쩆 쩇 쩈 쩉 쩊 쩋 쩌 쩍 쩎 쩏 쩐 쩑 쩒 쩓 쩔 쩕 쩖 쩗 쩘 쩙 쩚 쩛 쩜 쩝 쩞 쩟 쩠 쩡 쩢 쩣 쩤 쩥 쩦 쩧 쩨 쩩 쩪 쩫 쩬 쩭 쩮 쩯 쩰 쩱 쩲 쩳 쩴 쩵 쩶 쩷 쩸 쩹 쩺 쩻 쩼 쩽 쩾 쩿 쪀 쪁 쪂 쪃 쪄 쪅 쪆 쪇 쪈 쪉 쪊 쪋 쪌 쪍 쪎 쪏 쪐 쪑 쪒 쪓 쪔 쪕 쪖 쪗 쪘 쪙 쪚 쪛 쪜 쪝 쪞 쪟 쪠 쪡 쪢 쪣 쪤 쪥 쪦 쪧 쪨 쪩 쪪 쪫 쪬 쪭 쪮 쪯 쪰 쪱 쪲 쪳 쪴 쪵 쪶 쪷 쪸 쪹 쪺 쪻 쪼 쪽 쪾 쪿 쫀 쫁</t>
        </is>
      </c>
      <c r="P293" s="37" t="inlineStr"/>
      <c r="Q293" s="38" t="inlineStr"/>
      <c r="R293" s="43" t="inlineStr"/>
      <c r="S293" s="40" t="n"/>
      <c r="V293" s="14">
        <f>(LEN(O293)+1)/2</f>
        <v/>
      </c>
      <c r="W293" s="14">
        <f>ROUNDDOWN((LEN(P293)+1)/2,0)</f>
        <v/>
      </c>
      <c r="X293" s="14">
        <f>ROUNDDOWN((LEN(Q293)+1)/2,0)</f>
        <v/>
      </c>
      <c r="Y293" s="14">
        <f>ROUNDDOWN((LEN(R293)+1)/2,0)</f>
        <v/>
      </c>
      <c r="Z293" s="14">
        <f>ROUNDDOWN((LEN(S293)+1)/2,0)</f>
        <v/>
      </c>
      <c r="AA293" s="56" t="n">
        <v>46150.55861360058</v>
      </c>
    </row>
    <row r="294" ht="102" customHeight="1">
      <c r="B294" s="46" t="inlineStr">
        <is>
          <t>U+CAC2-U+CBBF</t>
        </is>
      </c>
      <c r="C294" s="46" t="inlineStr">
        <is>
          <t>Hangul Syllables</t>
        </is>
      </c>
      <c r="D294" s="54">
        <f>HEX2DEC(MID(B294,3,FIND("-",E294)-3))</f>
        <v/>
      </c>
      <c r="E294" s="46" t="inlineStr">
        <is>
          <t>U+AC00-U+D7AF</t>
        </is>
      </c>
      <c r="F294" s="12" t="n">
        <v>3</v>
      </c>
      <c r="J294" s="19">
        <f>ROUNDDOWN(W294,0)/$V294</f>
        <v/>
      </c>
      <c r="K294" s="19">
        <f>ROUNDDOWN(X294,0)/$V294</f>
        <v/>
      </c>
      <c r="L294" s="19">
        <f>ROUNDDOWN(Y294,0)/$V294</f>
        <v/>
      </c>
      <c r="M294" s="19">
        <f>ROUNDDOWN(Z294,0)/$V294</f>
        <v/>
      </c>
      <c r="O294" s="36" t="inlineStr">
        <is>
          <t>쫂 쫃 쫄 쫅 쫆 쫇 쫈 쫉 쫊 쫋 쫌 쫍 쫎 쫏 쫐 쫑 쫒 쫓 쫔 쫕 쫖 쫗 쫘 쫙 쫚 쫛 쫜 쫝 쫞 쫟 쫠 쫡 쫢 쫣 쫤 쫥 쫦 쫧 쫨 쫩 쫪 쫫 쫬 쫭 쫮 쫯 쫰 쫱 쫲 쫳 쫴 쫵 쫶 쫷 쫸 쫹 쫺 쫻 쫼 쫽 쫾 쫿 쬀 쬁 쬂 쬃 쬄 쬅 쬆 쬇 쬈 쬉 쬊 쬋 쬌 쬍 쬎 쬏 쬐 쬑 쬒 쬓 쬔 쬕 쬖 쬗 쬘 쬙 쬚 쬛 쬜 쬝 쬞 쬟 쬠 쬡 쬢 쬣 쬤 쬥 쬦 쬧 쬨 쬩 쬪 쬫 쬬 쬭 쬮 쬯 쬰 쬱 쬲 쬳 쬴 쬵 쬶 쬷 쬸 쬹 쬺 쬻 쬼 쬽 쬾 쬿 쭀 쭁 쭂 쭃 쭄 쭅 쭆 쭇 쭈 쭉 쭊 쭋 쭌 쭍 쭎 쭏 쭐 쭑 쭒 쭓 쭔 쭕 쭖 쭗 쭘 쭙 쭚 쭛 쭜 쭝 쭞 쭟 쭠 쭡 쭢 쭣 쭤 쭥 쭦 쭧 쭨 쭩 쭪 쭫 쭬 쭭 쭮 쭯 쭰 쭱 쭲 쭳 쭴 쭵 쭶 쭷 쭸 쭹 쭺 쭻 쭼 쭽 쭾 쭿 쮀 쮁 쮂 쮃 쮄 쮅 쮆 쮇 쮈 쮉 쮊 쮋 쮌 쮍 쮎 쮏 쮐 쮑 쮒 쮓 쮔 쮕 쮖 쮗 쮘 쮙 쮚 쮛 쮜 쮝 쮞 쮟 쮠 쮡 쮢 쮣 쮤 쮥 쮦 쮧 쮨 쮩 쮪 쮫 쮬 쮭 쮮 쮯 쮰 쮱 쮲 쮳 쮴 쮵 쮶 쮷 쮸 쮹 쮺 쮻 쮼 쮽 쮾 쮿</t>
        </is>
      </c>
      <c r="P294" s="37" t="inlineStr"/>
      <c r="Q294" s="38" t="inlineStr"/>
      <c r="R294" s="43" t="inlineStr"/>
      <c r="S294" s="40" t="n"/>
      <c r="V294" s="14">
        <f>(LEN(O294)+1)/2</f>
        <v/>
      </c>
      <c r="W294" s="14">
        <f>ROUNDDOWN((LEN(P294)+1)/2,0)</f>
        <v/>
      </c>
      <c r="X294" s="14">
        <f>ROUNDDOWN((LEN(Q294)+1)/2,0)</f>
        <v/>
      </c>
      <c r="Y294" s="14">
        <f>ROUNDDOWN((LEN(R294)+1)/2,0)</f>
        <v/>
      </c>
      <c r="Z294" s="14">
        <f>ROUNDDOWN((LEN(S294)+1)/2,0)</f>
        <v/>
      </c>
      <c r="AA294" s="56" t="n">
        <v>46150.55861361045</v>
      </c>
    </row>
    <row r="295" ht="102" customHeight="1">
      <c r="B295" s="46" t="inlineStr">
        <is>
          <t>U+CBC0-U+CCBD</t>
        </is>
      </c>
      <c r="C295" s="46" t="inlineStr">
        <is>
          <t>Hangul Syllables</t>
        </is>
      </c>
      <c r="D295" s="54">
        <f>HEX2DEC(MID(B295,3,FIND("-",E295)-3))</f>
        <v/>
      </c>
      <c r="E295" s="46" t="inlineStr">
        <is>
          <t>U+AC00-U+D7AF</t>
        </is>
      </c>
      <c r="F295" s="12" t="n">
        <v>3</v>
      </c>
      <c r="J295" s="19">
        <f>ROUNDDOWN(W295,0)/$V295</f>
        <v/>
      </c>
      <c r="K295" s="19">
        <f>ROUNDDOWN(X295,0)/$V295</f>
        <v/>
      </c>
      <c r="L295" s="19">
        <f>ROUNDDOWN(Y295,0)/$V295</f>
        <v/>
      </c>
      <c r="M295" s="19">
        <f>ROUNDDOWN(Z295,0)/$V295</f>
        <v/>
      </c>
      <c r="O295" s="36" t="inlineStr">
        <is>
          <t>쯀 쯁 쯂 쯃 쯄 쯅 쯆 쯇 쯈 쯉 쯊 쯋 쯌 쯍 쯎 쯏 쯐 쯑 쯒 쯓 쯔 쯕 쯖 쯗 쯘 쯙 쯚 쯛 쯜 쯝 쯞 쯟 쯠 쯡 쯢 쯣 쯤 쯥 쯦 쯧 쯨 쯩 쯪 쯫 쯬 쯭 쯮 쯯 쯰 쯱 쯲 쯳 쯴 쯵 쯶 쯷 쯸 쯹 쯺 쯻 쯼 쯽 쯾 쯿 찀 찁 찂 찃 찄 찅 찆 찇 찈 찉 찊 찋 찌 찍 찎 찏 찐 찑 찒 찓 찔 찕 찖 찗 찘 찙 찚 찛 찜 찝 찞 찟 찠 찡 찢 찣 찤 찥 찦 찧 차 착 찪 찫 찬 찭 찮 찯 찰 찱 찲 찳 찴 찵 찶 찷 참 찹 찺 찻 찼 창 찾 찿 챀 챁 챂 챃 채 책 챆 챇 챈 챉 챊 챋 챌 챍 챎 챏 챐 챑 챒 챓 챔 챕 챖 챗 챘 챙 챚 챛 챜 챝 챞 챟 챠 챡 챢 챣 챤 챥 챦 챧 챨 챩 챪 챫 챬 챭 챮 챯 챰 챱 챲 챳 챴 챵 챶 챷 챸 챹 챺 챻 챼 챽 챾 챿 첀 첁 첂 첃 첄 첅 첆 첇 첈 첉 첊 첋 첌 첍 첎 첏 첐 첑 첒 첓 첔 첕 첖 첗 처 척 첚 첛 천 첝 첞 첟 철 첡 첢 첣 첤 첥 첦 첧 첨 첩 첪 첫 첬 청 첮 첯 첰 첱 첲 첳 체 첵 첶 첷 첸 첹 첺 첻 첼 첽</t>
        </is>
      </c>
      <c r="P295" s="37" t="inlineStr"/>
      <c r="Q295" s="38" t="inlineStr"/>
      <c r="R295" s="43" t="inlineStr"/>
      <c r="S295" s="40" t="n"/>
      <c r="V295" s="14">
        <f>(LEN(O295)+1)/2</f>
        <v/>
      </c>
      <c r="W295" s="14">
        <f>ROUNDDOWN((LEN(P295)+1)/2,0)</f>
        <v/>
      </c>
      <c r="X295" s="14">
        <f>ROUNDDOWN((LEN(Q295)+1)/2,0)</f>
        <v/>
      </c>
      <c r="Y295" s="14">
        <f>ROUNDDOWN((LEN(R295)+1)/2,0)</f>
        <v/>
      </c>
      <c r="Z295" s="14">
        <f>ROUNDDOWN((LEN(S295)+1)/2,0)</f>
        <v/>
      </c>
      <c r="AA295" s="56" t="n">
        <v>46150.55861361708</v>
      </c>
    </row>
    <row r="296" ht="102" customHeight="1">
      <c r="B296" s="46" t="inlineStr">
        <is>
          <t>U+CCBE-U+CDBB</t>
        </is>
      </c>
      <c r="C296" s="46" t="inlineStr">
        <is>
          <t>Hangul Syllables</t>
        </is>
      </c>
      <c r="D296" s="54">
        <f>HEX2DEC(MID(B296,3,FIND("-",E296)-3))</f>
        <v/>
      </c>
      <c r="E296" s="46" t="inlineStr">
        <is>
          <t>U+AC00-U+D7AF</t>
        </is>
      </c>
      <c r="F296" s="12" t="n">
        <v>3</v>
      </c>
      <c r="J296" s="19">
        <f>ROUNDDOWN(W296,0)/$V296</f>
        <v/>
      </c>
      <c r="K296" s="19">
        <f>ROUNDDOWN(X296,0)/$V296</f>
        <v/>
      </c>
      <c r="L296" s="19">
        <f>ROUNDDOWN(Y296,0)/$V296</f>
        <v/>
      </c>
      <c r="M296" s="19">
        <f>ROUNDDOWN(Z296,0)/$V296</f>
        <v/>
      </c>
      <c r="O296" s="36" t="inlineStr">
        <is>
          <t>첾 첿 쳀 쳁 쳂 쳃 쳄 쳅 쳆 쳇 쳈 쳉 쳊 쳋 쳌 쳍 쳎 쳏 쳐 쳑 쳒 쳓 쳔 쳕 쳖 쳗 쳘 쳙 쳚 쳛 쳜 쳝 쳞 쳟 쳠 쳡 쳢 쳣 쳤 쳥 쳦 쳧 쳨 쳩 쳪 쳫 쳬 쳭 쳮 쳯 쳰 쳱 쳲 쳳 쳴 쳵 쳶 쳷 쳸 쳹 쳺 쳻 쳼 쳽 쳾 쳿 촀 촁 촂 촃 촄 촅 촆 촇 초 촉 촊 촋 촌 촍 촎 촏 촐 촑 촒 촓 촔 촕 촖 촗 촘 촙 촚 촛 촜 총 촞 촟 촠 촡 촢 촣 촤 촥 촦 촧 촨 촩 촪 촫 촬 촭 촮 촯 촰 촱 촲 촳 촴 촵 촶 촷 촸 촹 촺 촻 촼 촽 촾 촿 쵀 쵁 쵂 쵃 쵄 쵅 쵆 쵇 쵈 쵉 쵊 쵋 쵌 쵍 쵎 쵏 쵐 쵑 쵒 쵓 쵔 쵕 쵖 쵗 쵘 쵙 쵚 쵛 최 쵝 쵞 쵟 쵠 쵡 쵢 쵣 쵤 쵥 쵦 쵧 쵨 쵩 쵪 쵫 쵬 쵭 쵮 쵯 쵰 쵱 쵲 쵳 쵴 쵵 쵶 쵷 쵸 쵹 쵺 쵻 쵼 쵽 쵾 쵿 춀 춁 춂 춃 춄 춅 춆 춇 춈 춉 춊 춋 춌 춍 춎 춏 춐 춑 춒 춓 추 축 춖 춗 춘 춙 춚 춛 출 춝 춞 춟 춠 춡 춢 춣 춤 춥 춦 춧 춨 충 춪 춫 춬 춭 춮 춯 춰 춱 춲 춳 춴 춵 춶 춷 춸 춹 춺 춻</t>
        </is>
      </c>
      <c r="P296" s="37" t="inlineStr"/>
      <c r="Q296" s="38" t="inlineStr"/>
      <c r="R296" s="43" t="inlineStr"/>
      <c r="S296" s="40" t="n"/>
      <c r="V296" s="14">
        <f>(LEN(O296)+1)/2</f>
        <v/>
      </c>
      <c r="W296" s="14">
        <f>ROUNDDOWN((LEN(P296)+1)/2,0)</f>
        <v/>
      </c>
      <c r="X296" s="14">
        <f>ROUNDDOWN((LEN(Q296)+1)/2,0)</f>
        <v/>
      </c>
      <c r="Y296" s="14">
        <f>ROUNDDOWN((LEN(R296)+1)/2,0)</f>
        <v/>
      </c>
      <c r="Z296" s="14">
        <f>ROUNDDOWN((LEN(S296)+1)/2,0)</f>
        <v/>
      </c>
      <c r="AA296" s="56" t="n">
        <v>46150.55861362298</v>
      </c>
    </row>
    <row r="297" ht="102" customHeight="1">
      <c r="B297" s="46" t="inlineStr">
        <is>
          <t>U+CDBC-U+CEB9</t>
        </is>
      </c>
      <c r="C297" s="46" t="inlineStr">
        <is>
          <t>Hangul Syllables</t>
        </is>
      </c>
      <c r="D297" s="54">
        <f>HEX2DEC(MID(B297,3,FIND("-",E297)-3))</f>
        <v/>
      </c>
      <c r="E297" s="46" t="inlineStr">
        <is>
          <t>U+AC00-U+D7AF</t>
        </is>
      </c>
      <c r="F297" s="12" t="n">
        <v>3</v>
      </c>
      <c r="J297" s="19">
        <f>ROUNDDOWN(W297,0)/$V297</f>
        <v/>
      </c>
      <c r="K297" s="19">
        <f>ROUNDDOWN(X297,0)/$V297</f>
        <v/>
      </c>
      <c r="L297" s="19">
        <f>ROUNDDOWN(Y297,0)/$V297</f>
        <v/>
      </c>
      <c r="M297" s="19">
        <f>ROUNDDOWN(Z297,0)/$V297</f>
        <v/>
      </c>
      <c r="O297" s="36" t="inlineStr">
        <is>
          <t>춼 춽 춾 춿 췀 췁 췂 췃 췄 췅 췆 췇 췈 췉 췊 췋 췌 췍 췎 췏 췐 췑 췒 췓 췔 췕 췖 췗 췘 췙 췚 췛 췜 췝 췞 췟 췠 췡 췢 췣 췤 췥 췦 췧 취 췩 췪 췫 췬 췭 췮 췯 췰 췱 췲 췳 췴 췵 췶 췷 췸 췹 췺 췻 췼 췽 췾 췿 츀 츁 츂 츃 츄 츅 츆 츇 츈 츉 츊 츋 츌 츍 츎 츏 츐 츑 츒 츓 츔 츕 츖 츗 츘 츙 츚 츛 츜 츝 츞 츟 츠 측 츢 츣 츤 츥 츦 츧 츨 츩 츪 츫 츬 츭 츮 츯 츰 츱 츲 츳 츴 층 츶 츷 츸 츹 츺 츻 츼 츽 츾 츿 칀 칁 칂 칃 칄 칅 칆 칇 칈 칉 칊 칋 칌 칍 칎 칏 칐 칑 칒 칓 칔 칕 칖 칗 치 칙 칚 칛 친 칝 칞 칟 칠 칡 칢 칣 칤 칥 칦 칧 침 칩 칪 칫 칬 칭 칮 칯 칰 칱 칲 칳 카 칵 칶 칷 칸 칹 칺 칻 칼 칽 칾 칿 캀 캁 캂 캃 캄 캅 캆 캇 캈 캉 캊 캋 캌 캍 캎 캏 캐 캑 캒 캓 캔 캕 캖 캗 캘 캙 캚 캛 캜 캝 캞 캟 캠 캡 캢 캣 캤 캥 캦 캧 캨 캩 캪 캫 캬 캭 캮 캯 캰 캱 캲 캳 캴 캵 캶 캷 캸 캹</t>
        </is>
      </c>
      <c r="P297" s="37" t="inlineStr"/>
      <c r="Q297" s="38" t="inlineStr"/>
      <c r="R297" s="43" t="inlineStr"/>
      <c r="S297" s="40" t="n"/>
      <c r="V297" s="14">
        <f>(LEN(O297)+1)/2</f>
        <v/>
      </c>
      <c r="W297" s="14">
        <f>ROUNDDOWN((LEN(P297)+1)/2,0)</f>
        <v/>
      </c>
      <c r="X297" s="14">
        <f>ROUNDDOWN((LEN(Q297)+1)/2,0)</f>
        <v/>
      </c>
      <c r="Y297" s="14">
        <f>ROUNDDOWN((LEN(R297)+1)/2,0)</f>
        <v/>
      </c>
      <c r="Z297" s="14">
        <f>ROUNDDOWN((LEN(S297)+1)/2,0)</f>
        <v/>
      </c>
      <c r="AA297" s="56" t="n">
        <v>46150.55861362972</v>
      </c>
    </row>
    <row r="298" ht="102" customHeight="1">
      <c r="B298" s="46" t="inlineStr">
        <is>
          <t>U+CEBA-U+CFB7</t>
        </is>
      </c>
      <c r="C298" s="46" t="inlineStr">
        <is>
          <t>Hangul Syllables</t>
        </is>
      </c>
      <c r="D298" s="54">
        <f>HEX2DEC(MID(B298,3,FIND("-",E298)-3))</f>
        <v/>
      </c>
      <c r="E298" s="46" t="inlineStr">
        <is>
          <t>U+AC00-U+D7AF</t>
        </is>
      </c>
      <c r="F298" s="12" t="n">
        <v>3</v>
      </c>
      <c r="J298" s="19">
        <f>ROUNDDOWN(W298,0)/$V298</f>
        <v/>
      </c>
      <c r="K298" s="19">
        <f>ROUNDDOWN(X298,0)/$V298</f>
        <v/>
      </c>
      <c r="L298" s="19">
        <f>ROUNDDOWN(Y298,0)/$V298</f>
        <v/>
      </c>
      <c r="M298" s="19">
        <f>ROUNDDOWN(Z298,0)/$V298</f>
        <v/>
      </c>
      <c r="O298" s="36" t="inlineStr">
        <is>
          <t>캺 캻 캼 캽 캾 캿 컀 컁 컂 컃 컄 컅 컆 컇 컈 컉 컊 컋 컌 컍 컎 컏 컐 컑 컒 컓 컔 컕 컖 컗 컘 컙 컚 컛 컜 컝 컞 컟 컠 컡 컢 컣 커 컥 컦 컧 컨 컩 컪 컫 컬 컭 컮 컯 컰 컱 컲 컳 컴 컵 컶 컷 컸 컹 컺 컻 컼 컽 컾 컿 케 켁 켂 켃 켄 켅 켆 켇 켈 켉 켊 켋 켌 켍 켎 켏 켐 켑 켒 켓 켔 켕 켖 켗 켘 켙 켚 켛 켜 켝 켞 켟 켠 켡 켢 켣 켤 켥 켦 켧 켨 켩 켪 켫 켬 켭 켮 켯 켰 켱 켲 켳 켴 켵 켶 켷 켸 켹 켺 켻 켼 켽 켾 켿 콀 콁 콂 콃 콄 콅 콆 콇 콈 콉 콊 콋 콌 콍 콎 콏 콐 콑 콒 콓 코 콕 콖 콗 콘 콙 콚 콛 콜 콝 콞 콟 콠 콡 콢 콣 콤 콥 콦 콧 콨 콩 콪 콫 콬 콭 콮 콯 콰 콱 콲 콳 콴 콵 콶 콷 콸 콹 콺 콻 콼 콽 콾 콿 쾀 쾁 쾂 쾃 쾄 쾅 쾆 쾇 쾈 쾉 쾊 쾋 쾌 쾍 쾎 쾏 쾐 쾑 쾒 쾓 쾔 쾕 쾖 쾗 쾘 쾙 쾚 쾛 쾜 쾝 쾞 쾟 쾠 쾡 쾢 쾣 쾤 쾥 쾦 쾧 쾨 쾩 쾪 쾫 쾬 쾭 쾮 쾯 쾰 쾱 쾲 쾳 쾴 쾵 쾶 쾷</t>
        </is>
      </c>
      <c r="P298" s="37" t="inlineStr"/>
      <c r="Q298" s="38" t="inlineStr"/>
      <c r="R298" s="43" t="inlineStr"/>
      <c r="S298" s="40" t="n"/>
      <c r="V298" s="14">
        <f>(LEN(O298)+1)/2</f>
        <v/>
      </c>
      <c r="W298" s="14">
        <f>ROUNDDOWN((LEN(P298)+1)/2,0)</f>
        <v/>
      </c>
      <c r="X298" s="14">
        <f>ROUNDDOWN((LEN(Q298)+1)/2,0)</f>
        <v/>
      </c>
      <c r="Y298" s="14">
        <f>ROUNDDOWN((LEN(R298)+1)/2,0)</f>
        <v/>
      </c>
      <c r="Z298" s="14">
        <f>ROUNDDOWN((LEN(S298)+1)/2,0)</f>
        <v/>
      </c>
      <c r="AA298" s="56" t="n">
        <v>46150.55861363559</v>
      </c>
    </row>
    <row r="299" ht="102" customHeight="1">
      <c r="B299" s="46" t="inlineStr">
        <is>
          <t>U+CFB8-U+D0B5</t>
        </is>
      </c>
      <c r="C299" s="46" t="inlineStr">
        <is>
          <t>Hangul Syllables</t>
        </is>
      </c>
      <c r="D299" s="54">
        <f>HEX2DEC(MID(B299,3,FIND("-",E299)-3))</f>
        <v/>
      </c>
      <c r="E299" s="46" t="inlineStr">
        <is>
          <t>U+AC00-U+D7AF</t>
        </is>
      </c>
      <c r="F299" s="12" t="n">
        <v>3</v>
      </c>
      <c r="J299" s="19">
        <f>ROUNDDOWN(W299,0)/$V299</f>
        <v/>
      </c>
      <c r="K299" s="19">
        <f>ROUNDDOWN(X299,0)/$V299</f>
        <v/>
      </c>
      <c r="L299" s="19">
        <f>ROUNDDOWN(Y299,0)/$V299</f>
        <v/>
      </c>
      <c r="M299" s="19">
        <f>ROUNDDOWN(Z299,0)/$V299</f>
        <v/>
      </c>
      <c r="O299" s="36" t="inlineStr">
        <is>
          <t>쾸 쾹 쾺 쾻 쾼 쾽 쾾 쾿 쿀 쿁 쿂 쿃 쿄 쿅 쿆 쿇 쿈 쿉 쿊 쿋 쿌 쿍 쿎 쿏 쿐 쿑 쿒 쿓 쿔 쿕 쿖 쿗 쿘 쿙 쿚 쿛 쿜 쿝 쿞 쿟 쿠 쿡 쿢 쿣 쿤 쿥 쿦 쿧 쿨 쿩 쿪 쿫 쿬 쿭 쿮 쿯 쿰 쿱 쿲 쿳 쿴 쿵 쿶 쿷 쿸 쿹 쿺 쿻 쿼 쿽 쿾 쿿 퀀 퀁 퀂 퀃 퀄 퀅 퀆 퀇 퀈 퀉 퀊 퀋 퀌 퀍 퀎 퀏 퀐 퀑 퀒 퀓 퀔 퀕 퀖 퀗 퀘 퀙 퀚 퀛 퀜 퀝 퀞 퀟 퀠 퀡 퀢 퀣 퀤 퀥 퀦 퀧 퀨 퀩 퀪 퀫 퀬 퀭 퀮 퀯 퀰 퀱 퀲 퀳 퀴 퀵 퀶 퀷 퀸 퀹 퀺 퀻 퀼 퀽 퀾 퀿 큀 큁 큂 큃 큄 큅 큆 큇 큈 큉 큊 큋 큌 큍 큎 큏 큐 큑 큒 큓 큔 큕 큖 큗 큘 큙 큚 큛 큜 큝 큞 큟 큠 큡 큢 큣 큤 큥 큦 큧 큨 큩 큪 큫 크 큭 큮 큯 큰 큱 큲 큳 클 큵 큶 큷 큸 큹 큺 큻 큼 큽 큾 큿 킀 킁 킂 킃 킄 킅 킆 킇 킈 킉 킊 킋 킌 킍 킎 킏 킐 킑 킒 킓 킔 킕 킖 킗 킘 킙 킚 킛 킜 킝 킞 킟 킠 킡 킢 킣 키 킥 킦 킧 킨 킩 킪 킫 킬 킭 킮 킯 킰 킱 킲 킳 킴 킵</t>
        </is>
      </c>
      <c r="P299" s="37" t="inlineStr"/>
      <c r="Q299" s="38" t="inlineStr"/>
      <c r="R299" s="43" t="inlineStr"/>
      <c r="S299" s="40" t="n"/>
      <c r="V299" s="14">
        <f>(LEN(O299)+1)/2</f>
        <v/>
      </c>
      <c r="W299" s="14">
        <f>ROUNDDOWN((LEN(P299)+1)/2,0)</f>
        <v/>
      </c>
      <c r="X299" s="14">
        <f>ROUNDDOWN((LEN(Q299)+1)/2,0)</f>
        <v/>
      </c>
      <c r="Y299" s="14">
        <f>ROUNDDOWN((LEN(R299)+1)/2,0)</f>
        <v/>
      </c>
      <c r="Z299" s="14">
        <f>ROUNDDOWN((LEN(S299)+1)/2,0)</f>
        <v/>
      </c>
      <c r="AA299" s="56" t="n">
        <v>46150.55861364169</v>
      </c>
    </row>
    <row r="300" ht="102" customHeight="1">
      <c r="B300" s="46" t="inlineStr">
        <is>
          <t>U+D0B6-U+D1B3</t>
        </is>
      </c>
      <c r="C300" s="46" t="inlineStr">
        <is>
          <t>Hangul Syllables</t>
        </is>
      </c>
      <c r="D300" s="54">
        <f>HEX2DEC(MID(B300,3,FIND("-",E300)-3))</f>
        <v/>
      </c>
      <c r="E300" s="46" t="inlineStr">
        <is>
          <t>U+AC00-U+D7AF</t>
        </is>
      </c>
      <c r="F300" s="12" t="n">
        <v>3</v>
      </c>
      <c r="J300" s="19">
        <f>ROUNDDOWN(W300,0)/$V300</f>
        <v/>
      </c>
      <c r="K300" s="19">
        <f>ROUNDDOWN(X300,0)/$V300</f>
        <v/>
      </c>
      <c r="L300" s="19">
        <f>ROUNDDOWN(Y300,0)/$V300</f>
        <v/>
      </c>
      <c r="M300" s="19">
        <f>ROUNDDOWN(Z300,0)/$V300</f>
        <v/>
      </c>
      <c r="O300" s="36" t="inlineStr">
        <is>
          <t>킶 킷 킸 킹 킺 킻 킼 킽 킾 킿 타 탁 탂 탃 탄 탅 탆 탇 탈 탉 탊 탋 탌 탍 탎 탏 탐 탑 탒 탓 탔 탕 탖 탗 탘 탙 탚 탛 태 택 탞 탟 탠 탡 탢 탣 탤 탥 탦 탧 탨 탩 탪 탫 탬 탭 탮 탯 탰 탱 탲 탳 탴 탵 탶 탷 탸 탹 탺 탻 탼 탽 탾 탿 턀 턁 턂 턃 턄 턅 턆 턇 턈 턉 턊 턋 턌 턍 턎 턏 턐 턑 턒 턓 턔 턕 턖 턗 턘 턙 턚 턛 턜 턝 턞 턟 턠 턡 턢 턣 턤 턥 턦 턧 턨 턩 턪 턫 턬 턭 턮 턯 터 턱 턲 턳 턴 턵 턶 턷 털 턹 턺 턻 턼 턽 턾 턿 텀 텁 텂 텃 텄 텅 텆 텇 텈 텉 텊 텋 테 텍 텎 텏 텐 텑 텒 텓 텔 텕 텖 텗 텘 텙 텚 텛 템 텝 텞 텟 텠 텡 텢 텣 텤 텥 텦 텧 텨 텩 텪 텫 텬 텭 텮 텯 텰 텱 텲 텳 텴 텵 텶 텷 텸 텹 텺 텻 텼 텽 텾 텿 톀 톁 톂 톃 톄 톅 톆 톇 톈 톉 톊 톋 톌 톍 톎 톏 톐 톑 톒 톓 톔 톕 톖 톗 톘 톙 톚 톛 톜 톝 톞 톟 토 톡 톢 톣 톤 톥 톦 톧 톨 톩 톪 톫 톬 톭 톮 톯 톰 톱 톲 톳</t>
        </is>
      </c>
      <c r="P300" s="37" t="inlineStr"/>
      <c r="Q300" s="38" t="inlineStr"/>
      <c r="R300" s="43" t="inlineStr"/>
      <c r="S300" s="40" t="n"/>
      <c r="V300" s="14">
        <f>(LEN(O300)+1)/2</f>
        <v/>
      </c>
      <c r="W300" s="14">
        <f>ROUNDDOWN((LEN(P300)+1)/2,0)</f>
        <v/>
      </c>
      <c r="X300" s="14">
        <f>ROUNDDOWN((LEN(Q300)+1)/2,0)</f>
        <v/>
      </c>
      <c r="Y300" s="14">
        <f>ROUNDDOWN((LEN(R300)+1)/2,0)</f>
        <v/>
      </c>
      <c r="Z300" s="14">
        <f>ROUNDDOWN((LEN(S300)+1)/2,0)</f>
        <v/>
      </c>
      <c r="AA300" s="56" t="n">
        <v>46150.55861364734</v>
      </c>
    </row>
    <row r="301" ht="102" customHeight="1">
      <c r="B301" s="46" t="inlineStr">
        <is>
          <t>U+D1B4-U+D2B1</t>
        </is>
      </c>
      <c r="C301" s="46" t="inlineStr">
        <is>
          <t>Hangul Syllables</t>
        </is>
      </c>
      <c r="D301" s="54">
        <f>HEX2DEC(MID(B301,3,FIND("-",E301)-3))</f>
        <v/>
      </c>
      <c r="E301" s="46" t="inlineStr">
        <is>
          <t>U+AC00-U+D7AF</t>
        </is>
      </c>
      <c r="F301" s="12" t="n">
        <v>3</v>
      </c>
      <c r="J301" s="19">
        <f>ROUNDDOWN(W301,0)/$V301</f>
        <v/>
      </c>
      <c r="K301" s="19">
        <f>ROUNDDOWN(X301,0)/$V301</f>
        <v/>
      </c>
      <c r="L301" s="19">
        <f>ROUNDDOWN(Y301,0)/$V301</f>
        <v/>
      </c>
      <c r="M301" s="19">
        <f>ROUNDDOWN(Z301,0)/$V301</f>
        <v/>
      </c>
      <c r="O301" s="36" t="inlineStr">
        <is>
          <t>톴 통 톶 톷 톸 톹 톺 톻 톼 톽 톾 톿 퇀 퇁 퇂 퇃 퇄 퇅 퇆 퇇 퇈 퇉 퇊 퇋 퇌 퇍 퇎 퇏 퇐 퇑 퇒 퇓 퇔 퇕 퇖 퇗 퇘 퇙 퇚 퇛 퇜 퇝 퇞 퇟 퇠 퇡 퇢 퇣 퇤 퇥 퇦 퇧 퇨 퇩 퇪 퇫 퇬 퇭 퇮 퇯 퇰 퇱 퇲 퇳 퇴 퇵 퇶 퇷 퇸 퇹 퇺 퇻 퇼 퇽 퇾 퇿 툀 툁 툂 툃 툄 툅 툆 툇 툈 툉 툊 툋 툌 툍 툎 툏 툐 툑 툒 툓 툔 툕 툖 툗 툘 툙 툚 툛 툜 툝 툞 툟 툠 툡 툢 툣 툤 툥 툦 툧 툨 툩 툪 툫 투 툭 툮 툯 툰 툱 툲 툳 툴 툵 툶 툷 툸 툹 툺 툻 툼 툽 툾 툿 퉀 퉁 퉂 퉃 퉄 퉅 퉆 퉇 퉈 퉉 퉊 퉋 퉌 퉍 퉎 퉏 퉐 퉑 퉒 퉓 퉔 퉕 퉖 퉗 퉘 퉙 퉚 퉛 퉜 퉝 퉞 퉟 퉠 퉡 퉢 퉣 퉤 퉥 퉦 퉧 퉨 퉩 퉪 퉫 퉬 퉭 퉮 퉯 퉰 퉱 퉲 퉳 퉴 퉵 퉶 퉷 퉸 퉹 퉺 퉻 퉼 퉽 퉾 퉿 튀 튁 튂 튃 튄 튅 튆 튇 튈 튉 튊 튋 튌 튍 튎 튏 튐 튑 튒 튓 튔 튕 튖 튗 튘 튙 튚 튛 튜 튝 튞 튟 튠 튡 튢 튣 튤 튥 튦 튧 튨 튩 튪 튫 튬 튭 튮 튯 튰 튱</t>
        </is>
      </c>
      <c r="P301" s="37" t="inlineStr"/>
      <c r="Q301" s="38" t="inlineStr"/>
      <c r="R301" s="43" t="inlineStr"/>
      <c r="S301" s="40" t="n"/>
      <c r="V301" s="14">
        <f>(LEN(O301)+1)/2</f>
        <v/>
      </c>
      <c r="W301" s="14">
        <f>ROUNDDOWN((LEN(P301)+1)/2,0)</f>
        <v/>
      </c>
      <c r="X301" s="14">
        <f>ROUNDDOWN((LEN(Q301)+1)/2,0)</f>
        <v/>
      </c>
      <c r="Y301" s="14">
        <f>ROUNDDOWN((LEN(R301)+1)/2,0)</f>
        <v/>
      </c>
      <c r="Z301" s="14">
        <f>ROUNDDOWN((LEN(S301)+1)/2,0)</f>
        <v/>
      </c>
      <c r="AA301" s="56" t="n">
        <v>46150.55861365407</v>
      </c>
    </row>
    <row r="302" ht="102" customHeight="1">
      <c r="B302" s="46" t="inlineStr">
        <is>
          <t>U+D2B2-U+D3AF</t>
        </is>
      </c>
      <c r="C302" s="46" t="inlineStr">
        <is>
          <t>Hangul Syllables</t>
        </is>
      </c>
      <c r="D302" s="54">
        <f>HEX2DEC(MID(B302,3,FIND("-",E302)-3))</f>
        <v/>
      </c>
      <c r="E302" s="46" t="inlineStr">
        <is>
          <t>U+AC00-U+D7AF</t>
        </is>
      </c>
      <c r="F302" s="12" t="n">
        <v>3</v>
      </c>
      <c r="J302" s="19">
        <f>ROUNDDOWN(W302,0)/$V302</f>
        <v/>
      </c>
      <c r="K302" s="19">
        <f>ROUNDDOWN(X302,0)/$V302</f>
        <v/>
      </c>
      <c r="L302" s="19">
        <f>ROUNDDOWN(Y302,0)/$V302</f>
        <v/>
      </c>
      <c r="M302" s="19">
        <f>ROUNDDOWN(Z302,0)/$V302</f>
        <v/>
      </c>
      <c r="O302" s="36" t="inlineStr">
        <is>
          <t>튲 튳 튴 튵 튶 튷 트 특 튺 튻 튼 튽 튾 튿 틀 틁 틂 틃 틄 틅 틆 틇 틈 틉 틊 틋 틌 틍 틎 틏 틐 틑 틒 틓 틔 틕 틖 틗 틘 틙 틚 틛 틜 틝 틞 틟 틠 틡 틢 틣 틤 틥 틦 틧 틨 틩 틪 틫 틬 틭 틮 틯 티 틱 틲 틳 틴 틵 틶 틷 틸 틹 틺 틻 틼 틽 틾 틿 팀 팁 팂 팃 팄 팅 팆 팇 팈 팉 팊 팋 파 팍 팎 팏 판 팑 팒 팓 팔 팕 팖 팗 팘 팙 팚 팛 팜 팝 팞 팟 팠 팡 팢 팣 팤 팥 팦 팧 패 팩 팪 팫 팬 팭 팮 팯 팰 팱 팲 팳 팴 팵 팶 팷 팸 팹 팺 팻 팼 팽 팾 팿 퍀 퍁 퍂 퍃 퍄 퍅 퍆 퍇 퍈 퍉 퍊 퍋 퍌 퍍 퍎 퍏 퍐 퍑 퍒 퍓 퍔 퍕 퍖 퍗 퍘 퍙 퍚 퍛 퍜 퍝 퍞 퍟 퍠 퍡 퍢 퍣 퍤 퍥 퍦 퍧 퍨 퍩 퍪 퍫 퍬 퍭 퍮 퍯 퍰 퍱 퍲 퍳 퍴 퍵 퍶 퍷 퍸 퍹 퍺 퍻 퍼 퍽 퍾 퍿 펀 펁 펂 펃 펄 펅 펆 펇 펈 펉 펊 펋 펌 펍 펎 펏 펐 펑 펒 펓 펔 펕 펖 펗 페 펙 펚 펛 펜 펝 펞 펟 펠 펡 펢 펣 펤 펥 펦 펧 펨 펩 펪 펫 펬 펭 펮 펯</t>
        </is>
      </c>
      <c r="P302" s="37" t="inlineStr"/>
      <c r="Q302" s="38" t="inlineStr"/>
      <c r="R302" s="43" t="inlineStr"/>
      <c r="S302" s="40" t="n"/>
      <c r="V302" s="14">
        <f>(LEN(O302)+1)/2</f>
        <v/>
      </c>
      <c r="W302" s="14">
        <f>ROUNDDOWN((LEN(P302)+1)/2,0)</f>
        <v/>
      </c>
      <c r="X302" s="14">
        <f>ROUNDDOWN((LEN(Q302)+1)/2,0)</f>
        <v/>
      </c>
      <c r="Y302" s="14">
        <f>ROUNDDOWN((LEN(R302)+1)/2,0)</f>
        <v/>
      </c>
      <c r="Z302" s="14">
        <f>ROUNDDOWN((LEN(S302)+1)/2,0)</f>
        <v/>
      </c>
      <c r="AA302" s="56" t="n">
        <v>46150.55861366011</v>
      </c>
    </row>
    <row r="303" ht="102" customHeight="1">
      <c r="B303" s="46" t="inlineStr">
        <is>
          <t>U+D3B0-U+D4AC</t>
        </is>
      </c>
      <c r="C303" s="46" t="inlineStr">
        <is>
          <t>Hangul Syllables</t>
        </is>
      </c>
      <c r="D303" s="54">
        <f>HEX2DEC(MID(B303,3,FIND("-",E303)-3))</f>
        <v/>
      </c>
      <c r="E303" s="46" t="inlineStr">
        <is>
          <t>U+AC00-U+D7AF</t>
        </is>
      </c>
      <c r="F303" s="12" t="n">
        <v>3</v>
      </c>
      <c r="J303" s="19">
        <f>ROUNDDOWN(W303,0)/$V303</f>
        <v/>
      </c>
      <c r="K303" s="19">
        <f>ROUNDDOWN(X303,0)/$V303</f>
        <v/>
      </c>
      <c r="L303" s="19">
        <f>ROUNDDOWN(Y303,0)/$V303</f>
        <v/>
      </c>
      <c r="M303" s="19">
        <f>ROUNDDOWN(Z303,0)/$V303</f>
        <v/>
      </c>
      <c r="O303" s="36" t="inlineStr">
        <is>
          <t>펰 펱 펲 펳 펴 펵 펶 펷 편 펹 펺 펻 펼 펽 펾 펿 폀 폁 폂 폃 폄 폅 폆 폇 폈 평 폊 폋 폌 폍 폎 폏 폐 폑 폒 폓 폔 폕 폖 폗 폘 폙 폚 폛 폜 폝 폞 폟 폠 폡 폢 폣 폤 폥 폦 폧 폨 폩 폪 폫 포 폭 폮 폯 폰 폱 폲 폳 폴 폵 폶 폷 폸 폹 폺 폻 폼 폽 폾 폿 퐀 퐁 퐂 퐃 퐄 퐅 퐆 퐇 퐈 퐉 퐊 퐋 퐌 퐍 퐎 퐏 퐐 퐑 퐒 퐓 퐔 퐕 퐖 퐗 퐘 퐙 퐚 퐛 퐜 퐝 퐞 퐟 퐠 퐡 퐢 퐣 퐤 퐥 퐦 퐧 퐨 퐩 퐪 퐫 퐬 퐭 퐮 퐯 퐰 퐱 퐲 퐳 퐴 퐵 퐶 퐷 퐸 퐹 퐺 퐻 퐼 퐽 퐾 퐿 푀 푁 푂 푃 푄 푅 푆 푇 푈 푉 푊 푋 푌 푍 푎 푏 푐 푑 푒 푓 푔 푕 푖 푗 푘 푙 푚 푛 표 푝 푞 푟 푠 푡 푢 푣 푤 푥 푦 푧 푨 푩 푪 푫 푬 푭 푮 푯 푰 푱 푲 푳 푴 푵 푶 푷 푸 푹 푺 푻 푼 푽 푾 푿 풀 풁 풂 풃 풄 풅 풆 풇 품 풉 풊 풋 풌 풍 풎 풏 풐 풑 풒 풓 풔 풕 풖 풗 풘 풙 풚 풛 풜 풝 풞 풟 풠 풡 풢 풣 풤 풥 풦 풧 풨 풩 풪 풫 풬</t>
        </is>
      </c>
      <c r="P303" s="37" t="inlineStr"/>
      <c r="Q303" s="38" t="inlineStr"/>
      <c r="R303" s="43" t="inlineStr"/>
      <c r="S303" s="40" t="n"/>
      <c r="V303" s="14">
        <f>(LEN(O303)+1)/2</f>
        <v/>
      </c>
      <c r="W303" s="14">
        <f>ROUNDDOWN((LEN(P303)+1)/2,0)</f>
        <v/>
      </c>
      <c r="X303" s="14">
        <f>ROUNDDOWN((LEN(Q303)+1)/2,0)</f>
        <v/>
      </c>
      <c r="Y303" s="14">
        <f>ROUNDDOWN((LEN(R303)+1)/2,0)</f>
        <v/>
      </c>
      <c r="Z303" s="14">
        <f>ROUNDDOWN((LEN(S303)+1)/2,0)</f>
        <v/>
      </c>
      <c r="AA303" s="56" t="n">
        <v>46150.55861366575</v>
      </c>
    </row>
    <row r="304" ht="102" customHeight="1">
      <c r="B304" s="46" t="inlineStr">
        <is>
          <t>U+D4AD-U+D5A9</t>
        </is>
      </c>
      <c r="C304" s="46" t="inlineStr">
        <is>
          <t>Hangul Syllables</t>
        </is>
      </c>
      <c r="D304" s="54">
        <f>HEX2DEC(MID(B304,3,FIND("-",E304)-3))</f>
        <v/>
      </c>
      <c r="E304" s="46" t="inlineStr">
        <is>
          <t>U+AC00-U+D7AF</t>
        </is>
      </c>
      <c r="F304" s="12" t="n">
        <v>3</v>
      </c>
      <c r="J304" s="19">
        <f>ROUNDDOWN(W304,0)/$V304</f>
        <v/>
      </c>
      <c r="K304" s="19">
        <f>ROUNDDOWN(X304,0)/$V304</f>
        <v/>
      </c>
      <c r="L304" s="19">
        <f>ROUNDDOWN(Y304,0)/$V304</f>
        <v/>
      </c>
      <c r="M304" s="19">
        <f>ROUNDDOWN(Z304,0)/$V304</f>
        <v/>
      </c>
      <c r="O304" s="36" t="inlineStr">
        <is>
          <t>풭 풮 풯 풰 풱 풲 풳 풴 풵 풶 풷 풸 풹 풺 풻 풼 풽 풾 풿 퓀 퓁 퓂 퓃 퓄 퓅 퓆 퓇 퓈 퓉 퓊 퓋 퓌 퓍 퓎 퓏 퓐 퓑 퓒 퓓 퓔 퓕 퓖 퓗 퓘 퓙 퓚 퓛 퓜 퓝 퓞 퓟 퓠 퓡 퓢 퓣 퓤 퓥 퓦 퓧 퓨 퓩 퓪 퓫 퓬 퓭 퓮 퓯 퓰 퓱 퓲 퓳 퓴 퓵 퓶 퓷 퓸 퓹 퓺 퓻 퓼 퓽 퓾 퓿 픀 픁 픂 픃 프 픅 픆 픇 픈 픉 픊 픋 플 픍 픎 픏 픐 픑 픒 픓 픔 픕 픖 픗 픘 픙 픚 픛 픜 픝 픞 픟 픠 픡 픢 픣 픤 픥 픦 픧 픨 픩 픪 픫 픬 픭 픮 픯 픰 픱 픲 픳 픴 픵 픶 픷 픸 픹 픺 픻 피 픽 픾 픿 핀 핁 핂 핃 필 핅 핆 핇 핈 핉 핊 핋 핌 핍 핎 핏 핐 핑 핒 핓 핔 핕 핖 핗 하 학 핚 핛 한 핝 핞 핟 할 핡 핢 핣 핤 핥 핦 핧 함 합 핪 핫 핬 항 핮 핯 핰 핱 핲 핳 해 핵 핶 핷 핸 핹 핺 핻 핼 핽 핾 핿 햀 햁 햂 햃 햄 햅 햆 햇 했 행 햊 햋 햌 햍 햎 햏 햐 햑 햒 햓 햔 햕 햖 햗 햘 햙 햚 햛 햜 햝 햞 햟 햠 햡 햢 햣 햤 향 햦 햧 햨 햩</t>
        </is>
      </c>
      <c r="P304" s="37" t="inlineStr"/>
      <c r="Q304" s="38" t="inlineStr"/>
      <c r="R304" s="43" t="inlineStr"/>
      <c r="S304" s="40" t="n"/>
      <c r="V304" s="14">
        <f>(LEN(O304)+1)/2</f>
        <v/>
      </c>
      <c r="W304" s="14">
        <f>ROUNDDOWN((LEN(P304)+1)/2,0)</f>
        <v/>
      </c>
      <c r="X304" s="14">
        <f>ROUNDDOWN((LEN(Q304)+1)/2,0)</f>
        <v/>
      </c>
      <c r="Y304" s="14">
        <f>ROUNDDOWN((LEN(R304)+1)/2,0)</f>
        <v/>
      </c>
      <c r="Z304" s="14">
        <f>ROUNDDOWN((LEN(S304)+1)/2,0)</f>
        <v/>
      </c>
      <c r="AA304" s="56" t="n">
        <v>46150.55861367129</v>
      </c>
    </row>
    <row r="305" ht="102" customHeight="1">
      <c r="B305" s="46" t="inlineStr">
        <is>
          <t>U+D5AA-U+D6A6</t>
        </is>
      </c>
      <c r="C305" s="46" t="inlineStr">
        <is>
          <t>Hangul Syllables</t>
        </is>
      </c>
      <c r="D305" s="54">
        <f>HEX2DEC(MID(B305,3,FIND("-",E305)-3))</f>
        <v/>
      </c>
      <c r="E305" s="46" t="inlineStr">
        <is>
          <t>U+AC00-U+D7AF</t>
        </is>
      </c>
      <c r="F305" s="12" t="n">
        <v>3</v>
      </c>
      <c r="J305" s="19">
        <f>ROUNDDOWN(W305,0)/$V305</f>
        <v/>
      </c>
      <c r="K305" s="19">
        <f>ROUNDDOWN(X305,0)/$V305</f>
        <v/>
      </c>
      <c r="L305" s="19">
        <f>ROUNDDOWN(Y305,0)/$V305</f>
        <v/>
      </c>
      <c r="M305" s="19">
        <f>ROUNDDOWN(Z305,0)/$V305</f>
        <v/>
      </c>
      <c r="O305" s="36" t="inlineStr">
        <is>
          <t>햪 햫 햬 햭 햮 햯 햰 햱 햲 햳 햴 햵 햶 햷 햸 햹 햺 햻 햼 햽 햾 햿 헀 헁 헂 헃 헄 헅 헆 헇 허 헉 헊 헋 헌 헍 헎 헏 헐 헑 헒 헓 헔 헕 헖 헗 험 헙 헚 헛 헜 헝 헞 헟 헠 헡 헢 헣 헤 헥 헦 헧 헨 헩 헪 헫 헬 헭 헮 헯 헰 헱 헲 헳 헴 헵 헶 헷 헸 헹 헺 헻 헼 헽 헾 헿 혀 혁 혂 혃 현 혅 혆 혇 혈 혉 혊 혋 혌 혍 혎 혏 혐 협 혒 혓 혔 형 혖 혗 혘 혙 혚 혛 혜 혝 혞 혟 혠 혡 혢 혣 혤 혥 혦 혧 혨 혩 혪 혫 혬 혭 혮 혯 혰 혱 혲 혳 혴 혵 혶 혷 호 혹 혺 혻 혼 혽 혾 혿 홀 홁 홂 홃 홄 홅 홆 홇 홈 홉 홊 홋 홌 홍 홎 홏 홐 홑 홒 홓 화 확 홖 홗 환 홙 홚 홛 활 홝 홞 홟 홠 홡 홢 홣 홤 홥 홦 홧 홨 황 홪 홫 홬 홭 홮 홯 홰 홱 홲 홳 홴 홵 홶 홷 홸 홹 홺 홻 홼 홽 홾 홿 횀 횁 횂 횃 횄 횅 횆 횇 횈 횉 횊 횋 회 획 횎 횏 횐 횑 횒 횓 횔 횕 횖 횗 횘 횙 횚 횛 횜 횝 횞 횟 횠 횡 횢 횣 횤 횥 횦</t>
        </is>
      </c>
      <c r="P305" s="37" t="inlineStr"/>
      <c r="Q305" s="38" t="inlineStr"/>
      <c r="R305" s="43" t="inlineStr"/>
      <c r="S305" s="40" t="n"/>
      <c r="V305" s="14">
        <f>(LEN(O305)+1)/2</f>
        <v/>
      </c>
      <c r="W305" s="14">
        <f>ROUNDDOWN((LEN(P305)+1)/2,0)</f>
        <v/>
      </c>
      <c r="X305" s="14">
        <f>ROUNDDOWN((LEN(Q305)+1)/2,0)</f>
        <v/>
      </c>
      <c r="Y305" s="14">
        <f>ROUNDDOWN((LEN(R305)+1)/2,0)</f>
        <v/>
      </c>
      <c r="Z305" s="14">
        <f>ROUNDDOWN((LEN(S305)+1)/2,0)</f>
        <v/>
      </c>
      <c r="AA305" s="56" t="n">
        <v>46150.55861367768</v>
      </c>
    </row>
    <row r="306" ht="102" customHeight="1">
      <c r="B306" s="46" t="inlineStr">
        <is>
          <t>U+D6A7-U+D7A3</t>
        </is>
      </c>
      <c r="C306" s="46" t="inlineStr">
        <is>
          <t>Hangul Syllables</t>
        </is>
      </c>
      <c r="D306" s="54">
        <f>HEX2DEC(MID(B306,3,FIND("-",E306)-3))</f>
        <v/>
      </c>
      <c r="E306" s="46" t="inlineStr">
        <is>
          <t>U+AC00-U+D7AF</t>
        </is>
      </c>
      <c r="F306" s="12" t="n">
        <v>3</v>
      </c>
      <c r="J306" s="19">
        <f>ROUNDDOWN(W306,0)/$V306</f>
        <v/>
      </c>
      <c r="K306" s="19">
        <f>ROUNDDOWN(X306,0)/$V306</f>
        <v/>
      </c>
      <c r="L306" s="19">
        <f>ROUNDDOWN(Y306,0)/$V306</f>
        <v/>
      </c>
      <c r="M306" s="19">
        <f>ROUNDDOWN(Z306,0)/$V306</f>
        <v/>
      </c>
      <c r="O306" s="36" t="inlineStr">
        <is>
          <t>횧 효 횩 횪 횫 횬 횭 횮 횯 횰 횱 횲 횳 횴 횵 횶 횷 횸 횹 횺 횻 횼 횽 횾 횿 훀 훁 훂 훃 후 훅 훆 훇 훈 훉 훊 훋 훌 훍 훎 훏 훐 훑 훒 훓 훔 훕 훖 훗 훘 훙 훚 훛 훜 훝 훞 훟 훠 훡 훢 훣 훤 훥 훦 훧 훨 훩 훪 훫 훬 훭 훮 훯 훰 훱 훲 훳 훴 훵 훶 훷 훸 훹 훺 훻 훼 훽 훾 훿 휀 휁 휂 휃 휄 휅 휆 휇 휈 휉 휊 휋 휌 휍 휎 휏 휐 휑 휒 휓 휔 휕 휖 휗 휘 휙 휚 휛 휜 휝 휞 휟 휠 휡 휢 휣 휤 휥 휦 휧 휨 휩 휪 휫 휬 휭 휮 휯 휰 휱 휲 휳 휴 휵 휶 휷 휸 휹 휺 휻 휼 휽 휾 휿 흀 흁 흂 흃 흄 흅 흆 흇 흈 흉 흊 흋 흌 흍 흎 흏 흐 흑 흒 흓 흔 흕 흖 흗 흘 흙 흚 흛 흜 흝 흞 흟 흠 흡 흢 흣 흤 흥 흦 흧 흨 흩 흪 흫 희 흭 흮 흯 흰 흱 흲 흳 흴 흵 흶 흷 흸 흹 흺 흻 흼 흽 흾 흿 힀 힁 힂 힃 힄 힅 힆 힇 히 힉 힊 힋 힌 힍 힎 힏 힐 힑 힒 힓 힔 힕 힖 힗 힘 힙 힚 힛 힜 힝 힞 힟 힠 힡 힢 힣</t>
        </is>
      </c>
      <c r="P306" s="37" t="inlineStr"/>
      <c r="Q306" s="38" t="inlineStr"/>
      <c r="R306" s="43" t="inlineStr"/>
      <c r="S306" s="40" t="n"/>
      <c r="V306" s="14">
        <f>(LEN(O306)+1)/2</f>
        <v/>
      </c>
      <c r="W306" s="14">
        <f>ROUNDDOWN((LEN(P306)+1)/2,0)</f>
        <v/>
      </c>
      <c r="X306" s="14">
        <f>ROUNDDOWN((LEN(Q306)+1)/2,0)</f>
        <v/>
      </c>
      <c r="Y306" s="14">
        <f>ROUNDDOWN((LEN(R306)+1)/2,0)</f>
        <v/>
      </c>
      <c r="Z306" s="14">
        <f>ROUNDDOWN((LEN(S306)+1)/2,0)</f>
        <v/>
      </c>
      <c r="AA306" s="56" t="n">
        <v>46150.55861368337</v>
      </c>
    </row>
    <row r="307" ht="38.25" customHeight="1">
      <c r="B307" s="46" t="inlineStr">
        <is>
          <t>U+D7B0-U+D7FB</t>
        </is>
      </c>
      <c r="C307" s="46" t="inlineStr">
        <is>
          <t>Hangul Jamo Extended-B</t>
        </is>
      </c>
      <c r="D307" s="54">
        <f>HEX2DEC(MID(B307,3,FIND("-",E307)-3))</f>
        <v/>
      </c>
      <c r="E307" s="46" t="inlineStr">
        <is>
          <t>U+D7B0-U+D7FF</t>
        </is>
      </c>
      <c r="F307" s="12" t="n">
        <v>3</v>
      </c>
      <c r="J307" s="19">
        <f>ROUNDDOWN(W307,0)/$V307</f>
        <v/>
      </c>
      <c r="K307" s="19">
        <f>ROUNDDOWN(X307,0)/$V307</f>
        <v/>
      </c>
      <c r="L307" s="19">
        <f>ROUNDDOWN(Y307,0)/$V307</f>
        <v/>
      </c>
      <c r="M307" s="19">
        <f>ROUNDDOWN(Z307,0)/$V307</f>
        <v/>
      </c>
      <c r="O307" s="36" t="inlineStr">
        <is>
          <t>ힰ ힱ ힲ ힳ ힴ ힵ ힶ ힷ ힸ ힹ ힺ ힻ ힼ ힽ ힾ ힿ ퟀ ퟁ ퟂ ퟃ ퟄ ퟅ ퟆ ퟋ ퟌ ퟍ ퟎ ퟏ ퟐ ퟑ ퟒ ퟓ ퟔ ퟕ ퟖ ퟗ ퟘ ퟙ ퟚ ퟛ ퟜ ퟝ ퟞ ퟟ ퟠ ퟡ ퟢ ퟣ ퟤ ퟥ ퟦ ퟧ ퟨ ퟩ ퟪ ퟫ ퟬ ퟭ ퟮ ퟯ ퟰ ퟱ ퟲ ퟳ ퟴ ퟵ ퟶ ퟷ ퟸ ퟹ ퟺ ퟻ</t>
        </is>
      </c>
      <c r="P307" s="37" t="inlineStr">
        <is>
          <t>ힰ ힱ ힲ ힳ ힴ ힵ ힶ ힷ ힸ ힹ ힺ ힻ ힼ ힽ ힾ ힿ ퟀ ퟁ ퟂ ퟃ ퟄ ퟅ ퟆ ퟋ ퟌ ퟍ ퟎ ퟏ ퟐ ퟑ ퟒ ퟓ ퟔ ퟕ ퟖ ퟗ ퟘ ퟙ ퟚ ퟛ ퟜ ퟝ ퟞ ퟟ ퟠ ퟡ ퟢ ퟣ ퟤ ퟥ ퟦ ퟧ ퟨ ퟩ ퟪ ퟫ ퟬ ퟭ ퟮ ퟯ ퟰ ퟱ ퟲ ퟳ ퟴ ퟵ ퟶ ퟷ ퟸ ퟹ ퟺ ퟻ</t>
        </is>
      </c>
      <c r="Q307" s="38" t="inlineStr">
        <is>
          <t>ힰ ힱ ힲ ힴ ힵ ힶ ힸ ힹ ힺ ힻ ힼ ힽ ힾ ힿ ퟀ ퟁ ퟂ ퟃ ퟄ ퟅ ퟆ ퟋ ퟌ ퟍ ퟎ ퟏ ퟐ ퟑ ퟒ ퟓ ퟔ ퟕ ퟖ ퟗ ퟘ ퟙ ퟚ ퟛ ퟜ ퟝ ퟞ ퟟ ퟠ ퟡ ퟢ ퟣ ퟤ ퟥ ퟦ ퟧ ퟨ ퟩ ퟪ ퟫ ퟬ ퟭ ퟮ ퟯ ퟰ ퟱ ퟲ ퟳ ퟴ ퟵ ퟶ ퟷ ퟸ ퟹ ퟺ ퟻ</t>
        </is>
      </c>
      <c r="R307" s="43" t="inlineStr">
        <is>
          <t>ퟝ ퟪ ퟫ ퟱ ퟳ ퟴ ퟷ</t>
        </is>
      </c>
      <c r="S307" s="40" t="n"/>
      <c r="V307" s="14">
        <f>(LEN(O307)+1)/2</f>
        <v/>
      </c>
      <c r="W307" s="14">
        <f>ROUNDDOWN((LEN(P307)+1)/2,0)</f>
        <v/>
      </c>
      <c r="X307" s="14">
        <f>ROUNDDOWN((LEN(Q307)+1)/2,0)</f>
        <v/>
      </c>
      <c r="Y307" s="14">
        <f>ROUNDDOWN((LEN(R307)+1)/2,0)</f>
        <v/>
      </c>
      <c r="Z307" s="14">
        <f>ROUNDDOWN((LEN(S307)+1)/2,0)</f>
        <v/>
      </c>
      <c r="AA307" s="56" t="n">
        <v>46150.55861435229</v>
      </c>
    </row>
    <row r="308" ht="76.5" customHeight="1">
      <c r="B308" s="46" t="inlineStr">
        <is>
          <t>U+F900-U+F9EB</t>
        </is>
      </c>
      <c r="C308" s="46" t="inlineStr">
        <is>
          <t>CJK Compatibility Ideographs</t>
        </is>
      </c>
      <c r="D308" s="54">
        <f>HEX2DEC(MID(B308,3,FIND("-",E308)-3))</f>
        <v/>
      </c>
      <c r="E308" s="46" t="inlineStr">
        <is>
          <t>U+F900-U+FAFF</t>
        </is>
      </c>
      <c r="F308" s="12" t="n">
        <v>3</v>
      </c>
      <c r="J308" s="19">
        <f>ROUNDDOWN(W308,0)/$V308</f>
        <v/>
      </c>
      <c r="K308" s="19">
        <f>ROUNDDOWN(X308,0)/$V308</f>
        <v/>
      </c>
      <c r="L308" s="19">
        <f>ROUNDDOWN(Y308,0)/$V308</f>
        <v/>
      </c>
      <c r="M308" s="19">
        <f>ROUNDDOWN(Z308,0)/$V308</f>
        <v/>
      </c>
      <c r="O308" s="36" t="inlineStr">
        <is>
          <t>溺 吝 燐 璘 藺 隣 鱗 麟 林 淋 臨 立 笠 粒 狀 炙 識 什 茶 刺 切 度 拓 糖 宅 洞 暴 輻 行 降 見 廓 兀 嗀 﨎 﨏 塚 﨑 晴 﨓 﨔 凞 猪 益 礼 神 祥 福 靖 精 羽 﨟 蘒 﨡 諸 﨣 﨤 逸 都 﨧 﨨 﨩 飯 飼 館 鶴 郞 隷 侮 僧 免 勉 勤 卑 喝 嘆 器 塀 墨 層 屮 悔 慨 憎 懲 敏 既 暑 梅 海 渚 漢 煮 爫 琢 碑 社 祉 祈 祐 祖 祝 禍 禎 穀 突 節 練 縉 繁 署 者 臭 艹 艹 著 褐 視 謁 謹 賓 贈 辶 逸 難 響 頻 恵 𤋮 舘 並 况 全 侀 充 冀 勇 勺 喝 啕 喙 嗢 塚 墳 奄 奔 婢 嬨 廒 廙 彩 徭 惘 慎 愈 憎 慠 懲 戴 揄 搜 摒 敖 晴 朗 望 杖 歹 殺 流 滛 滋 漢 瀞 煮 瞧 爵 犯 猪 瑱 甆 画 瘝 瘟 益 盛 直 睊 着 磌 窱 節 类 絛 練 缾 者 荒 華 蝹 襁 覆 視 調 諸 請 謁 諾 諭 謹 變 贈 輸 遲 醙 鉶 陼 難 靖 韛 響 頋 頻 鬒 龜 𢡊 𢡄 𣏕 㮝 䀘 䀹 𥉉 𥳐 𧻓 齃 龎</t>
        </is>
      </c>
      <c r="P308" s="37" t="inlineStr">
        <is>
          <t>溺 吝 燐 璘 藺 隣 鱗 麟 林 淋 臨 立 笠 粒 狀 炙 識 什 茶 刺 切 度 拓 糖 宅 洞 暴 輻 行 降 見 廓 兀 嗀 﨎 﨏 塚 﨑 晴 﨓 﨔 凞 猪 益 礼 神 祥 福 靖 精 羽 﨟 蘒 﨡 諸 﨣 﨤 逸 都 﨧 﨨 﨩 飯 飼 館 鶴 郞 隷 侮 僧 免 勉 勤 卑 喝 嘆 器 塀 墨 層 屮 悔 慨 憎 懲 敏 既 暑 梅 海 渚 漢 煮 爫 琢 碑 社 祉 祈 祐 祖 祝 禍 禎 穀 突 節 練 縉 繁 署 者 臭 艹 著 褐 視 謁 謹 賓 贈 辶 難 響 頻 恵 𤋮 舘 並 况 全 侀 充 冀 勇 勺 啕 喙 嗢 墳 奄 奔 婢 嬨 廒 廙 彩 徭 惘 慎 愈 慠 戴 揄 搜 摒 敖 朗 望 杖 歹 殺 流 滛 滋 瀞 瞧 爵 犯 瑱 甆 画 瘝 瘟 盛 直 睊 着 磌 窱 类 絛 缾 荒 華 蝹 襁 覆 調 請 諾 諭 變 輸 遲 醙 鉶 陼 韛 頋 鬒 龜 𢡊 𢡄 𣏕 㮝 䀘 䀹 𥉉 𥳐 𧻓 齃 龎</t>
        </is>
      </c>
      <c r="Q308" s="38" t="inlineStr">
        <is>
          <t>溺 吝 燐 璘 藺 隣 鱗 麟 林 淋 臨 立 笠 粒 狀 炙 識 什 茶 刺 切 度 拓 糖 宅 洞 暴 輻 行 降 見 廓 兀 嗀 﨎 﨏 塚 﨑 晴 﨓 﨔 凞 猪 益 礼 神 祥 福 靖 精 羽 﨟 蘒 﨡 諸 﨣 﨤 逸 都 﨧 﨨 﨩 飯 飼 館 鶴 郞 隷 侮 僧 免 勉 勤 卑 喝 嘆 器 塀 墨 層 屮 悔 慨 憎 懲 敏 既 暑 梅 海 渚 漢 煮 爫 琢 碑 社 祉 祈 祐 祖 祝 禍 禎 穀 突 節 練 縉 繁 署 者 臭 艹 著 褐 視 謁 謹 賓 贈 辶 難 響 頻 恵 𤋮 舘 並 况 全 侀 充 冀 勇 勺 啕 喙 嗢 墳 奄 奔 婢 嬨 廒 廙 彩 徭 惘 慎 愈 慠 戴 揄 搜 摒 敖 朗 望 杖 歹 殺 流 滛 滋 瀞 瞧 爵 犯 瑱 甆 画 瘝 瘟 盛 直 睊 着 磌 窱 类 絛 缾 荒 華 蝹 襁 覆 調 請 諾 諭 變 輸 遲 醙 鉶 陼 韛 頋 鬒 龜 𢡊 𢡄 𣏕 㮝 䀘 䀹 𥉉 𥳐 𧻓 齃 龎</t>
        </is>
      </c>
      <c r="R308" s="43" t="inlineStr">
        <is>
          <t>吝 燐 璘 藺 隣 鱗 麟 林 淋 臨 立 笠 粒 狀 炙 識 什 茶 切 度 拓 糖 宅 暴 降 見 廓 兀 嗀 﨎 﨏 塚 﨑 﨓 﨔 凞 猪 益 祥 靖 﨟 蘒 﨡 諸 﨣 﨤 逸 都 﨧 﨨 﨩 飯 飼 館 鶴 隷 侮 免 勉 勤 卑 喝 嘆 器 塀 墨 層 屮 懲 敏 既 暑 梅 海 渚 漢 煮 爫 碑 社 祉 祈 祐 祖 祝 禍 禎 穀 突 節 練 縉 繁 署 者 臭 著 褐 視 謁 謹 賓 難 響 頻 恵 舘 並 况 全 充 冀 勇 勺 啕 嗢 墳 奄 奔 婢 嬨 廒 廙 彩 愈 戴 揄 搜 摒 敖 朗 望 杖 歹 殺 流 滛 瀞 瞧 爵 甆 瘝 瘟 盛 直 着 窱 类 缾 荒 華 蝹 襁 覆 調 請 諾 諭 變 輸 遲 陼 韛 頋 鬒 龜 𣏕 㮝 䀘 齃 龎</t>
        </is>
      </c>
      <c r="S308" s="40" t="n"/>
      <c r="V308" s="14">
        <f>(LEN(O308)+1)/2</f>
        <v/>
      </c>
      <c r="W308" s="14">
        <f>ROUNDDOWN((LEN(P308)+1)/2,0)</f>
        <v/>
      </c>
      <c r="X308" s="14">
        <f>ROUNDDOWN((LEN(Q308)+1)/2,0)</f>
        <v/>
      </c>
      <c r="Y308" s="14">
        <f>ROUNDDOWN((LEN(R308)+1)/2,0)</f>
        <v/>
      </c>
      <c r="Z308" s="14">
        <f>ROUNDDOWN((LEN(S308)+1)/2,0)</f>
        <v/>
      </c>
      <c r="AA308" s="56" t="n">
        <v>46150.55861692173</v>
      </c>
    </row>
    <row r="309" ht="102" customHeight="1">
      <c r="B309" s="46" t="inlineStr">
        <is>
          <t>U+F9EC-U+FAD9</t>
        </is>
      </c>
      <c r="C309" s="46" t="inlineStr">
        <is>
          <t>CJK Compatibility Ideographs</t>
        </is>
      </c>
      <c r="D309" s="54">
        <f>HEX2DEC(MID(B309,3,FIND("-",E309)-3))</f>
        <v/>
      </c>
      <c r="E309" s="46" t="inlineStr">
        <is>
          <t>U+F900-U+FAFF</t>
        </is>
      </c>
      <c r="F309" s="12" t="n">
        <v>3</v>
      </c>
      <c r="J309" s="19">
        <f>ROUNDDOWN(W309,0)/$V309</f>
        <v/>
      </c>
      <c r="K309" s="19">
        <f>ROUNDDOWN(X309,0)/$V309</f>
        <v/>
      </c>
      <c r="L309" s="19">
        <f>ROUNDDOWN(Y309,0)/$V309</f>
        <v/>
      </c>
      <c r="M309" s="19">
        <f>ROUNDDOWN(Z309,0)/$V309</f>
        <v/>
      </c>
      <c r="O309" s="36" t="inlineStr">
        <is>
          <t>豈 更 車 賈 滑 串 句 龜 龜 契 金 喇 奈 懶 癩 羅 蘿 螺 裸 邏 樂 洛 烙 珞 落 酪 駱 亂 卵 欄 爛 蘭 鸞 嵐 濫 藍 襤 拉 臘 蠟 廊 朗 浪 狼 郎 來 冷 勞 擄 櫓 爐 盧 老 蘆 虜 路 露 魯 鷺 碌 祿 綠 菉 錄 鹿 論 壟 弄 籠 聾 牢 磊 賂 雷 壘 屢 樓 淚 漏 累 縷 陋 勒 肋 凜 凌 稜 綾 菱 陵 讀 拏 樂 諾 丹 寧 怒 率 異 北 磻 便 復 不 泌 數 索 參 塞 省 葉 說 殺 辰 沈 拾 若 掠 略 亮 兩 凉 梁 糧 良 諒 量 勵 呂 女 廬 旅 濾 礪 閭 驪 麗 黎 力 曆 歷 轢 年 憐 戀 撚 漣 煉 璉 秊 練 聯 輦 蓮 連 鍊 列 劣 咽 烈 裂 說 廉 念 捻 殮 簾 獵 令 囹 寧 嶺 怜 玲 瑩 羚 聆 鈴 零 靈 領 例 禮 醴 隸 惡 了 僚 寮 尿 料 樂 燎 療 蓼 遼 龍 暈 阮 劉 杻 柳 流 溜 琉 留 硫 紐 類 六 戮 陸 倫 崙 淪 輪 律 慄 栗 率 隆 利 吏 履 易 李 梨 泥 理 痢 罹 裏 裡 里 離 匿</t>
        </is>
      </c>
      <c r="P309" s="37" t="inlineStr">
        <is>
          <t>豈 更 車 賈 滑 串 句 龜 契 金 喇 奈 懶 癩 羅 蘿 螺 裸 邏 樂 洛 烙 珞 落 酪 駱 亂 卵 欄 爛 蘭 鸞 嵐 濫 藍 襤 拉 臘 蠟 廊 朗 浪 狼 郎 來 冷 勞 擄 櫓 爐 盧 老 蘆 虜 路 露 魯 鷺 碌 祿 綠 菉 錄 鹿 論 壟 弄 籠 聾 牢 磊 賂 雷 壘 屢 樓 淚 漏 累 縷 陋 勒 肋 凜 凌 稜 綾 菱 陵 讀 拏 諾 丹 寧 怒 率 異 北 磻 便 復 不 泌 數 索 參 塞 省 葉 說 殺 辰 沈 拾 若 掠 略 亮 兩 凉 梁 糧 良 諒 量 勵 呂 女 廬 旅 濾 礪 閭 驪 麗 黎 力 曆 歷 轢 年 憐 戀 撚 漣 煉 璉 秊 練 聯 輦 蓮 連 鍊 列 劣 咽 烈 裂 廉 念 捻 殮 簾 獵 令 囹 嶺 怜 玲 瑩 羚 聆 鈴 零 靈 領 例 禮 醴 隸 惡 了 僚 寮 尿 料 燎 療 蓼 遼 龍 暈 阮 劉 杻 柳 流 溜 琉 留 硫 紐 類 六 戮 陸 倫 崙 淪 輪 律 慄 栗 隆 利 吏 履 易 李 梨 泥 理 痢 罹 裏 裡 里 離 匿</t>
        </is>
      </c>
      <c r="Q309" s="38" t="inlineStr">
        <is>
          <t>豈 更 車 賈 滑 串 句 龜 契 金 喇 奈 懶 癩 羅 蘿 螺 裸 邏 樂 洛 烙 珞 落 酪 駱 亂 卵 欄 爛 蘭 鸞 嵐 濫 藍 襤 拉 臘 蠟 廊 朗 浪 狼 郎 來 冷 勞 擄 櫓 爐 盧 老 蘆 虜 路 露 魯 鷺 碌 祿 綠 菉 錄 鹿 論 壟 弄 籠 聾 牢 磊 賂 雷 壘 屢 樓 淚 漏 累 縷 陋 勒 肋 凜 凌 稜 綾 菱 陵 讀 拏 諾 丹 寧 怒 率 異 北 磻 便 復 不 泌 數 索 參 塞 省 葉 說 殺 辰 沈 拾 若 掠 略 亮 兩 凉 梁 糧 良 諒 量 勵 呂 女 廬 旅 濾 礪 閭 驪 麗 黎 力 曆 歷 轢 年 憐 戀 撚 漣 煉 璉 秊 練 聯 輦 蓮 連 鍊 列 劣 咽 烈 裂 廉 念 捻 殮 簾 獵 令 囹 嶺 怜 玲 瑩 羚 聆 鈴 零 靈 領 例 禮 醴 隸 惡 了 僚 寮 尿 料 燎 療 蓼 遼 龍 暈 阮 劉 杻 柳 流 溜 琉 留 硫 紐 類 六 戮 陸 倫 崙 淪 輪 律 慄 栗 隆 利 吏 履 易 李 梨 泥 理 痢 罹 裏 裡 里 離 匿</t>
        </is>
      </c>
      <c r="R309" s="43" t="inlineStr">
        <is>
          <t>豈 更 車 賈 滑 串 句 龜 契 金 癩 羅 蘿 螺 裸 邏 樂 洛 烙 珞 落 駱 欄 爛 蘭 鸞 嵐 濫 藍 襤 拉 廊 朗 來 勞 擄 櫓 爐 盧 老 蘆 虜 露 魯 鷺 祿 菉 錄 鹿 論 壟 弄 籠 聾 牢 磊 賂 雷 壘 屢 樓 淚 漏 累 縷 勒 肋 凜 凌 稜 綾 菱 陵 讀 拏 諾 丹 寧 怒 率 異 磻 便 復 不 泌 數 索 參 塞 省 葉 說 殺 辰 沈 拾 若 掠 略 亮 兩 凉 梁 糧 良 諒 量 勵 呂 女 廬 旅 濾 礪 閭 驪 麗 黎 力 曆 歷 年 戀 撚 漣 煉 璉 秊 練 輦 蓮 連 鍊 劣 烈 裂 廉 念 捻 殮 簾 令 囹 嶺 玲 瑩 羚 聆 鈴 零 靈 領 禮 隸 惡 了 僚 寮 尿 燎 療 蓼 遼 暈 阮 杻 流 琉 留 硫 紐 類 戮 陸 倫 崙 淪 輪 律 栗 隆 吏 履 易 李 梨 泥 理 痢 罹 裏 裡 里 離 匿</t>
        </is>
      </c>
      <c r="S309" s="40" t="n"/>
      <c r="V309" s="14">
        <f>(LEN(O309)+1)/2</f>
        <v/>
      </c>
      <c r="W309" s="14">
        <f>ROUNDDOWN((LEN(P309)+1)/2,0)</f>
        <v/>
      </c>
      <c r="X309" s="14">
        <f>ROUNDDOWN((LEN(Q309)+1)/2,0)</f>
        <v/>
      </c>
      <c r="Y309" s="14">
        <f>ROUNDDOWN((LEN(R309)+1)/2,0)</f>
        <v/>
      </c>
      <c r="Z309" s="14">
        <f>ROUNDDOWN((LEN(S309)+1)/2,0)</f>
        <v/>
      </c>
      <c r="AA309" s="56" t="n">
        <v>46150.55861982192</v>
      </c>
    </row>
    <row r="310" ht="25.5" customHeight="1">
      <c r="B310" s="46" t="inlineStr">
        <is>
          <t>U+FB00-U+FB4F</t>
        </is>
      </c>
      <c r="C310" s="46" t="inlineStr">
        <is>
          <t>Alphabetic Presentation Forms</t>
        </is>
      </c>
      <c r="D310" s="54">
        <f>HEX2DEC(MID(B310,3,FIND("-",E310)-3))</f>
        <v/>
      </c>
      <c r="E310" s="46" t="inlineStr">
        <is>
          <t>U+FB00-U+FB4F</t>
        </is>
      </c>
      <c r="F310" s="12" t="n">
        <v>3</v>
      </c>
      <c r="J310" s="19">
        <f>ROUNDDOWN(W310,0)/$V310</f>
        <v/>
      </c>
      <c r="K310" s="19">
        <f>ROUNDDOWN(X310,0)/$V310</f>
        <v/>
      </c>
      <c r="L310" s="19">
        <f>ROUNDDOWN(Y310,0)/$V310</f>
        <v/>
      </c>
      <c r="M310" s="19">
        <f>ROUNDDOWN(Z310,0)/$V310</f>
        <v/>
      </c>
      <c r="O310" s="36" t="inlineStr">
        <is>
          <t>ﬀ ﬁ ﬂ ﬃ ﬄ ﬅ ﬆ ﬓ ﬔ ﬕ ﬖ ﬗ יִ ﬞ ײַ ﬠ ﬡ ﬢ ﬣ ﬤ ﬥ ﬦ ﬧ ﬨ ﬩ שׁ שׂ שּׁ שּׂ אַ אָ אּ בּ גּ דּ הּ וּ זּ טּ יּ ךּ כּ לּ מּ נּ סּ ףּ פּ צּ קּ רּ שּ תּ וֹ בֿ כֿ פֿ ﭏ</t>
        </is>
      </c>
      <c r="P310" s="37" t="inlineStr">
        <is>
          <t>ﬀ ﬁ ﬂ ﬃ ﬄ ﬅ ﬆ ﬓ ﬔ ﬕ ﬖ ﬗ ﬩</t>
        </is>
      </c>
      <c r="Q310" s="38" t="inlineStr"/>
      <c r="R310" s="43" t="inlineStr"/>
      <c r="S310" s="40" t="n"/>
      <c r="V310" s="14">
        <f>(LEN(O310)+1)/2</f>
        <v/>
      </c>
      <c r="W310" s="14">
        <f>ROUNDDOWN((LEN(P310)+1)/2,0)</f>
        <v/>
      </c>
      <c r="X310" s="14">
        <f>ROUNDDOWN((LEN(Q310)+1)/2,0)</f>
        <v/>
      </c>
      <c r="Y310" s="14">
        <f>ROUNDDOWN((LEN(R310)+1)/2,0)</f>
        <v/>
      </c>
      <c r="Z310" s="14">
        <f>ROUNDDOWN((LEN(S310)+1)/2,0)</f>
        <v/>
      </c>
      <c r="AA310" s="56" t="n">
        <v>46150.55861982334</v>
      </c>
    </row>
    <row r="311" ht="114.75" customHeight="1">
      <c r="B311" s="46" t="inlineStr">
        <is>
          <t>U+FB50-U+FC32</t>
        </is>
      </c>
      <c r="C311" s="46" t="inlineStr">
        <is>
          <t>Arabic Presentation Forms-A</t>
        </is>
      </c>
      <c r="D311" s="54">
        <f>HEX2DEC(MID(B311,3,FIND("-",E311)-3))</f>
        <v/>
      </c>
      <c r="E311" s="46" t="inlineStr">
        <is>
          <t>U+FB50-U+FDFF</t>
        </is>
      </c>
      <c r="F311" s="12" t="n">
        <v>3</v>
      </c>
      <c r="J311" s="19">
        <f>ROUNDDOWN(W311,0)/$V311</f>
        <v/>
      </c>
      <c r="K311" s="19">
        <f>ROUNDDOWN(X311,0)/$V311</f>
        <v/>
      </c>
      <c r="L311" s="19">
        <f>ROUNDDOWN(Y311,0)/$V311</f>
        <v/>
      </c>
      <c r="M311" s="19">
        <f>ROUNDDOWN(Z311,0)/$V311</f>
        <v/>
      </c>
      <c r="O311" s="36" t="inlineStr">
        <is>
          <t>ﴅ ﴆ ﴇ ﴈ ﴉ ﴊ ﴋ ﴌ ﴍ ﴎ ﴏ ﴐ ﴑ ﴒ ﴓ ﴔ ﴕ ﴖ ﴗ ﴘ ﴙ ﴚ ﴛ ﴜ ﴝ ﴞ ﴟ ﴠ ﴡ ﴢ ﴣ ﴤ ﴥ ﴦ ﴧ ﴨ ﴩ ﴪ ﴫ ﴬ ﴭ ﴮ ﴯ ﴰ ﴱ ﴲ ﴳ ﴴ ﴵ ﴶ ﴷ ﴸ ﴹ ﴺ ﴻ ﴼ ﴽ ﴾ ﴿ ﵀ ﵁ ﵂ ﵃ ﵄ ﵅ ﵆ ﵇ ﵈ ﵉ ﵊ ﵋ ﵌ ﵍ ﵎ ﵏ ﵐ ﵑ ﵒ ﵓ ﵔ ﵕ ﵖ ﵗ ﵘ ﵙ ﵚ ﵛ ﵜ ﵝ ﵞ ﵟ ﵠ ﵡ ﵢ ﵣ ﵤ ﵥ ﵦ ﵧ ﵨ ﵩ ﵪ ﵫ ﵬ ﵭ ﵮ ﵯ ﵰ ﵱ ﵲ ﵳ ﵴ ﵵ ﵶ ﵷ ﵸ ﵹ ﵺ ﵻ ﵼ ﵽ ﵾ ﵿ ﶀ ﶁ ﶂ ﶃ ﶄ ﶅ ﶆ ﶇ ﶈ ﶉ ﶊ ﶋ ﶌ ﶍ ﶎ ﶏ ﶒ ﶓ ﶔ ﶕ ﶖ ﶗ ﶘ ﶙ ﶚ ﶛ ﶜ ﶝ ﶞ ﶟ ﶠ ﶡ ﶢ ﶣ ﶤ ﶥ ﶦ ﶧ ﶨ ﶩ ﶪ ﶫ ﶬ ﶭ ﶮ ﶯ ﶰ ﶱ ﶲ ﶳ ﶴ ﶵ ﶶ ﶷ ﶸ ﶹ ﶺ ﶻ ﶼ ﶽ ﶾ ﶿ ﷀ ﷁ ﷂ ﷃ ﷄ ﷅ ﷆ ﷇ ﷏ ﷰ ﷱ ﷲ ﷳ ﷴ ﷵ ﷶ ﷷ ﷸ ﷹ ﷺ ﷻ ﷼ ﷽ ﷾ ﷿</t>
        </is>
      </c>
      <c r="P311" s="37" t="inlineStr">
        <is>
          <t>﴾ ﴿ ﵀ ﵁ ﵂ ﵃ ﵄ ﵅ ﵆ ﵇ ﵈ ﵉ ﵊ ﵋ ﵌ ﵍ ﵎ ﵏ ﷏ ﷽ ﷾ ﷿</t>
        </is>
      </c>
      <c r="Q311" s="38" t="inlineStr">
        <is>
          <t>﴾</t>
        </is>
      </c>
      <c r="R311" s="43" t="inlineStr"/>
      <c r="S311" s="40" t="n"/>
      <c r="V311" s="14">
        <f>(LEN(O311)+1)/2</f>
        <v/>
      </c>
      <c r="W311" s="14">
        <f>ROUNDDOWN((LEN(P311)+1)/2,0)</f>
        <v/>
      </c>
      <c r="X311" s="14">
        <f>ROUNDDOWN((LEN(Q311)+1)/2,0)</f>
        <v/>
      </c>
      <c r="Y311" s="14">
        <f>ROUNDDOWN((LEN(R311)+1)/2,0)</f>
        <v/>
      </c>
      <c r="Z311" s="14">
        <f>ROUNDDOWN((LEN(S311)+1)/2,0)</f>
        <v/>
      </c>
      <c r="AA311" s="56" t="n">
        <v>46150.55862000024</v>
      </c>
    </row>
    <row r="312" ht="76.5" customHeight="1">
      <c r="B312" s="46" t="inlineStr">
        <is>
          <t>U+FC33-U+FD04</t>
        </is>
      </c>
      <c r="C312" s="46" t="inlineStr">
        <is>
          <t>Arabic Presentation Forms-A</t>
        </is>
      </c>
      <c r="D312" s="54">
        <f>HEX2DEC(MID(B312,3,FIND("-",E312)-3))</f>
        <v/>
      </c>
      <c r="E312" s="46" t="inlineStr">
        <is>
          <t>U+FB50-U+FDFF</t>
        </is>
      </c>
      <c r="F312" s="12" t="n">
        <v>3</v>
      </c>
      <c r="J312" s="19">
        <f>ROUNDDOWN(W312,0)/$V312</f>
        <v/>
      </c>
      <c r="K312" s="19">
        <f>ROUNDDOWN(X312,0)/$V312</f>
        <v/>
      </c>
      <c r="L312" s="19">
        <f>ROUNDDOWN(Y312,0)/$V312</f>
        <v/>
      </c>
      <c r="M312" s="19">
        <f>ROUNDDOWN(Z312,0)/$V312</f>
        <v/>
      </c>
      <c r="O312" s="36" t="inlineStr">
        <is>
          <t>ﰳ ﰴ ﰵ ﰶ ﰷ ﰸ ﰹ ﰺ ﰻ ﰼ ﰽ ﰾ ﰿ ﱀ ﱁ ﱂ ﱃ ﱄ ﱅ ﱆ ﱇ ﱈ ﱉ ﱊ ﱋ ﱌ ﱍ ﱎ ﱏ ﱐ ﱑ ﱒ ﱓ ﱔ ﱕ ﱖ ﱗ ﱘ ﱙ ﱚ ﱛ ﱜ ﱝ ﱞ ﱟ ﱠ ﱡ ﱢ ﱣ ﱤ ﱥ ﱦ ﱧ ﱨ ﱩ ﱪ ﱫ ﱬ ﱭ ﱮ ﱯ ﱰ ﱱ ﱲ ﱳ ﱴ ﱵ ﱶ ﱷ ﱸ ﱹ ﱺ ﱻ ﱼ ﱽ ﱾ ﱿ ﲀ ﲁ ﲂ ﲃ ﲄ ﲅ ﲆ ﲇ ﲈ ﲉ ﲊ ﲋ ﲌ ﲍ ﲎ ﲏ ﲐ ﲑ ﲒ ﲓ ﲔ ﲕ ﲖ ﲗ ﲘ ﲙ ﲚ ﲛ ﲜ ﲝ ﲞ ﲟ ﲠ ﲡ ﲢ ﲣ ﲤ ﲥ ﲦ ﲧ ﲨ ﲩ ﲪ ﲫ ﲬ ﲭ ﲮ ﲯ ﲰ ﲱ ﲲ ﲳ ﲴ ﲵ ﲶ ﲷ ﲸ ﲹ ﲺ ﲻ ﲼ ﲽ ﲾ ﲿ ﳀ ﳁ ﳂ ﳃ ﳄ ﳅ ﳆ ﳇ ﳈ ﳉ ﳊ ﳋ ﳌ ﳍ ﳎ ﳏ ﳐ ﳑ ﳒ ﳓ ﳔ ﳕ ﳖ ﳗ ﳘ ﳙ ﳚ ﳛ ﳜ ﳝ ﳞ ﳟ ﳠ ﳡ ﳢ ﳣ ﳤ ﳥ ﳦ ﳧ ﳨ ﳩ ﳪ ﳫ ﳬ ﳭ ﳮ ﳯ ﳰ ﳱ ﳲ ﳳ ﳴ ﳵ ﳶ ﳷ ﳸ ﳹ ﳺ ﳻ ﳼ ﳽ ﳾ ﳿ ﴀ ﴁ ﴂ ﴃ ﴄ</t>
        </is>
      </c>
      <c r="P312" s="37" t="inlineStr"/>
      <c r="Q312" s="38" t="inlineStr"/>
      <c r="R312" s="43" t="inlineStr"/>
      <c r="S312" s="40" t="n"/>
      <c r="V312" s="14">
        <f>(LEN(O312)+1)/2</f>
        <v/>
      </c>
      <c r="W312" s="14">
        <f>ROUNDDOWN((LEN(P312)+1)/2,0)</f>
        <v/>
      </c>
      <c r="X312" s="14">
        <f>ROUNDDOWN((LEN(Q312)+1)/2,0)</f>
        <v/>
      </c>
      <c r="Y312" s="14">
        <f>ROUNDDOWN((LEN(R312)+1)/2,0)</f>
        <v/>
      </c>
      <c r="Z312" s="14">
        <f>ROUNDDOWN((LEN(S312)+1)/2,0)</f>
        <v/>
      </c>
      <c r="AA312" s="56" t="n">
        <v>46150.55862000182</v>
      </c>
    </row>
    <row r="313" ht="63.75" customHeight="1">
      <c r="B313" s="46" t="inlineStr">
        <is>
          <t>U+FD05-U+FDFF</t>
        </is>
      </c>
      <c r="C313" s="46" t="inlineStr">
        <is>
          <t>Arabic Presentation Forms-A</t>
        </is>
      </c>
      <c r="D313" s="54">
        <f>HEX2DEC(MID(B313,3,FIND("-",E313)-3))</f>
        <v/>
      </c>
      <c r="E313" s="46" t="inlineStr">
        <is>
          <t>U+FB50-U+FDFF</t>
        </is>
      </c>
      <c r="F313" s="12" t="n">
        <v>3</v>
      </c>
      <c r="J313" s="19">
        <f>ROUNDDOWN(W313,0)/$V313</f>
        <v/>
      </c>
      <c r="K313" s="19">
        <f>ROUNDDOWN(X313,0)/$V313</f>
        <v/>
      </c>
      <c r="L313" s="19">
        <f>ROUNDDOWN(Y313,0)/$V313</f>
        <v/>
      </c>
      <c r="M313" s="19">
        <f>ROUNDDOWN(Z313,0)/$V313</f>
        <v/>
      </c>
      <c r="O313" s="36" t="inlineStr">
        <is>
          <t>ﭐ ﭑ ﭒ ﭓ ﭔ ﭕ ﭖ ﭗ ﭘ ﭙ ﭚ ﭛ ﭜ ﭝ ﭞ ﭟ ﭠ ﭡ ﭢ ﭣ ﭤ ﭥ ﭦ ﭧ ﭨ ﭩ ﭪ ﭫ ﭬ ﭭ ﭮ ﭯ ﭰ ﭱ ﭲ ﭳ ﭴ ﭵ ﭶ ﭷ ﭸ ﭹ ﭺ ﭻ ﭼ ﭽ ﭾ ﭿ ﮀ ﮁ ﮂ ﮃ ﮄ ﮅ ﮆ ﮇ ﮈ ﮉ ﮊ ﮋ ﮌ ﮍ ﮎ ﮏ ﮐ ﮑ ﮒ ﮓ ﮔ ﮕ ﮖ ﮗ ﮘ ﮙ ﮚ ﮛ ﮜ ﮝ ﮞ ﮟ ﮠ ﮡ ﮢ ﮣ ﮤ ﮥ ﮦ ﮧ ﮨ ﮩ ﮪ ﮫ ﮬ ﮭ ﮮ ﮯ ﮰ ﮱ ﮲ ﮳ ﮴ ﮵ ﮶ ﮷ ﮸ ﮹ ﮺ ﮻ ﮼ ﮽ ﮾ ﮿ ﯀ ﯁ ﯂ ﯓ ﯔ ﯕ ﯖ ﯗ ﯘ ﯙ ﯚ ﯛ ﯜ ﯝ ﯞ ﯟ ﯠ ﯡ ﯢ ﯣ ﯤ ﯥ ﯦ ﯧ ﯨ ﯩ ﯪ ﯫ ﯬ ﯭ ﯮ ﯯ ﯰ ﯱ ﯲ ﯳ ﯴ ﯵ ﯶ ﯷ ﯸ ﯹ ﯺ ﯻ ﯼ ﯽ ﯾ ﯿ ﰀ ﰁ ﰂ ﰃ ﰄ ﰅ ﰆ ﰇ ﰈ ﰉ ﰊ ﰋ ﰌ ﰍ ﰎ ﰏ ﰐ ﰑ ﰒ ﰓ ﰔ ﰕ ﰖ ﰗ ﰘ ﰙ ﰚ ﰛ ﰜ ﰝ ﰞ ﰟ ﰠ ﰡ ﰢ ﰣ ﰤ ﰥ ﰦ ﰧ ﰨ ﰩ ﰪ ﰫ ﰬ ﰭ ﰮ ﰯ ﰰ ﰱ ﰲ</t>
        </is>
      </c>
      <c r="P313" s="37" t="inlineStr"/>
      <c r="Q313" s="38" t="inlineStr"/>
      <c r="R313" s="43" t="inlineStr"/>
      <c r="S313" s="40" t="n"/>
      <c r="V313" s="14">
        <f>(LEN(O313)+1)/2</f>
        <v/>
      </c>
      <c r="W313" s="14">
        <f>ROUNDDOWN((LEN(P313)+1)/2,0)</f>
        <v/>
      </c>
      <c r="X313" s="14">
        <f>ROUNDDOWN((LEN(Q313)+1)/2,0)</f>
        <v/>
      </c>
      <c r="Y313" s="14">
        <f>ROUNDDOWN((LEN(R313)+1)/2,0)</f>
        <v/>
      </c>
      <c r="Z313" s="14">
        <f>ROUNDDOWN((LEN(S313)+1)/2,0)</f>
        <v/>
      </c>
      <c r="AA313" s="56" t="n">
        <v>46150.55862000353</v>
      </c>
    </row>
    <row r="314" ht="25.5" customHeight="1">
      <c r="B314" s="46" t="inlineStr">
        <is>
          <t>U+FE00-U+FE0F</t>
        </is>
      </c>
      <c r="C314" s="46" t="inlineStr">
        <is>
          <t>Variation Selectors</t>
        </is>
      </c>
      <c r="D314" s="54">
        <f>HEX2DEC(MID(B314,3,FIND("-",E314)-3))</f>
        <v/>
      </c>
      <c r="E314" s="46" t="inlineStr">
        <is>
          <t>U+FE00-U+FE0F</t>
        </is>
      </c>
      <c r="F314" s="12" t="n">
        <v>3</v>
      </c>
      <c r="J314" s="19">
        <f>ROUNDDOWN(W314,0)/$V314</f>
        <v/>
      </c>
      <c r="K314" s="19">
        <f>ROUNDDOWN(X314,0)/$V314</f>
        <v/>
      </c>
      <c r="L314" s="19">
        <f>ROUNDDOWN(Y314,0)/$V314</f>
        <v/>
      </c>
      <c r="M314" s="19">
        <f>ROUNDDOWN(Z314,0)/$V314</f>
        <v/>
      </c>
      <c r="O314" s="36" t="inlineStr">
        <is>
          <t>︀ ︁ ︂ ︃ ︄ ︅ ︆ ︇ ︈ ︉ ︊ ︋ ︌ ︍ ︎ ️</t>
        </is>
      </c>
      <c r="P314" s="37" t="inlineStr"/>
      <c r="Q314" s="38" t="inlineStr"/>
      <c r="R314" t="inlineStr"/>
      <c r="V314" s="14">
        <f>(LEN(O314)+1)/2</f>
        <v/>
      </c>
      <c r="W314" s="14">
        <f>ROUNDDOWN((LEN(P314)+1)/2,0)</f>
        <v/>
      </c>
      <c r="X314" s="14">
        <f>ROUNDDOWN((LEN(Q314)+1)/2,0)</f>
        <v/>
      </c>
      <c r="Y314" s="14">
        <f>ROUNDDOWN((LEN(R314)+1)/2,0)</f>
        <v/>
      </c>
      <c r="Z314" s="14">
        <f>ROUNDDOWN((LEN(S314)+1)/2,0)</f>
        <v/>
      </c>
      <c r="AA314" s="56" t="n">
        <v>46150.55862000387</v>
      </c>
    </row>
    <row r="315" ht="25.5" customHeight="1">
      <c r="B315" s="46" t="inlineStr">
        <is>
          <t>U+FE10-U+FE19</t>
        </is>
      </c>
      <c r="C315" s="46" t="inlineStr">
        <is>
          <t>Vertical Forms</t>
        </is>
      </c>
      <c r="D315" s="54">
        <f>HEX2DEC(MID(B315,3,FIND("-",E315)-3))</f>
        <v/>
      </c>
      <c r="E315" s="46" t="inlineStr">
        <is>
          <t>U+FE10-U+FE1F</t>
        </is>
      </c>
      <c r="F315" s="12" t="n">
        <v>3</v>
      </c>
      <c r="J315" s="19">
        <f>ROUNDDOWN(W315,0)/$V315</f>
        <v/>
      </c>
      <c r="K315" s="19">
        <f>ROUNDDOWN(X315,0)/$V315</f>
        <v/>
      </c>
      <c r="L315" s="19">
        <f>ROUNDDOWN(Y315,0)/$V315</f>
        <v/>
      </c>
      <c r="M315" s="19">
        <f>ROUNDDOWN(Z315,0)/$V315</f>
        <v/>
      </c>
      <c r="O315" s="36" t="inlineStr">
        <is>
          <t>︐ ︑ ︒ ︓ ︔ ︕ ︖ ︗ ︘ ︙</t>
        </is>
      </c>
      <c r="P315" s="37" t="inlineStr">
        <is>
          <t>︐ ︑ ︒ ︓ ︔ ︕ ︖ ︗ ︘ ︙</t>
        </is>
      </c>
      <c r="Q315" s="38" t="inlineStr">
        <is>
          <t>︑ ︒ ︗ ︘</t>
        </is>
      </c>
      <c r="R315" s="43" t="inlineStr">
        <is>
          <t>︗ ︘</t>
        </is>
      </c>
      <c r="S315" s="40" t="n"/>
      <c r="V315" s="14">
        <f>(LEN(O315)+1)/2</f>
        <v/>
      </c>
      <c r="W315" s="14">
        <f>ROUNDDOWN((LEN(P315)+1)/2,0)</f>
        <v/>
      </c>
      <c r="X315" s="14">
        <f>ROUNDDOWN((LEN(Q315)+1)/2,0)</f>
        <v/>
      </c>
      <c r="Y315" s="14">
        <f>ROUNDDOWN((LEN(R315)+1)/2,0)</f>
        <v/>
      </c>
      <c r="Z315" s="14">
        <f>ROUNDDOWN((LEN(S315)+1)/2,0)</f>
        <v/>
      </c>
      <c r="AA315" s="56" t="n">
        <v>46150.55862020039</v>
      </c>
    </row>
    <row r="316" ht="25.5" customHeight="1">
      <c r="B316" s="46" t="inlineStr">
        <is>
          <t>U+FE20-U+FE2F</t>
        </is>
      </c>
      <c r="C316" s="46" t="inlineStr">
        <is>
          <t>Combining Half Marks</t>
        </is>
      </c>
      <c r="D316" s="54">
        <f>HEX2DEC(MID(B316,3,FIND("-",E316)-3))</f>
        <v/>
      </c>
      <c r="E316" s="46" t="inlineStr">
        <is>
          <t>U+FE20-U+FE2F</t>
        </is>
      </c>
      <c r="F316" s="12" t="n">
        <v>3</v>
      </c>
      <c r="J316" s="19">
        <f>ROUNDDOWN(W316,0)/$V316</f>
        <v/>
      </c>
      <c r="K316" s="19">
        <f>ROUNDDOWN(X316,0)/$V316</f>
        <v/>
      </c>
      <c r="L316" s="19">
        <f>ROUNDDOWN(Y316,0)/$V316</f>
        <v/>
      </c>
      <c r="M316" s="19">
        <f>ROUNDDOWN(Z316,0)/$V316</f>
        <v/>
      </c>
      <c r="O316" s="36" t="inlineStr">
        <is>
          <t>︠ ︡ ︢ ︣ ︤ ︥ ︦ ︧ ︨ ︩ ︪ ︫ ︬ ︭ ︮ ︯</t>
        </is>
      </c>
      <c r="P316" s="37" t="inlineStr"/>
      <c r="Q316" s="38" t="inlineStr"/>
      <c r="R316" t="inlineStr"/>
      <c r="V316" s="14">
        <f>(LEN(O316)+1)/2</f>
        <v/>
      </c>
      <c r="W316" s="14">
        <f>ROUNDDOWN((LEN(P316)+1)/2,0)</f>
        <v/>
      </c>
      <c r="X316" s="14">
        <f>ROUNDDOWN((LEN(Q316)+1)/2,0)</f>
        <v/>
      </c>
      <c r="Y316" s="14">
        <f>ROUNDDOWN((LEN(R316)+1)/2,0)</f>
        <v/>
      </c>
      <c r="Z316" s="14">
        <f>ROUNDDOWN((LEN(S316)+1)/2,0)</f>
        <v/>
      </c>
      <c r="AA316" s="56" t="n">
        <v>46150.55862020099</v>
      </c>
    </row>
    <row r="317" ht="25.5" customHeight="1">
      <c r="B317" s="46" t="inlineStr">
        <is>
          <t>U+FE30-U+FE4F</t>
        </is>
      </c>
      <c r="C317" s="46" t="inlineStr">
        <is>
          <t>CJK Compatibility Forms</t>
        </is>
      </c>
      <c r="D317" s="54">
        <f>HEX2DEC(MID(B317,3,FIND("-",E317)-3))</f>
        <v/>
      </c>
      <c r="E317" s="46" t="inlineStr">
        <is>
          <t>U+FE30-U+FE4F</t>
        </is>
      </c>
      <c r="F317" s="12" t="n">
        <v>3</v>
      </c>
      <c r="J317" s="19">
        <f>ROUNDDOWN(W317,0)/$V317</f>
        <v/>
      </c>
      <c r="K317" s="19">
        <f>ROUNDDOWN(X317,0)/$V317</f>
        <v/>
      </c>
      <c r="L317" s="19">
        <f>ROUNDDOWN(Y317,0)/$V317</f>
        <v/>
      </c>
      <c r="M317" s="19">
        <f>ROUNDDOWN(Z317,0)/$V317</f>
        <v/>
      </c>
      <c r="O317" s="36" t="inlineStr">
        <is>
          <t>︰ ︱ ︲ ︳ ︴ ︵ ︶ ︷ ︸ ︹ ︺ ︻ ︼ ︽ ︾ ︿ ﹀ ﹁ ﹂ ﹃ ﹄ ﹅ ﹆ ﹇ ﹈ ﹉ ﹊ ﹋ ﹌ ﹍ ﹎ ﹏</t>
        </is>
      </c>
      <c r="P317" s="37" t="inlineStr">
        <is>
          <t>︰ ︱ ︲ ︳ ︴ ︵ ︶ ︷ ︸ ︹ ︺ ︻ ︼ ︽ ︾ ︿ ﹀ ﹁ ﹂ ﹃ ﹄ ﹅ ﹆ ﹇ ﹈ ﹉ ﹊ ﹋ ﹌ ﹍ ﹎ ﹏</t>
        </is>
      </c>
      <c r="Q317" s="38" t="inlineStr">
        <is>
          <t>︱ ︲ ︹ ︺ ︻ ︼ ︽ ︾ ︿ ﹀ ﹁ ﹂ ﹃ ﹄ ﹅ ﹆</t>
        </is>
      </c>
      <c r="R317" s="43" t="inlineStr">
        <is>
          <t>︱ ︲ ︹ ︻ ︼ ︽ ︾ ︿ ﹁ ﹂ ﹃ ﹄</t>
        </is>
      </c>
      <c r="S317" s="40" t="n"/>
      <c r="V317" s="14">
        <f>(LEN(O317)+1)/2</f>
        <v/>
      </c>
      <c r="W317" s="14">
        <f>ROUNDDOWN((LEN(P317)+1)/2,0)</f>
        <v/>
      </c>
      <c r="X317" s="14">
        <f>ROUNDDOWN((LEN(Q317)+1)/2,0)</f>
        <v/>
      </c>
      <c r="Y317" s="14">
        <f>ROUNDDOWN((LEN(R317)+1)/2,0)</f>
        <v/>
      </c>
      <c r="Z317" s="14">
        <f>ROUNDDOWN((LEN(S317)+1)/2,0)</f>
        <v/>
      </c>
      <c r="AA317" s="56" t="n">
        <v>46150.55862054246</v>
      </c>
    </row>
    <row r="318" ht="25.5" customHeight="1">
      <c r="B318" s="46" t="inlineStr">
        <is>
          <t>U+FE50-U+FE6B</t>
        </is>
      </c>
      <c r="C318" s="46" t="inlineStr">
        <is>
          <t>Small Form Variants</t>
        </is>
      </c>
      <c r="D318" s="54">
        <f>HEX2DEC(MID(B318,3,FIND("-",E318)-3))</f>
        <v/>
      </c>
      <c r="E318" s="46" t="inlineStr">
        <is>
          <t>U+FE50-U+FE6F</t>
        </is>
      </c>
      <c r="F318" s="12" t="n">
        <v>3</v>
      </c>
      <c r="J318" s="19">
        <f>ROUNDDOWN(W318,0)/$V318</f>
        <v/>
      </c>
      <c r="K318" s="19">
        <f>ROUNDDOWN(X318,0)/$V318</f>
        <v/>
      </c>
      <c r="L318" s="19">
        <f>ROUNDDOWN(Y318,0)/$V318</f>
        <v/>
      </c>
      <c r="M318" s="19">
        <f>ROUNDDOWN(Z318,0)/$V318</f>
        <v/>
      </c>
      <c r="O318" s="36" t="inlineStr">
        <is>
          <t>﹐ ﹑ ﹒ ﹔ ﹕ ﹖ ﹗ ﹘ ﹙ ﹚ ﹛ ﹜ ﹝ ﹞ ﹟ ﹠ ﹡ ﹢ ﹣ ﹤ ﹥ ﹦ ﹨ ﹩ ﹪ ﹫</t>
        </is>
      </c>
      <c r="P318" s="37" t="inlineStr">
        <is>
          <t>﹐ ﹑ ﹒ ﹔ ﹕ ﹖ ﹗ ﹘ ﹙ ﹚ ﹛ ﹜ ﹝ ﹞ ﹟ ﹠ ﹡ ﹢ ﹣ ﹤ ﹥ ﹦ ﹨ ﹩ ﹪ ﹫</t>
        </is>
      </c>
      <c r="Q318" s="38" t="inlineStr">
        <is>
          <t>﹑ ﹘ ﹝ ﹞</t>
        </is>
      </c>
      <c r="R318" s="43" t="inlineStr">
        <is>
          <t>﹝ ﹞</t>
        </is>
      </c>
      <c r="S318" s="40" t="n"/>
      <c r="V318" s="14">
        <f>(LEN(O318)+1)/2</f>
        <v/>
      </c>
      <c r="W318" s="14">
        <f>ROUNDDOWN((LEN(P318)+1)/2,0)</f>
        <v/>
      </c>
      <c r="X318" s="14">
        <f>ROUNDDOWN((LEN(Q318)+1)/2,0)</f>
        <v/>
      </c>
      <c r="Y318" s="14">
        <f>ROUNDDOWN((LEN(R318)+1)/2,0)</f>
        <v/>
      </c>
      <c r="Z318" s="14">
        <f>ROUNDDOWN((LEN(S318)+1)/2,0)</f>
        <v/>
      </c>
      <c r="AA318" s="56" t="n">
        <v>46150.55862074229</v>
      </c>
    </row>
    <row r="319" ht="38.25" customHeight="1">
      <c r="B319" s="46" t="inlineStr">
        <is>
          <t>U+FE70-U+FEFC</t>
        </is>
      </c>
      <c r="C319" s="46" t="inlineStr">
        <is>
          <t>Arabic Presentation Forms-B</t>
        </is>
      </c>
      <c r="D319" s="54">
        <f>HEX2DEC(MID(B319,3,FIND("-",E319)-3))</f>
        <v/>
      </c>
      <c r="E319" s="46" t="inlineStr">
        <is>
          <t>U+FE70-U+FEFF</t>
        </is>
      </c>
      <c r="F319" s="12" t="n">
        <v>3</v>
      </c>
      <c r="J319" s="19">
        <f>ROUNDDOWN(W319,0)/$V319</f>
        <v/>
      </c>
      <c r="K319" s="19">
        <f>ROUNDDOWN(X319,0)/$V319</f>
        <v/>
      </c>
      <c r="L319" s="19">
        <f>ROUNDDOWN(Y319,0)/$V319</f>
        <v/>
      </c>
      <c r="M319" s="19">
        <f>ROUNDDOWN(Z319,0)/$V319</f>
        <v/>
      </c>
      <c r="O319" s="36" t="inlineStr">
        <is>
          <t>ﹰ ﹱ ﹲ ﹳ ﹴ ﹶ ﹷ ﹸ ﹹ ﹺ ﹻ ﹼ ﹽ ﹾ ﹿ ﺀ ﺁ ﺂ ﺃ ﺄ ﺅ ﺆ ﺇ ﺈ ﺉ ﺊ ﺋ ﺌ ﺍ ﺎ ﺏ ﺐ ﺑ ﺒ ﺓ ﺔ ﺕ ﺖ ﺗ ﺘ ﺙ ﺚ ﺛ ﺜ ﺝ ﺞ ﺟ ﺠ ﺡ ﺢ ﺣ ﺤ ﺥ ﺦ ﺧ ﺨ ﺩ ﺪ ﺫ ﺬ ﺭ ﺮ ﺯ ﺰ ﺱ ﺲ ﺳ ﺴ ﺵ ﺶ ﺷ ﺸ ﺹ ﺺ ﺻ ﺼ ﺽ ﺾ ﺿ ﻀ ﻁ ﻂ ﻃ ﻄ ﻅ ﻆ ﻇ ﻈ ﻉ ﻊ ﻋ ﻌ ﻍ ﻎ ﻏ ﻐ ﻑ ﻒ ﻓ ﻔ ﻕ ﻖ ﻗ ﻘ ﻙ ﻚ ﻛ ﻜ ﻝ ﻞ ﻟ ﻠ ﻡ ﻢ ﻣ ﻤ ﻥ ﻦ ﻧ ﻨ ﻩ ﻪ ﻫ ﻬ ﻭ ﻮ ﻯ ﻰ ﻱ ﻲ ﻳ ﻴ ﻵ ﻶ ﻷ ﻸ ﻹ ﻺ ﻻ ﻼ</t>
        </is>
      </c>
      <c r="P319" s="37" t="inlineStr"/>
      <c r="Q319" s="38" t="inlineStr"/>
      <c r="R319" s="43" t="inlineStr"/>
      <c r="S319" s="40" t="n"/>
      <c r="V319" s="14">
        <f>(LEN(O319)+1)/2</f>
        <v/>
      </c>
      <c r="W319" s="14">
        <f>ROUNDDOWN((LEN(P319)+1)/2,0)</f>
        <v/>
      </c>
      <c r="X319" s="14">
        <f>ROUNDDOWN((LEN(Q319)+1)/2,0)</f>
        <v/>
      </c>
      <c r="Y319" s="14">
        <f>ROUNDDOWN((LEN(R319)+1)/2,0)</f>
        <v/>
      </c>
      <c r="Z319" s="14">
        <f>ROUNDDOWN((LEN(S319)+1)/2,0)</f>
        <v/>
      </c>
      <c r="AA319" s="56" t="n">
        <v>46150.55862074442</v>
      </c>
    </row>
    <row r="320" ht="76.5" customHeight="1">
      <c r="B320" s="46" t="inlineStr">
        <is>
          <t>U+FF01-U+FFEE</t>
        </is>
      </c>
      <c r="C320" s="46" t="inlineStr">
        <is>
          <t>Halfwidth and Fullwidth Forms</t>
        </is>
      </c>
      <c r="D320" s="54">
        <f>HEX2DEC(MID(B320,3,FIND("-",E320)-3))</f>
        <v/>
      </c>
      <c r="E320" s="46" t="inlineStr">
        <is>
          <t>U+FF00-U+FFEF</t>
        </is>
      </c>
      <c r="F320" s="12" t="n">
        <v>3</v>
      </c>
      <c r="J320" s="19">
        <f>ROUNDDOWN(W320,0)/$V320</f>
        <v/>
      </c>
      <c r="K320" s="19">
        <f>ROUNDDOWN(X320,0)/$V320</f>
        <v/>
      </c>
      <c r="L320" s="19">
        <f>ROUNDDOWN(Y320,0)/$V320</f>
        <v/>
      </c>
      <c r="M320" s="19">
        <f>ROUNDDOWN(Z320,0)/$V320</f>
        <v/>
      </c>
      <c r="O320" s="36" t="inlineStr">
        <is>
          <t>！ ＂ ＃ ＄ ％ ＆ ＇ （ ） ＊ ＋ ， － ． ／ ０ １ ２ ３ ４ ５ ６ ７ ８ ９ ： ； ＜ ＝ ＞ ？ ＠ Ａ Ｂ Ｃ Ｄ Ｅ Ｆ Ｇ Ｈ Ｉ Ｊ Ｋ Ｌ Ｍ Ｎ Ｏ Ｐ Ｑ Ｒ Ｓ Ｔ Ｕ Ｖ Ｗ Ｘ Ｙ Ｚ ［ ＼ ］ ＾ ＿ ｀ ａ ｂ ｃ ｄ ｅ ｆ ｇ ｈ ｉ ｊ ｋ ｌ ｍ ｎ ｏ ｐ ｑ ｒ ｓ ｔ ｕ ｖ ｗ ｘ ｙ ｚ ｛ ｜ ｝ ～ ｟ ｠ ｡ ｢ ｣ ､ ･ ｦ ｧ ｨ ｩ ｪ ｫ ｬ ｭ ｮ ｯ ｰ ｱ ｲ ｳ ｴ ｵ ｶ ｷ ｸ ｹ ｺ ｻ ｼ ｽ ｾ ｿ ﾀ ﾁ ﾂ ﾃ ﾄ ﾅ ﾆ ﾇ ﾈ ﾉ ﾊ ﾋ ﾌ ﾍ ﾎ ﾏ ﾐ ﾑ ﾒ ﾓ ﾔ ﾕ ﾖ ﾗ ﾘ ﾙ ﾚ ﾛ ﾜ ﾝ ﾞ ﾟ ﾠ ﾡ ﾢ ﾣ ﾤ ﾥ ﾦ ﾧ ﾨ ﾩ ﾪ ﾫ ﾬ ﾭ ﾮ ﾯ ﾰ ﾱ ﾲ ﾳ ﾴ ﾵ ﾶ ﾷ ﾸ ﾹ ﾺ ﾻ ﾼ ﾽ ﾾ ￂ ￃ ￄ ￅ ￆ ￇ ￊ ￋ ￌ ￍ ￎ ￏ ￒ ￓ ￔ ￕ ￖ ￗ ￚ ￛ ￜ ￠ ￡ ￢ ￣ ￤ ￥ ￦ ￨ ￩ ￪ ￫ ￬ ￭ ￮</t>
        </is>
      </c>
      <c r="P320" s="37" t="inlineStr">
        <is>
          <t>！ ＂ ＃ ＄ ％ ＆ ＇ （ ） ＊ ＋ ， － ． ／ ０ １ ２ ３ ４ ５ ６ ７ ８ ９ ： ； ＜ ＝ ＞ ？ ＠ Ａ Ｂ Ｃ Ｄ Ｅ Ｆ Ｇ Ｈ Ｉ Ｊ Ｋ Ｌ Ｍ Ｎ Ｏ Ｐ Ｑ Ｒ Ｓ Ｔ Ｕ Ｖ Ｗ Ｘ Ｙ Ｚ ［ ＼ ］ ＾ ＿ ｀ ａ ｂ ｃ ｄ ｅ ｆ ｇ ｈ ｉ ｊ ｋ ｌ ｍ ｎ ｏ ｐ ｑ ｒ ｓ ｔ ｕ ｖ ｗ ｘ ｙ ｚ ｛ ｜ ｝ ～ ｟ ｠ ｡ ｢ ｣ ､ ･ ｦ ｧ ｨ ｩ ｪ ｫ ｬ ｭ ｮ ｯ ｱ ｲ ｳ ｴ ｵ ｶ ｷ ｸ ｹ ｺ ｻ ｼ ｽ ｾ ｿ ﾀ ﾁ ﾂ ﾃ ﾄ ﾅ ﾆ ﾇ ﾈ ﾉ ﾊ ﾋ ﾌ ﾍ ﾎ ﾏ ﾐ ﾑ ﾒ ﾓ ﾔ ﾕ ﾖ ﾗ ﾘ ﾙ ﾚ ﾛ ﾜ ﾝ ﾡ ﾢ ﾣ ﾤ ﾥ ﾦ ﾧ ﾨ ﾩ ﾪ ﾫ ﾬ ﾭ ﾮ ﾯ ﾰ ﾱ ﾲ ﾳ ﾴ ﾵ ﾶ ﾷ ﾸ ﾹ ﾺ ﾻ ﾼ ﾽ ﾾ ￂ ￃ ￄ ￅ ￆ ￇ ￊ ￋ ￌ ￍ ￎ ￏ ￒ ￓ ￔ ￕ ￖ ￗ ￚ ￛ ￜ ￠ ￡ ￢ ￣ ￤ ￥ ￦ ￨ ￩ ￪ ￫ ￬ ￭ ￮</t>
        </is>
      </c>
      <c r="Q320" s="38" t="inlineStr">
        <is>
          <t>｟ ｠ ｡ ｢ ､ ｦ ｧ ｨ ｩ ｪ ｬ ｭ ｮ ｯ ｱ ｲ ｳ ｴ ｶ ｷ ｸ ｹ ｺ ｻ ｼ ｽ ｾ ｿ ﾀ ﾁ ﾂ ﾃ ﾄ ﾅ ﾆ ﾇ ﾈ ﾉ ﾊ ﾋ ﾌ ﾍ ﾎ ﾏ ﾐ ﾑ ﾒ ﾓ ﾔ ﾕ ﾖ ﾗ ﾘ ﾙ ﾚ ﾛ ﾜ ﾝ ﾡ ﾢ ﾣ ﾤ ﾥ ﾦ ﾧ ﾨ ﾩ ﾪ ﾫ ﾬ ﾭ ﾮ ﾯ ﾰ ﾱ ﾲ ﾳ ﾴ ﾵ ﾶ ﾷ ﾸ ﾹ ﾺ ﾻ ﾼ ﾽ ﾾ ￂ ￄ ￅ ￆ ￇ ￊ ￋ ￍ ￎ ￒ ￓ ￔ ￕ ￖ ￗ ￚ ￛ ￜ ￠ ￡ ￢ ￤ ￥ ￦ ￨ ￭ ￮</t>
        </is>
      </c>
      <c r="R320" s="43" t="inlineStr">
        <is>
          <t>｟ ｠ ｡ ｢ ｦ ｧ ｨ ｩ ｪ ｬ ｭ ｮ ｯ ｱ ｲ ｳ ｴ ｶ ｷ ｸ ｹ ｺ ｻ ｽ ｾ ｿ ﾀ ﾁ ﾂ ﾄ ﾅ ﾇ ﾈ ﾉ ﾋ ﾌ ﾍ ﾎ ﾏ ﾐ ﾑ ﾒ ﾓ ﾔ ﾕ ﾖ ﾘ ﾚ ﾛ ﾜ ﾝ ﾡ ﾣ ﾤ ﾥ ﾦ ﾧ ﾩ ﾯ ﾱ ﾲ ﾴ ﾵ ﾶ ﾷ ﾸ ﾹ ﾺ ﾻ ﾼ ﾽ ﾾ ￂ ￄ ￅ ￆ ￊ ￍ ￎ ￒ ￓ ￔ ￖ ￗ ￛ ￠ ￡ ￢ ￥ ￦ ￭ ￮</t>
        </is>
      </c>
      <c r="S320" s="40" t="n"/>
      <c r="V320" s="14">
        <f>(LEN(O320)+1)/2</f>
        <v/>
      </c>
      <c r="W320" s="14">
        <f>ROUNDDOWN((LEN(P320)+1)/2,0)</f>
        <v/>
      </c>
      <c r="X320" s="14">
        <f>ROUNDDOWN((LEN(Q320)+1)/2,0)</f>
        <v/>
      </c>
      <c r="Y320" s="14">
        <f>ROUNDDOWN((LEN(R320)+1)/2,0)</f>
        <v/>
      </c>
      <c r="Z320" s="14">
        <f>ROUNDDOWN((LEN(S320)+1)/2,0)</f>
        <v/>
      </c>
      <c r="AA320" s="56" t="n">
        <v>46150.55862179823</v>
      </c>
    </row>
    <row r="321" ht="25.5" customHeight="1">
      <c r="B321" s="46" t="inlineStr">
        <is>
          <t>U+FFFC-U+FFFD</t>
        </is>
      </c>
      <c r="C321" s="46" t="inlineStr">
        <is>
          <t>Specials</t>
        </is>
      </c>
      <c r="D321" s="54">
        <f>HEX2DEC(MID(B321,3,FIND("-",E321)-3))</f>
        <v/>
      </c>
      <c r="E321" s="46" t="inlineStr">
        <is>
          <t>U+FFF0-U+FFFF</t>
        </is>
      </c>
      <c r="F321" s="12" t="n">
        <v>3</v>
      </c>
      <c r="J321" s="19">
        <f>ROUNDDOWN(W321,0)/$V321</f>
        <v/>
      </c>
      <c r="K321" s="19">
        <f>ROUNDDOWN(X321,0)/$V321</f>
        <v/>
      </c>
      <c r="L321" s="19">
        <f>ROUNDDOWN(Y321,0)/$V321</f>
        <v/>
      </c>
      <c r="M321" s="19">
        <f>ROUNDDOWN(Z321,0)/$V321</f>
        <v/>
      </c>
      <c r="O321" s="36" t="inlineStr">
        <is>
          <t>￼ �</t>
        </is>
      </c>
      <c r="P321" s="37" t="inlineStr">
        <is>
          <t>￼ �</t>
        </is>
      </c>
      <c r="Q321" s="38" t="inlineStr">
        <is>
          <t>￼ �</t>
        </is>
      </c>
      <c r="R321" s="43" t="inlineStr">
        <is>
          <t>�</t>
        </is>
      </c>
      <c r="S321" s="40" t="n"/>
      <c r="V321" s="14">
        <f>(LEN(O321)+1)/2</f>
        <v/>
      </c>
      <c r="W321" s="14">
        <f>ROUNDDOWN((LEN(P321)+1)/2,0)</f>
        <v/>
      </c>
      <c r="X321" s="14">
        <f>ROUNDDOWN((LEN(Q321)+1)/2,0)</f>
        <v/>
      </c>
      <c r="Y321" s="14">
        <f>ROUNDDOWN((LEN(R321)+1)/2,0)</f>
        <v/>
      </c>
      <c r="Z321" s="14">
        <f>ROUNDDOWN((LEN(S321)+1)/2,0)</f>
        <v/>
      </c>
      <c r="AA321" s="56" t="n">
        <v>46150.55862200728</v>
      </c>
    </row>
    <row r="322" ht="38.25" customHeight="1">
      <c r="B322" s="46" t="inlineStr">
        <is>
          <t>U+10000-U+1005D</t>
        </is>
      </c>
      <c r="C322" s="46" t="inlineStr">
        <is>
          <t>Linear B Syllabary</t>
        </is>
      </c>
      <c r="D322" s="54">
        <f>HEX2DEC(MID(B322,3,FIND("-",E322)-3))</f>
        <v/>
      </c>
      <c r="E322" s="46" t="inlineStr">
        <is>
          <t>U+10000-U+1007F</t>
        </is>
      </c>
      <c r="F322" s="12" t="n">
        <v>4</v>
      </c>
      <c r="J322" s="19">
        <f>ROUNDDOWN(W322,0)/$V322</f>
        <v/>
      </c>
      <c r="K322" s="19">
        <f>ROUNDDOWN(X322,0)/$V322</f>
        <v/>
      </c>
      <c r="L322" s="19">
        <f>ROUNDDOWN(Y322,0)/$V322</f>
        <v/>
      </c>
      <c r="M322" s="19">
        <f>ROUNDDOWN(Z322,0)/$V322</f>
        <v/>
      </c>
      <c r="O322" s="36" t="inlineStr">
        <is>
          <t>𐀀 𐀁 𐀂 𐀃 𐀄 𐀅 𐀆 𐀇 𐀈 𐀉 𐀊 𐀋 𐀍 𐀎 𐀏 𐀐 𐀑 𐀒 𐀓 𐀔 𐀕 𐀖 𐀗 𐀘 𐀙 𐀚 𐀛 𐀜 𐀝 𐀞 𐀟 𐀠 𐀡 𐀢 𐀣 𐀤 𐀥 𐀦 𐀨 𐀩 𐀪 𐀫 𐀬 𐀭 𐀮 𐀯 𐀰 𐀱 𐀲 𐀳 𐀴 𐀵 𐀶 𐀷 𐀸 𐀹 𐀺 𐀼 𐀽 𐀿 𐁀 𐁁 𐁂 𐁃 𐁄 𐁅 𐁆 𐁇 𐁈 𐁉 𐁊 𐁋 𐁌 𐁍 𐁐 𐁑 𐁒 𐁓 𐁔 𐁕 𐁖 𐁗 𐁘 𐁙 𐁚 𐁛 𐁜 𐁝</t>
        </is>
      </c>
      <c r="P322" s="37" t="inlineStr">
        <is>
          <t>𐀀 𐀁 𐀂 𐀃 𐀄 𐀅 𐀆 𐀇 𐀈 𐀉 𐀊 𐀋 𐀍 𐀎 𐀏 𐀐 𐀑 𐀒 𐀓 𐀔 𐀕 𐀖 𐀗 𐀘 𐀙 𐀚 𐀛 𐀜 𐀝 𐀞 𐀟 𐀠 𐀡 𐀢 𐀣 𐀤 𐀥 𐀦 𐀨 𐀩 𐀪 𐀫 𐀬 𐀭 𐀮 𐀯 𐀰 𐀱 𐀲 𐀳 𐀴 𐀵 𐀶 𐀷 𐀸 𐀹 𐀺 𐀼 𐀽 𐀿 𐁀 𐁁 𐁂 𐁃 𐁄 𐁅 𐁆 𐁇 𐁈 𐁉 𐁊 𐁋 𐁌 𐁍 𐁐 𐁑 𐁒 𐁓 𐁔 𐁕 𐁖 𐁗 𐁘 𐁙 𐁚 𐁛 𐁜 𐁝</t>
        </is>
      </c>
      <c r="Q322" s="38" t="inlineStr">
        <is>
          <t>𐀀 𐀁 𐀂 𐀃 𐀄 𐀅 𐀆 𐀇 𐀈 𐀉 𐀊 𐀋 𐀍 𐀎 𐀏 𐀐 𐀑 𐀒 𐀓 𐀔 𐀕 𐀖 𐀗 𐀘 𐀙 𐀚 𐀛 𐀜 𐀝 𐀞 𐀟 𐀠 𐀡 𐀢 𐀣 𐀤 𐀥 𐀦 𐀨 𐀩 𐀪 𐀫 𐀬 𐀭 𐀮 𐀯 𐀰 𐀱 𐀲 𐀳 𐀴 𐀵 𐀶 𐀷 𐀸 𐀹 𐀺 𐀼 𐀽 𐀿 𐁀 𐁁 𐁂 𐁃 𐁄 𐁅 𐁆 𐁇 𐁈 𐁉 𐁊 𐁋 𐁌 𐁍 𐁐 𐁑 𐁒 𐁓 𐁔 𐁕 𐁖 𐁗 𐁘 𐁙 𐁚 𐁛 𐁜 𐁝</t>
        </is>
      </c>
      <c r="R322" s="43" t="inlineStr"/>
      <c r="S322" s="40" t="n"/>
      <c r="V322" s="14">
        <f>(LEN(O322)+1)/2</f>
        <v/>
      </c>
      <c r="W322" s="14">
        <f>ROUNDDOWN((LEN(P322)+1)/2,0)</f>
        <v/>
      </c>
      <c r="X322" s="14">
        <f>ROUNDDOWN((LEN(Q322)+1)/2,0)</f>
        <v/>
      </c>
      <c r="Y322" s="14">
        <f>ROUNDDOWN((LEN(R322)+1)/2,0)</f>
        <v/>
      </c>
      <c r="Z322" s="14">
        <f>ROUNDDOWN((LEN(S322)+1)/2,0)</f>
        <v/>
      </c>
      <c r="AA322" s="56" t="n">
        <v>46150.55862247736</v>
      </c>
    </row>
    <row r="323" ht="51" customHeight="1">
      <c r="B323" s="46" t="inlineStr">
        <is>
          <t>U+10080-U+100FA</t>
        </is>
      </c>
      <c r="C323" s="46" t="inlineStr">
        <is>
          <t>Linear B Ideograms</t>
        </is>
      </c>
      <c r="D323" s="54">
        <f>HEX2DEC(MID(B323,3,FIND("-",E323)-3))</f>
        <v/>
      </c>
      <c r="E323" s="46" t="inlineStr">
        <is>
          <t>U+10080-U+100FF</t>
        </is>
      </c>
      <c r="F323" s="12" t="n">
        <v>4</v>
      </c>
      <c r="J323" s="19">
        <f>ROUNDDOWN(W323,0)/$V323</f>
        <v/>
      </c>
      <c r="K323" s="19">
        <f>ROUNDDOWN(X323,0)/$V323</f>
        <v/>
      </c>
      <c r="L323" s="19">
        <f>ROUNDDOWN(Y323,0)/$V323</f>
        <v/>
      </c>
      <c r="M323" s="19">
        <f>ROUNDDOWN(Z323,0)/$V323</f>
        <v/>
      </c>
      <c r="O323" s="36" t="inlineStr">
        <is>
          <t>𐂀 𐂁 𐂂 𐂃 𐂄 𐂅 𐂆 𐂇 𐂈 𐂉 𐂊 𐂋 𐂌 𐂍 𐂎 𐂏 𐂐 𐂑 𐂒 𐂓 𐂔 𐂕 𐂖 𐂗 𐂘 𐂙 𐂚 𐂛 𐂜 𐂝 𐂞 𐂟 𐂠 𐂡 𐂢 𐂣 𐂤 𐂥 𐂦 𐂧 𐂨 𐂩 𐂪 𐂫 𐂬 𐂭 𐂮 𐂯 𐂰 𐂱 𐂲 𐂳 𐂴 𐂵 𐂶 𐂷 𐂸 𐂹 𐂺 𐂻 𐂼 𐂽 𐂾 𐂿 𐃀 𐃁 𐃂 𐃃 𐃄 𐃅 𐃆 𐃇 𐃈 𐃉 𐃊 𐃋 𐃌 𐃍 𐃎 𐃏 𐃐 𐃑 𐃒 𐃓 𐃔 𐃕 𐃖 𐃗 𐃘 𐃙 𐃚 𐃛 𐃜 𐃝 𐃞 𐃟 𐃠 𐃡 𐃢 𐃣 𐃤 𐃥 𐃦 𐃧 𐃨 𐃩 𐃪 𐃫 𐃬 𐃭 𐃮 𐃯 𐃰 𐃱 𐃲 𐃳 𐃴 𐃵 𐃶 𐃷 𐃸 𐃹 𐃺</t>
        </is>
      </c>
      <c r="P323" s="37" t="inlineStr">
        <is>
          <t>𐂀 𐂁 𐂂 𐂃 𐂄 𐂅 𐂆 𐂇 𐂈 𐂉 𐂊 𐂋 𐂌 𐂍 𐂎 𐂏 𐂐 𐂑 𐂒 𐂓 𐂔 𐂕 𐂖 𐂗 𐂘 𐂙 𐂚 𐂛 𐂜 𐂝 𐂞 𐂟 𐂠 𐂡 𐂢 𐂣 𐂤 𐂥 𐂦 𐂧 𐂨 𐂩 𐂪 𐂫 𐂬 𐂭 𐂮 𐂯 𐂰 𐂱 𐂲 𐂳 𐂴 𐂵 𐂶 𐂷 𐂸 𐂹 𐂺 𐂻 𐂼 𐂽 𐂾 𐂿 𐃀 𐃁 𐃂 𐃃 𐃄 𐃅 𐃆 𐃇 𐃈 𐃉 𐃊 𐃋 𐃌 𐃍 𐃎 𐃏 𐃐 𐃑 𐃒 𐃓 𐃔 𐃕 𐃖 𐃗 𐃘 𐃙 𐃚 𐃛 𐃜 𐃝 𐃞 𐃟 𐃠 𐃡 𐃢 𐃣 𐃤 𐃥 𐃦 𐃧 𐃨 𐃩 𐃪 𐃫 𐃬 𐃭 𐃮 𐃯 𐃰 𐃱 𐃲 𐃳 𐃴 𐃵 𐃶 𐃷 𐃸 𐃹 𐃺</t>
        </is>
      </c>
      <c r="Q323" s="38" t="inlineStr">
        <is>
          <t>𐂀 𐂁 𐂂 𐂃 𐂄 𐂅 𐂆 𐂇 𐂈 𐂉 𐂊 𐂋 𐂌 𐂍 𐂎 𐂏 𐂐 𐂑 𐂒 𐂓 𐂔 𐂕 𐂖 𐂗 𐂘 𐂙 𐂚 𐂛 𐂜 𐂝 𐂞 𐂟 𐂠 𐂡 𐂢 𐂣 𐂤 𐂥 𐂦 𐂧 𐂨 𐂩 𐂪 𐂫 𐂬 𐂭 𐂮 𐂯 𐂰 𐂱 𐂲 𐂳 𐂴 𐂵 𐂶 𐂷 𐂸 𐂹 𐂺 𐂻 𐂼 𐂽 𐂾 𐂿 𐃀 𐃁 𐃂 𐃃 𐃄 𐃅 𐃆 𐃇 𐃈 𐃉 𐃊 𐃋 𐃌 𐃍 𐃎 𐃏 𐃐 𐃑 𐃒 𐃓 𐃔 𐃕 𐃖 𐃗 𐃘 𐃙 𐃚 𐃛 𐃜 𐃝 𐃞 𐃟 𐃠 𐃡 𐃢 𐃣 𐃤 𐃥 𐃦 𐃧 𐃨 𐃩 𐃪 𐃫 𐃬 𐃭 𐃮 𐃯 𐃰 𐃱 𐃲 𐃳 𐃴 𐃵 𐃶 𐃷 𐃸 𐃹 𐃺</t>
        </is>
      </c>
      <c r="R323" s="43" t="inlineStr"/>
      <c r="S323" s="40" t="n"/>
      <c r="V323" s="14">
        <f>(LEN(O323)+1)/2</f>
        <v/>
      </c>
      <c r="W323" s="14">
        <f>ROUNDDOWN((LEN(P323)+1)/2,0)</f>
        <v/>
      </c>
      <c r="X323" s="14">
        <f>ROUNDDOWN((LEN(Q323)+1)/2,0)</f>
        <v/>
      </c>
      <c r="Y323" s="14">
        <f>ROUNDDOWN((LEN(R323)+1)/2,0)</f>
        <v/>
      </c>
      <c r="Z323" s="14">
        <f>ROUNDDOWN((LEN(S323)+1)/2,0)</f>
        <v/>
      </c>
      <c r="AA323" s="56" t="n">
        <v>46150.55862307198</v>
      </c>
    </row>
    <row r="324" ht="25.5" customHeight="1">
      <c r="B324" s="46" t="inlineStr">
        <is>
          <t>U+10100-U+1013F</t>
        </is>
      </c>
      <c r="C324" s="46" t="inlineStr">
        <is>
          <t>Aegean Numbers</t>
        </is>
      </c>
      <c r="D324" s="54">
        <f>HEX2DEC(MID(B324,3,FIND("-",E324)-3))</f>
        <v/>
      </c>
      <c r="E324" s="46" t="inlineStr">
        <is>
          <t>U+10100-U+1013F</t>
        </is>
      </c>
      <c r="F324" s="12" t="n">
        <v>4</v>
      </c>
      <c r="J324" s="19">
        <f>ROUNDDOWN(W324,0)/$V324</f>
        <v/>
      </c>
      <c r="K324" s="19">
        <f>ROUNDDOWN(X324,0)/$V324</f>
        <v/>
      </c>
      <c r="L324" s="19">
        <f>ROUNDDOWN(Y324,0)/$V324</f>
        <v/>
      </c>
      <c r="M324" s="19">
        <f>ROUNDDOWN(Z324,0)/$V324</f>
        <v/>
      </c>
      <c r="O324" s="36" t="inlineStr">
        <is>
          <t>𐄀 𐄁 𐄂 𐄇 𐄈 𐄉 𐄊 𐄋 𐄌 𐄍 𐄎 𐄏 𐄐 𐄑 𐄒 𐄓 𐄔 𐄕 𐄖 𐄗 𐄘 𐄙 𐄚 𐄛 𐄜 𐄝 𐄞 𐄟 𐄠 𐄡 𐄢 𐄣 𐄤 𐄥 𐄦 𐄧 𐄨 𐄩 𐄪 𐄫 𐄬 𐄭 𐄮 𐄯 𐄰 𐄱 𐄲 𐄳 𐄷 𐄸 𐄹 𐄺 𐄻 𐄼 𐄽 𐄾 𐄿</t>
        </is>
      </c>
      <c r="P324" s="37" t="inlineStr">
        <is>
          <t>𐄀 𐄁 𐄂 𐄇 𐄈 𐄉 𐄊 𐄋 𐄌 𐄍 𐄎 𐄏 𐄐 𐄑 𐄒 𐄓 𐄔 𐄕 𐄖 𐄗 𐄘 𐄙 𐄚 𐄛 𐄜 𐄝 𐄞 𐄟 𐄠 𐄡 𐄢 𐄣 𐄤 𐄥 𐄦 𐄧 𐄨 𐄩 𐄪 𐄫 𐄬 𐄭 𐄮 𐄯 𐄰 𐄱 𐄲 𐄳 𐄷 𐄸 𐄹 𐄺 𐄻 𐄼 𐄽 𐄾 𐄿</t>
        </is>
      </c>
      <c r="Q324" s="38" t="inlineStr">
        <is>
          <t>𐄀 𐄁 𐄂 𐄷 𐄸 𐄹 𐄺 𐄻 𐄼 𐄽 𐄾 𐄿</t>
        </is>
      </c>
      <c r="R324" s="43" t="inlineStr"/>
      <c r="S324" s="40" t="n"/>
      <c r="V324" s="14">
        <f>(LEN(O324)+1)/2</f>
        <v/>
      </c>
      <c r="W324" s="14">
        <f>ROUNDDOWN((LEN(P324)+1)/2,0)</f>
        <v/>
      </c>
      <c r="X324" s="14">
        <f>ROUNDDOWN((LEN(Q324)+1)/2,0)</f>
        <v/>
      </c>
      <c r="Y324" s="14">
        <f>ROUNDDOWN((LEN(R324)+1)/2,0)</f>
        <v/>
      </c>
      <c r="Z324" s="14">
        <f>ROUNDDOWN((LEN(S324)+1)/2,0)</f>
        <v/>
      </c>
      <c r="AA324" s="56" t="n">
        <v>46150.55862326456</v>
      </c>
    </row>
    <row r="325" ht="38.25" customHeight="1">
      <c r="B325" s="46" t="inlineStr">
        <is>
          <t>U+10140-U+1018E</t>
        </is>
      </c>
      <c r="C325" s="46" t="inlineStr">
        <is>
          <t>Ancient Greek Numbers</t>
        </is>
      </c>
      <c r="D325" s="54">
        <f>HEX2DEC(MID(B325,3,FIND("-",E325)-3))</f>
        <v/>
      </c>
      <c r="E325" s="46" t="inlineStr">
        <is>
          <t>U+10140-U+1018F</t>
        </is>
      </c>
      <c r="F325" s="12" t="n">
        <v>4</v>
      </c>
      <c r="J325" s="19">
        <f>ROUNDDOWN(W325,0)/$V325</f>
        <v/>
      </c>
      <c r="K325" s="19">
        <f>ROUNDDOWN(X325,0)/$V325</f>
        <v/>
      </c>
      <c r="L325" s="19">
        <f>ROUNDDOWN(Y325,0)/$V325</f>
        <v/>
      </c>
      <c r="M325" s="19">
        <f>ROUNDDOWN(Z325,0)/$V325</f>
        <v/>
      </c>
      <c r="O325" s="36" t="inlineStr">
        <is>
          <t>𐅀 𐅁 𐅂 𐅃 𐅄 𐅅 𐅆 𐅇 𐅈 𐅉 𐅊 𐅋 𐅌 𐅍 𐅎 𐅏 𐅐 𐅑 𐅒 𐅓 𐅔 𐅕 𐅖 𐅗 𐅘 𐅙 𐅚 𐅛 𐅜 𐅝 𐅞 𐅟 𐅠 𐅡 𐅢 𐅣 𐅤 𐅥 𐅦 𐅧 𐅨 𐅩 𐅪 𐅫 𐅬 𐅭 𐅮 𐅯 𐅰 𐅱 𐅲 𐅳 𐅴 𐅵 𐅶 𐅷 𐅸 𐅹 𐅺 𐅻 𐅼 𐅽 𐅾 𐅿 𐆀 𐆁 𐆂 𐆃 𐆄 𐆅 𐆆 𐆇 𐆈 𐆉 𐆊 𐆋 𐆌 𐆍 𐆎</t>
        </is>
      </c>
      <c r="P325" s="37" t="inlineStr">
        <is>
          <t>𐅀 𐅁 𐅂 𐅃 𐅄 𐅅 𐅆 𐅇 𐅈 𐅉 𐅊 𐅋 𐅌 𐅍 𐅎 𐅏 𐅐 𐅑 𐅒 𐅓 𐅔 𐅕 𐅖 𐅗 𐅘 𐅙 𐅚 𐅛 𐅜 𐅝 𐅞 𐅟 𐅠 𐅡 𐅢 𐅣 𐅤 𐅥 𐅦 𐅧 𐅨 𐅩 𐅪 𐅫 𐅬 𐅭 𐅮 𐅯 𐅰 𐅱 𐅲 𐅳 𐅴 𐅵 𐅶 𐅷 𐅸 𐅹 𐅺 𐅻 𐅼 𐅽 𐅾 𐅿 𐆀 𐆁 𐆂 𐆃 𐆄 𐆅 𐆆 𐆇 𐆈 𐆉 𐆊 𐆋 𐆌 𐆍 𐆎</t>
        </is>
      </c>
      <c r="Q325" s="38" t="inlineStr">
        <is>
          <t>𐅀 𐅁 𐅂 𐅃 𐅄 𐅅 𐅆 𐅇 𐅈 𐅉 𐅊 𐅋 𐅌 𐅍 𐅎 𐅏 𐅐 𐅑 𐅒 𐅓 𐅔 𐅕 𐅖 𐅗 𐅘 𐅙 𐅚 𐅛 𐅜 𐅝 𐅞 𐅟 𐅠 𐅡 𐅢 𐅣 𐅤 𐅥 𐅦 𐅧 𐅨 𐅩 𐅪 𐅫 𐅬 𐅭 𐅮 𐅯 𐅰 𐅱 𐅲 𐅳 𐅴 𐅹 𐅺 𐅻 𐅼 𐅽 𐅾 𐅿 𐆀 𐆁 𐆂 𐆃 𐆄 𐆅 𐆆 𐆇 𐆈 𐆉 𐆌 𐆍 𐆎</t>
        </is>
      </c>
      <c r="R325" s="43" t="inlineStr"/>
      <c r="S325" s="40" t="n"/>
      <c r="V325" s="14">
        <f>(LEN(O325)+1)/2</f>
        <v/>
      </c>
      <c r="W325" s="14">
        <f>ROUNDDOWN((LEN(P325)+1)/2,0)</f>
        <v/>
      </c>
      <c r="X325" s="14">
        <f>ROUNDDOWN((LEN(Q325)+1)/2,0)</f>
        <v/>
      </c>
      <c r="Y325" s="14">
        <f>ROUNDDOWN((LEN(R325)+1)/2,0)</f>
        <v/>
      </c>
      <c r="Z325" s="14">
        <f>ROUNDDOWN((LEN(S325)+1)/2,0)</f>
        <v/>
      </c>
      <c r="AA325" s="56" t="n">
        <v>46150.55862367783</v>
      </c>
    </row>
    <row r="326" ht="25.5" customHeight="1">
      <c r="B326" s="46" t="inlineStr">
        <is>
          <t>U+10190-U+101A0</t>
        </is>
      </c>
      <c r="C326" s="46" t="inlineStr">
        <is>
          <t>Ancient Symbols</t>
        </is>
      </c>
      <c r="D326" s="54">
        <f>HEX2DEC(MID(B326,3,FIND("-",E326)-3))</f>
        <v/>
      </c>
      <c r="E326" s="46" t="inlineStr">
        <is>
          <t>U+10190-U+101CF</t>
        </is>
      </c>
      <c r="F326" s="12" t="n">
        <v>4</v>
      </c>
      <c r="J326" s="19">
        <f>ROUNDDOWN(W326,0)/$V326</f>
        <v/>
      </c>
      <c r="K326" s="19">
        <f>ROUNDDOWN(X326,0)/$V326</f>
        <v/>
      </c>
      <c r="L326" s="19">
        <f>ROUNDDOWN(Y326,0)/$V326</f>
        <v/>
      </c>
      <c r="M326" s="19">
        <f>ROUNDDOWN(Z326,0)/$V326</f>
        <v/>
      </c>
      <c r="O326" s="36" t="inlineStr">
        <is>
          <t>𐆐 𐆑 𐆒 𐆓 𐆔 𐆕 𐆖 𐆗 𐆘 𐆙 𐆚 𐆛 𐆜 𐆠</t>
        </is>
      </c>
      <c r="P326" s="37" t="inlineStr">
        <is>
          <t>𐆐 𐆑 𐆒 𐆓 𐆔 𐆕 𐆖 𐆗 𐆘 𐆙 𐆚 𐆛 𐆜 𐆠</t>
        </is>
      </c>
      <c r="Q326" s="38" t="inlineStr">
        <is>
          <t>𐆐 𐆑 𐆒 𐆓 𐆔 𐆕 𐆖 𐆗 𐆘 𐆙 𐆚 𐆛 𐆜 𐆠</t>
        </is>
      </c>
      <c r="R326" s="43" t="inlineStr"/>
      <c r="S326" s="40" t="n"/>
      <c r="V326" s="14">
        <f>(LEN(O326)+1)/2</f>
        <v/>
      </c>
      <c r="W326" s="14">
        <f>ROUNDDOWN((LEN(P326)+1)/2,0)</f>
        <v/>
      </c>
      <c r="X326" s="14">
        <f>ROUNDDOWN((LEN(Q326)+1)/2,0)</f>
        <v/>
      </c>
      <c r="Y326" s="14">
        <f>ROUNDDOWN((LEN(R326)+1)/2,0)</f>
        <v/>
      </c>
      <c r="Z326" s="14">
        <f>ROUNDDOWN((LEN(S326)+1)/2,0)</f>
        <v/>
      </c>
      <c r="AA326" s="56" t="n">
        <v>46150.55862387515</v>
      </c>
    </row>
    <row r="327" ht="25.5" customHeight="1">
      <c r="B327" s="46" t="inlineStr">
        <is>
          <t>U+101D0-U+101FD</t>
        </is>
      </c>
      <c r="C327" s="46" t="inlineStr">
        <is>
          <t>Phaistos Disc</t>
        </is>
      </c>
      <c r="D327" s="54">
        <f>HEX2DEC(MID(B327,3,FIND("-",E327)-3))</f>
        <v/>
      </c>
      <c r="E327" s="46" t="inlineStr">
        <is>
          <t>U+101D0-U+101FF</t>
        </is>
      </c>
      <c r="F327" s="12" t="n">
        <v>4</v>
      </c>
      <c r="J327" s="19">
        <f>ROUNDDOWN(W327,0)/$V327</f>
        <v/>
      </c>
      <c r="K327" s="19">
        <f>ROUNDDOWN(X327,0)/$V327</f>
        <v/>
      </c>
      <c r="L327" s="19">
        <f>ROUNDDOWN(Y327,0)/$V327</f>
        <v/>
      </c>
      <c r="M327" s="19">
        <f>ROUNDDOWN(Z327,0)/$V327</f>
        <v/>
      </c>
      <c r="O327" s="36" t="inlineStr">
        <is>
          <t>𐇐 𐇑 𐇒 𐇓 𐇔 𐇕 𐇖 𐇗 𐇘 𐇙 𐇚 𐇛 𐇜 𐇝 𐇞 𐇟 𐇠 𐇡 𐇢 𐇣 𐇤 𐇥 𐇦 𐇧 𐇨 𐇩 𐇪 𐇫 𐇬 𐇭 𐇮 𐇯 𐇰 𐇱 𐇲 𐇳 𐇴 𐇵 𐇶 𐇷 𐇸 𐇹 𐇺 𐇻 𐇼 𐇽</t>
        </is>
      </c>
      <c r="P327" s="37" t="inlineStr">
        <is>
          <t>𐇐 𐇑 𐇒 𐇓 𐇔 𐇕 𐇖 𐇗 𐇘 𐇙 𐇚 𐇛 𐇜 𐇝 𐇞 𐇟 𐇠 𐇡 𐇢 𐇣 𐇤 𐇥 𐇦 𐇧 𐇨 𐇩 𐇪 𐇫 𐇬 𐇭 𐇮 𐇯 𐇰 𐇱 𐇲 𐇳 𐇴 𐇵 𐇶 𐇷 𐇸 𐇹 𐇺 𐇻 𐇼</t>
        </is>
      </c>
      <c r="Q327" s="38" t="inlineStr">
        <is>
          <t>𐇐 𐇑 𐇒 𐇓 𐇔 𐇕 𐇖 𐇗 𐇘 𐇙 𐇚 𐇛 𐇜 𐇝 𐇞 𐇟 𐇠 𐇡 𐇢 𐇣 𐇤 𐇥 𐇦 𐇧 𐇨 𐇩 𐇪 𐇫 𐇬 𐇭 𐇮 𐇯 𐇰 𐇱 𐇲 𐇳 𐇴 𐇵 𐇶 𐇷 𐇸 𐇹 𐇺 𐇻 𐇼</t>
        </is>
      </c>
      <c r="R327" s="43" t="inlineStr"/>
      <c r="S327" s="40" t="n"/>
      <c r="V327" s="14">
        <f>(LEN(O327)+1)/2</f>
        <v/>
      </c>
      <c r="W327" s="14">
        <f>ROUNDDOWN((LEN(P327)+1)/2,0)</f>
        <v/>
      </c>
      <c r="X327" s="14">
        <f>ROUNDDOWN((LEN(Q327)+1)/2,0)</f>
        <v/>
      </c>
      <c r="Y327" s="14">
        <f>ROUNDDOWN((LEN(R327)+1)/2,0)</f>
        <v/>
      </c>
      <c r="Z327" s="14">
        <f>ROUNDDOWN((LEN(S327)+1)/2,0)</f>
        <v/>
      </c>
      <c r="AA327" s="56" t="n">
        <v>46150.55862418028</v>
      </c>
    </row>
    <row r="328" ht="25.5" customHeight="1">
      <c r="B328" s="46" t="inlineStr">
        <is>
          <t>U+10280-U+1029C</t>
        </is>
      </c>
      <c r="C328" s="46" t="inlineStr">
        <is>
          <t>Lycian</t>
        </is>
      </c>
      <c r="D328" s="54">
        <f>HEX2DEC(MID(B328,3,FIND("-",E328)-3))</f>
        <v/>
      </c>
      <c r="E328" s="46" t="inlineStr">
        <is>
          <t>U+10280-U+1029F</t>
        </is>
      </c>
      <c r="F328" s="12" t="n">
        <v>4</v>
      </c>
      <c r="J328" s="19">
        <f>ROUNDDOWN(W328,0)/$V328</f>
        <v/>
      </c>
      <c r="K328" s="19">
        <f>ROUNDDOWN(X328,0)/$V328</f>
        <v/>
      </c>
      <c r="L328" s="19">
        <f>ROUNDDOWN(Y328,0)/$V328</f>
        <v/>
      </c>
      <c r="M328" s="19">
        <f>ROUNDDOWN(Z328,0)/$V328</f>
        <v/>
      </c>
      <c r="O328" s="36" t="inlineStr">
        <is>
          <t>𐊀 𐊁 𐊂 𐊃 𐊄 𐊅 𐊆 𐊇 𐊈 𐊉 𐊊 𐊋 𐊌 𐊍 𐊎 𐊏 𐊐 𐊑 𐊒 𐊓 𐊔 𐊕 𐊖 𐊗 𐊘 𐊙 𐊚 𐊛 𐊜</t>
        </is>
      </c>
      <c r="P328" s="37" t="inlineStr">
        <is>
          <t>𐊀 𐊁 𐊂 𐊃 𐊄 𐊅 𐊆 𐊇 𐊈 𐊉 𐊊 𐊋 𐊌 𐊍 𐊎 𐊏 𐊐 𐊑 𐊒 𐊓 𐊔 𐊕 𐊖 𐊗 𐊘 𐊙 𐊚 𐊛 𐊜</t>
        </is>
      </c>
      <c r="Q328" s="38" t="inlineStr">
        <is>
          <t>𐊀 𐊁 𐊂 𐊃 𐊄 𐊅 𐊆 𐊇 𐊈 𐊉 𐊊 𐊋 𐊌 𐊍 𐊎 𐊏 𐊐 𐊑 𐊒 𐊓 𐊔 𐊕 𐊖 𐊗 𐊘 𐊙 𐊚 𐊛 𐊜</t>
        </is>
      </c>
      <c r="R328" s="43" t="inlineStr"/>
      <c r="S328" s="40" t="n"/>
      <c r="V328" s="14">
        <f>(LEN(O328)+1)/2</f>
        <v/>
      </c>
      <c r="W328" s="14">
        <f>ROUNDDOWN((LEN(P328)+1)/2,0)</f>
        <v/>
      </c>
      <c r="X328" s="14">
        <f>ROUNDDOWN((LEN(Q328)+1)/2,0)</f>
        <v/>
      </c>
      <c r="Y328" s="14">
        <f>ROUNDDOWN((LEN(R328)+1)/2,0)</f>
        <v/>
      </c>
      <c r="Z328" s="14">
        <f>ROUNDDOWN((LEN(S328)+1)/2,0)</f>
        <v/>
      </c>
      <c r="AA328" s="56" t="n">
        <v>46150.55862439959</v>
      </c>
    </row>
    <row r="329" ht="25.5" customHeight="1">
      <c r="B329" s="46" t="inlineStr">
        <is>
          <t>U+102A0-U+102D0</t>
        </is>
      </c>
      <c r="C329" s="46" t="inlineStr">
        <is>
          <t>Carian</t>
        </is>
      </c>
      <c r="D329" s="54">
        <f>HEX2DEC(MID(B329,3,FIND("-",E329)-3))</f>
        <v/>
      </c>
      <c r="E329" s="46" t="inlineStr">
        <is>
          <t>U+102A0-U+102DF</t>
        </is>
      </c>
      <c r="F329" s="12" t="n">
        <v>4</v>
      </c>
      <c r="J329" s="19">
        <f>ROUNDDOWN(W329,0)/$V329</f>
        <v/>
      </c>
      <c r="K329" s="19">
        <f>ROUNDDOWN(X329,0)/$V329</f>
        <v/>
      </c>
      <c r="L329" s="19">
        <f>ROUNDDOWN(Y329,0)/$V329</f>
        <v/>
      </c>
      <c r="M329" s="19">
        <f>ROUNDDOWN(Z329,0)/$V329</f>
        <v/>
      </c>
      <c r="O329" s="36" t="inlineStr">
        <is>
          <t>𐊠 𐊡 𐊢 𐊣 𐊤 𐊥 𐊦 𐊧 𐊨 𐊩 𐊪 𐊫 𐊬 𐊭 𐊮 𐊯 𐊰 𐊱 𐊲 𐊳 𐊴 𐊵 𐊶 𐊷 𐊸 𐊹 𐊺 𐊻 𐊼 𐊽 𐊾 𐊿 𐋀 𐋁 𐋂 𐋃 𐋄 𐋅 𐋆 𐋇 𐋈 𐋉 𐋊 𐋋 𐋌 𐋍 𐋎 𐋏 𐋐</t>
        </is>
      </c>
      <c r="P329" s="37" t="inlineStr">
        <is>
          <t>𐊠 𐊡 𐊢 𐊣 𐊤 𐊥 𐊦 𐊧 𐊨 𐊩 𐊪 𐊫 𐊬 𐊭 𐊮 𐊯 𐊰 𐊱 𐊲 𐊳 𐊴 𐊵 𐊶 𐊷 𐊸 𐊹 𐊺 𐊻 𐊼 𐊽 𐊾 𐊿 𐋀 𐋁 𐋂 𐋃 𐋄 𐋅 𐋆 𐋇 𐋈 𐋉 𐋊 𐋋 𐋌 𐋍 𐋎 𐋏 𐋐</t>
        </is>
      </c>
      <c r="Q329" s="38" t="inlineStr">
        <is>
          <t>𐊠 𐊡 𐊢 𐊣 𐊤 𐊥 𐊦 𐊧 𐊨 𐊩 𐊪 𐊬 𐊭 𐊮 𐊯 𐊰 𐊱 𐊲 𐊳 𐊴 𐊵 𐊶 𐊷 𐊸 𐊹 𐊺 𐊻 𐊼 𐊽 𐊾 𐊿 𐋀 𐋁 𐋂 𐋃 𐋄 𐋅 𐋆 𐋇 𐋈 𐋉 𐋊 𐋋 𐋌 𐋍 𐋎 𐋏 𐋐</t>
        </is>
      </c>
      <c r="R329" s="43" t="inlineStr"/>
      <c r="S329" s="40" t="n"/>
      <c r="V329" s="14">
        <f>(LEN(O329)+1)/2</f>
        <v/>
      </c>
      <c r="W329" s="14">
        <f>ROUNDDOWN((LEN(P329)+1)/2,0)</f>
        <v/>
      </c>
      <c r="X329" s="14">
        <f>ROUNDDOWN((LEN(Q329)+1)/2,0)</f>
        <v/>
      </c>
      <c r="Y329" s="14">
        <f>ROUNDDOWN((LEN(R329)+1)/2,0)</f>
        <v/>
      </c>
      <c r="Z329" s="14">
        <f>ROUNDDOWN((LEN(S329)+1)/2,0)</f>
        <v/>
      </c>
      <c r="AA329" s="56" t="n">
        <v>46150.55862468251</v>
      </c>
    </row>
    <row r="330" ht="25.5" customHeight="1">
      <c r="B330" s="46" t="inlineStr">
        <is>
          <t>U+102E0-U+102FB</t>
        </is>
      </c>
      <c r="C330" s="46" t="inlineStr">
        <is>
          <t>Coptic Epact Numbers</t>
        </is>
      </c>
      <c r="D330" s="54">
        <f>HEX2DEC(MID(B330,3,FIND("-",E330)-3))</f>
        <v/>
      </c>
      <c r="E330" s="46" t="inlineStr">
        <is>
          <t>U+102E0-U+102FF</t>
        </is>
      </c>
      <c r="F330" s="12" t="n">
        <v>4</v>
      </c>
      <c r="J330" s="19">
        <f>ROUNDDOWN(W330,0)/$V330</f>
        <v/>
      </c>
      <c r="K330" s="19">
        <f>ROUNDDOWN(X330,0)/$V330</f>
        <v/>
      </c>
      <c r="L330" s="19">
        <f>ROUNDDOWN(Y330,0)/$V330</f>
        <v/>
      </c>
      <c r="M330" s="19">
        <f>ROUNDDOWN(Z330,0)/$V330</f>
        <v/>
      </c>
      <c r="O330" s="36" t="inlineStr">
        <is>
          <t>𐋠 𐋡 𐋢 𐋣 𐋤 𐋥 𐋦 𐋧 𐋨 𐋩 𐋪 𐋫 𐋬 𐋭 𐋮 𐋯 𐋰 𐋱 𐋲 𐋳 𐋴 𐋵 𐋶 𐋷 𐋸 𐋹 𐋺 𐋻</t>
        </is>
      </c>
      <c r="P330" s="37" t="inlineStr">
        <is>
          <t>𐋡 𐋢 𐋣 𐋤 𐋥 𐋦 𐋧 𐋨 𐋩 𐋪 𐋫 𐋬 𐋭 𐋮 𐋯 𐋰 𐋱 𐋲 𐋳 𐋴 𐋵 𐋶 𐋷 𐋸 𐋹 𐋺 𐋻</t>
        </is>
      </c>
      <c r="Q330" s="38" t="inlineStr"/>
      <c r="R330" t="inlineStr"/>
      <c r="S330" s="40" t="n"/>
      <c r="V330" s="14">
        <f>(LEN(O330)+1)/2</f>
        <v/>
      </c>
      <c r="W330" s="14">
        <f>ROUNDDOWN((LEN(P330)+1)/2,0)</f>
        <v/>
      </c>
      <c r="X330" s="14">
        <f>ROUNDDOWN((LEN(Q330)+1)/2,0)</f>
        <v/>
      </c>
      <c r="Y330" s="14">
        <f>ROUNDDOWN((LEN(R330)+1)/2,0)</f>
        <v/>
      </c>
      <c r="Z330" s="14">
        <f>ROUNDDOWN((LEN(S330)+1)/2,0)</f>
        <v/>
      </c>
      <c r="AA330" s="56" t="n">
        <v>46150.55862468406</v>
      </c>
    </row>
    <row r="331" ht="25.5" customHeight="1">
      <c r="B331" s="46" t="inlineStr">
        <is>
          <t>U+10300-U+1032F</t>
        </is>
      </c>
      <c r="C331" s="46" t="inlineStr">
        <is>
          <t>Old Italic</t>
        </is>
      </c>
      <c r="D331" s="54">
        <f>HEX2DEC(MID(B331,3,FIND("-",E331)-3))</f>
        <v/>
      </c>
      <c r="E331" s="46" t="inlineStr">
        <is>
          <t>U+10300-U+1032F</t>
        </is>
      </c>
      <c r="F331" s="12" t="n">
        <v>4</v>
      </c>
      <c r="J331" s="19">
        <f>ROUNDDOWN(W331,0)/$V331</f>
        <v/>
      </c>
      <c r="K331" s="19">
        <f>ROUNDDOWN(X331,0)/$V331</f>
        <v/>
      </c>
      <c r="L331" s="19">
        <f>ROUNDDOWN(Y331,0)/$V331</f>
        <v/>
      </c>
      <c r="M331" s="19">
        <f>ROUNDDOWN(Z331,0)/$V331</f>
        <v/>
      </c>
      <c r="O331" s="36" t="inlineStr">
        <is>
          <t>𐌀 𐌁 𐌂 𐌃 𐌄 𐌅 𐌆 𐌇 𐌈 𐌉 𐌊 𐌋 𐌌 𐌍 𐌎 𐌏 𐌐 𐌑 𐌒 𐌓 𐌔 𐌕 𐌖 𐌗 𐌘 𐌙 𐌚 𐌛 𐌜 𐌝 𐌞 𐌟 𐌠 𐌡 𐌢 𐌣 𐌭 𐌮 𐌯</t>
        </is>
      </c>
      <c r="P331" s="37" t="inlineStr">
        <is>
          <t>𐌀 𐌁 𐌂 𐌃 𐌄 𐌅 𐌆 𐌇 𐌈 𐌉 𐌊 𐌋 𐌌 𐌍 𐌎 𐌏 𐌐 𐌑 𐌒 𐌓 𐌔 𐌕 𐌖 𐌗 𐌘 𐌙 𐌚 𐌛 𐌜 𐌝 𐌞 𐌟 𐌠 𐌡 𐌢 𐌣 𐌭 𐌮 𐌯</t>
        </is>
      </c>
      <c r="Q331" s="38" t="inlineStr">
        <is>
          <t>𐌀 𐌁 𐌂 𐌃 𐌄 𐌅 𐌆 𐌇 𐌈 𐌉 𐌊 𐌋 𐌌 𐌍 𐌎 𐌐 𐌑 𐌒 𐌓 𐌔 𐌕 𐌖 𐌗 𐌘 𐌙 𐌚 𐌛 𐌜 𐌝 𐌞 𐌟 𐌭 𐌮 𐌯</t>
        </is>
      </c>
      <c r="R331" s="43" t="inlineStr">
        <is>
          <t>𐌀 𐌃 𐌄 𐌅 𐌆 𐌇 𐌈 𐌊 𐌋 𐌌 𐌍 𐌎 𐌐 𐌒 𐌓 𐌔 𐌖 𐌘 𐌙 𐌛 𐌜 𐌝 𐌞 𐌟 𐌭 𐌮 𐌯</t>
        </is>
      </c>
      <c r="S331" s="40" t="n"/>
      <c r="V331" s="14">
        <f>(LEN(O331)+1)/2</f>
        <v/>
      </c>
      <c r="W331" s="14">
        <f>ROUNDDOWN((LEN(P331)+1)/2,0)</f>
        <v/>
      </c>
      <c r="X331" s="14">
        <f>ROUNDDOWN((LEN(Q331)+1)/2,0)</f>
        <v/>
      </c>
      <c r="Y331" s="14">
        <f>ROUNDDOWN((LEN(R331)+1)/2,0)</f>
        <v/>
      </c>
      <c r="Z331" s="14">
        <f>ROUNDDOWN((LEN(S331)+1)/2,0)</f>
        <v/>
      </c>
      <c r="AA331" s="56" t="n">
        <v>46150.55862499926</v>
      </c>
    </row>
    <row r="332" ht="25.5" customHeight="1">
      <c r="B332" s="46" t="inlineStr">
        <is>
          <t>U+10330-U+1034A</t>
        </is>
      </c>
      <c r="C332" s="46" t="inlineStr">
        <is>
          <t>Gothic</t>
        </is>
      </c>
      <c r="D332" s="54">
        <f>HEX2DEC(MID(B332,3,FIND("-",E332)-3))</f>
        <v/>
      </c>
      <c r="E332" s="46" t="inlineStr">
        <is>
          <t>U+10330-U+1034F</t>
        </is>
      </c>
      <c r="F332" s="12" t="n">
        <v>4</v>
      </c>
      <c r="J332" s="19">
        <f>ROUNDDOWN(W332,0)/$V332</f>
        <v/>
      </c>
      <c r="K332" s="19">
        <f>ROUNDDOWN(X332,0)/$V332</f>
        <v/>
      </c>
      <c r="L332" s="19">
        <f>ROUNDDOWN(Y332,0)/$V332</f>
        <v/>
      </c>
      <c r="M332" s="19">
        <f>ROUNDDOWN(Z332,0)/$V332</f>
        <v/>
      </c>
      <c r="O332" s="36" t="inlineStr">
        <is>
          <t>𐌰 𐌱 𐌲 𐌳 𐌴 𐌵 𐌶 𐌷 𐌸 𐌹 𐌺 𐌻 𐌼 𐌽 𐌾 𐌿 𐍀 𐍁 𐍂 𐍃 𐍄 𐍅 𐍆 𐍇 𐍈 𐍉 𐍊</t>
        </is>
      </c>
      <c r="P332" s="37" t="inlineStr">
        <is>
          <t>𐌰 𐌱 𐌲 𐌳 𐌴 𐌵 𐌶 𐌷 𐌸 𐌹 𐌺 𐌻 𐌼 𐌽 𐌾 𐌿 𐍀 𐍁 𐍂 𐍃 𐍄 𐍅 𐍆 𐍇 𐍈 𐍉 𐍊</t>
        </is>
      </c>
      <c r="Q332" s="38" t="inlineStr">
        <is>
          <t>𐌰 𐌱 𐌲 𐌳 𐌴 𐌵 𐌶 𐌷 𐌸 𐌹 𐌺 𐌻 𐌼 𐌽 𐌾 𐌿 𐍀 𐍁 𐍂 𐍃 𐍄 𐍅 𐍆 𐍇 𐍈 𐍉 𐍊</t>
        </is>
      </c>
      <c r="R332" s="43" t="inlineStr"/>
      <c r="S332" s="40" t="n"/>
      <c r="V332" s="14">
        <f>(LEN(O332)+1)/2</f>
        <v/>
      </c>
      <c r="W332" s="14">
        <f>ROUNDDOWN((LEN(P332)+1)/2,0)</f>
        <v/>
      </c>
      <c r="X332" s="14">
        <f>ROUNDDOWN((LEN(Q332)+1)/2,0)</f>
        <v/>
      </c>
      <c r="Y332" s="14">
        <f>ROUNDDOWN((LEN(R332)+1)/2,0)</f>
        <v/>
      </c>
      <c r="Z332" s="14">
        <f>ROUNDDOWN((LEN(S332)+1)/2,0)</f>
        <v/>
      </c>
      <c r="AA332" s="56" t="n">
        <v>46150.5586252377</v>
      </c>
    </row>
    <row r="333" ht="25.5" customHeight="1">
      <c r="B333" s="46" t="inlineStr">
        <is>
          <t>U+10350-U+1037A</t>
        </is>
      </c>
      <c r="C333" s="46" t="inlineStr">
        <is>
          <t>Old Permic</t>
        </is>
      </c>
      <c r="D333" s="54">
        <f>HEX2DEC(MID(B333,3,FIND("-",E333)-3))</f>
        <v/>
      </c>
      <c r="E333" s="46" t="inlineStr">
        <is>
          <t>U+10350-U+1037F</t>
        </is>
      </c>
      <c r="F333" s="12" t="n">
        <v>4</v>
      </c>
      <c r="J333" s="19">
        <f>ROUNDDOWN(W333,0)/$V333</f>
        <v/>
      </c>
      <c r="K333" s="19">
        <f>ROUNDDOWN(X333,0)/$V333</f>
        <v/>
      </c>
      <c r="L333" s="19">
        <f>ROUNDDOWN(Y333,0)/$V333</f>
        <v/>
      </c>
      <c r="M333" s="19">
        <f>ROUNDDOWN(Z333,0)/$V333</f>
        <v/>
      </c>
      <c r="O333" s="36" t="inlineStr">
        <is>
          <t>𐍐 𐍑 𐍒 𐍓 𐍔 𐍕 𐍖 𐍗 𐍘 𐍙 𐍚 𐍛 𐍜 𐍝 𐍞 𐍟 𐍠 𐍡 𐍢 𐍣 𐍤 𐍥 𐍦 𐍧 𐍨 𐍩 𐍪 𐍫 𐍬 𐍭 𐍮 𐍯 𐍰 𐍱 𐍲 𐍳 𐍴 𐍵 𐍶 𐍷 𐍸 𐍹 𐍺</t>
        </is>
      </c>
      <c r="P333" s="37" t="inlineStr">
        <is>
          <t>𐍐 𐍑 𐍒 𐍓 𐍔 𐍕 𐍖 𐍗 𐍘 𐍙 𐍚 𐍛 𐍜 𐍝 𐍞 𐍟 𐍠 𐍡 𐍢 𐍣 𐍤 𐍥 𐍦 𐍧 𐍨 𐍩 𐍪 𐍫 𐍬 𐍭 𐍮 𐍯 𐍰 𐍱 𐍲 𐍳 𐍴 𐍵</t>
        </is>
      </c>
      <c r="Q333" s="38" t="inlineStr">
        <is>
          <t>𐍐 𐍑 𐍒 𐍓 𐍔 𐍕 𐍖 𐍗 𐍘 𐍙 𐍚 𐍛 𐍜 𐍝 𐍞 𐍟 𐍠 𐍡 𐍢 𐍣 𐍤 𐍥 𐍦 𐍧 𐍨 𐍪 𐍫 𐍬 𐍭 𐍮 𐍯 𐍰 𐍱 𐍲 𐍳 𐍴 𐍵</t>
        </is>
      </c>
      <c r="R333" s="43" t="inlineStr"/>
      <c r="S333" s="40" t="n"/>
      <c r="V333" s="14">
        <f>(LEN(O333)+1)/2</f>
        <v/>
      </c>
      <c r="W333" s="14">
        <f>ROUNDDOWN((LEN(P333)+1)/2,0)</f>
        <v/>
      </c>
      <c r="X333" s="14">
        <f>ROUNDDOWN((LEN(Q333)+1)/2,0)</f>
        <v/>
      </c>
      <c r="Y333" s="14">
        <f>ROUNDDOWN((LEN(R333)+1)/2,0)</f>
        <v/>
      </c>
      <c r="Z333" s="14">
        <f>ROUNDDOWN((LEN(S333)+1)/2,0)</f>
        <v/>
      </c>
      <c r="AA333" s="56" t="n">
        <v>46150.55862551161</v>
      </c>
    </row>
    <row r="334" ht="25.5" customHeight="1">
      <c r="B334" s="46" t="inlineStr">
        <is>
          <t>U+10380-U+1039F</t>
        </is>
      </c>
      <c r="C334" s="46" t="inlineStr">
        <is>
          <t>Ugaritic</t>
        </is>
      </c>
      <c r="D334" s="54">
        <f>HEX2DEC(MID(B334,3,FIND("-",E334)-3))</f>
        <v/>
      </c>
      <c r="E334" s="46" t="inlineStr">
        <is>
          <t>U+10380-U+1039F</t>
        </is>
      </c>
      <c r="F334" s="12" t="n">
        <v>4</v>
      </c>
      <c r="J334" s="19">
        <f>ROUNDDOWN(W334,0)/$V334</f>
        <v/>
      </c>
      <c r="K334" s="19">
        <f>ROUNDDOWN(X334,0)/$V334</f>
        <v/>
      </c>
      <c r="L334" s="19">
        <f>ROUNDDOWN(Y334,0)/$V334</f>
        <v/>
      </c>
      <c r="M334" s="19">
        <f>ROUNDDOWN(Z334,0)/$V334</f>
        <v/>
      </c>
      <c r="O334" s="36" t="inlineStr">
        <is>
          <t>𐎀 𐎁 𐎂 𐎃 𐎄 𐎅 𐎆 𐎇 𐎈 𐎉 𐎊 𐎋 𐎌 𐎍 𐎎 𐎏 𐎐 𐎑 𐎒 𐎓 𐎔 𐎕 𐎖 𐎗 𐎘 𐎙 𐎚 𐎛 𐎜 𐎝 𐎟</t>
        </is>
      </c>
      <c r="P334" s="37" t="inlineStr">
        <is>
          <t>𐎀 𐎁 𐎂 𐎃 𐎄 𐎅 𐎆 𐎇 𐎈 𐎉 𐎊 𐎋 𐎌 𐎍 𐎎 𐎏 𐎐 𐎑 𐎒 𐎓 𐎔 𐎕 𐎖 𐎗 𐎘 𐎙 𐎚 𐎛 𐎜 𐎝 𐎟</t>
        </is>
      </c>
      <c r="Q334" s="38" t="inlineStr">
        <is>
          <t>𐎀 𐎁 𐎂 𐎃 𐎄 𐎅 𐎆 𐎇 𐎈 𐎉 𐎊 𐎋 𐎌 𐎍 𐎎 𐎏 𐎐 𐎑 𐎒 𐎓 𐎔 𐎕 𐎖 𐎗 𐎘 𐎙 𐎚 𐎛 𐎜 𐎝 𐎟</t>
        </is>
      </c>
      <c r="R334" s="43" t="inlineStr"/>
      <c r="S334" s="40" t="n"/>
      <c r="V334" s="14">
        <f>(LEN(O334)+1)/2</f>
        <v/>
      </c>
      <c r="W334" s="14">
        <f>ROUNDDOWN((LEN(P334)+1)/2,0)</f>
        <v/>
      </c>
      <c r="X334" s="14">
        <f>ROUNDDOWN((LEN(Q334)+1)/2,0)</f>
        <v/>
      </c>
      <c r="Y334" s="14">
        <f>ROUNDDOWN((LEN(R334)+1)/2,0)</f>
        <v/>
      </c>
      <c r="Z334" s="14">
        <f>ROUNDDOWN((LEN(S334)+1)/2,0)</f>
        <v/>
      </c>
      <c r="AA334" s="56" t="n">
        <v>46150.55862576915</v>
      </c>
    </row>
    <row r="335" ht="25.5" customHeight="1">
      <c r="B335" s="46" t="inlineStr">
        <is>
          <t>U+103A0-U+103D5</t>
        </is>
      </c>
      <c r="C335" s="46" t="inlineStr">
        <is>
          <t>Old Persian</t>
        </is>
      </c>
      <c r="D335" s="54">
        <f>HEX2DEC(MID(B335,3,FIND("-",E335)-3))</f>
        <v/>
      </c>
      <c r="E335" s="46" t="inlineStr">
        <is>
          <t>U+103A0-U+103DF</t>
        </is>
      </c>
      <c r="F335" s="12" t="n">
        <v>4</v>
      </c>
      <c r="J335" s="19">
        <f>ROUNDDOWN(W335,0)/$V335</f>
        <v/>
      </c>
      <c r="K335" s="19">
        <f>ROUNDDOWN(X335,0)/$V335</f>
        <v/>
      </c>
      <c r="L335" s="19">
        <f>ROUNDDOWN(Y335,0)/$V335</f>
        <v/>
      </c>
      <c r="M335" s="19">
        <f>ROUNDDOWN(Z335,0)/$V335</f>
        <v/>
      </c>
      <c r="O335" s="36" t="inlineStr">
        <is>
          <t>𐎠 𐎡 𐎢 𐎣 𐎤 𐎥 𐎦 𐎧 𐎨 𐎩 𐎪 𐎫 𐎬 𐎭 𐎮 𐎯 𐎰 𐎱 𐎲 𐎳 𐎴 𐎵 𐎶 𐎷 𐎸 𐎹 𐎺 𐎻 𐎼 𐎽 𐎾 𐎿 𐏀 𐏁 𐏂 𐏃 𐏈 𐏉 𐏊 𐏋 𐏌 𐏍 𐏎 𐏏 𐏐 𐏑 𐏒 𐏓 𐏔 𐏕</t>
        </is>
      </c>
      <c r="P335" s="37" t="inlineStr">
        <is>
          <t>𐎠 𐎡 𐎢 𐎣 𐎤 𐎥 𐎦 𐎧 𐎨 𐎩 𐎪 𐎫 𐎬 𐎭 𐎮 𐎯 𐎰 𐎱 𐎲 𐎳 𐎴 𐎵 𐎶 𐎷 𐎸 𐎹 𐎺 𐎻 𐎼 𐎽 𐎾 𐎿 𐏀 𐏁 𐏂 𐏃 𐏈 𐏉 𐏊 𐏋 𐏌 𐏍 𐏎 𐏏 𐏐 𐏑 𐏒 𐏓 𐏔 𐏕</t>
        </is>
      </c>
      <c r="Q335" s="38" t="inlineStr">
        <is>
          <t>𐎠 𐎡 𐎢 𐎣 𐎤 𐎥 𐎦 𐎧 𐎨 𐎩 𐎪 𐎫 𐎬 𐎭 𐎮 𐎯 𐎰 𐎱 𐎲 𐎳 𐎴 𐎵 𐎶 𐎷 𐎸 𐎹 𐎺 𐎻 𐎼 𐎽 𐎾 𐎿 𐏀 𐏁 𐏂 𐏃 𐏈 𐏉 𐏊 𐏋 𐏌 𐏍 𐏎 𐏏 𐏐</t>
        </is>
      </c>
      <c r="R335" s="43" t="inlineStr"/>
      <c r="S335" s="40" t="n"/>
      <c r="V335" s="14">
        <f>(LEN(O335)+1)/2</f>
        <v/>
      </c>
      <c r="W335" s="14">
        <f>ROUNDDOWN((LEN(P335)+1)/2,0)</f>
        <v/>
      </c>
      <c r="X335" s="14">
        <f>ROUNDDOWN((LEN(Q335)+1)/2,0)</f>
        <v/>
      </c>
      <c r="Y335" s="14">
        <f>ROUNDDOWN((LEN(R335)+1)/2,0)</f>
        <v/>
      </c>
      <c r="Z335" s="14">
        <f>ROUNDDOWN((LEN(S335)+1)/2,0)</f>
        <v/>
      </c>
      <c r="AA335" s="56" t="n">
        <v>46150.5586260737</v>
      </c>
    </row>
    <row r="336" ht="38.25" customHeight="1">
      <c r="B336" s="46" t="inlineStr">
        <is>
          <t>U+10400-U+1044F</t>
        </is>
      </c>
      <c r="C336" s="46" t="inlineStr">
        <is>
          <t>Deseret</t>
        </is>
      </c>
      <c r="D336" s="54">
        <f>HEX2DEC(MID(B336,3,FIND("-",E336)-3))</f>
        <v/>
      </c>
      <c r="E336" s="46" t="inlineStr">
        <is>
          <t>U+10400-U+1044F</t>
        </is>
      </c>
      <c r="F336" s="12" t="n">
        <v>4</v>
      </c>
      <c r="J336" s="19">
        <f>ROUNDDOWN(W336,0)/$V336</f>
        <v/>
      </c>
      <c r="K336" s="19">
        <f>ROUNDDOWN(X336,0)/$V336</f>
        <v/>
      </c>
      <c r="L336" s="19">
        <f>ROUNDDOWN(Y336,0)/$V336</f>
        <v/>
      </c>
      <c r="M336" s="19">
        <f>ROUNDDOWN(Z336,0)/$V336</f>
        <v/>
      </c>
      <c r="O336" s="36" t="inlineStr">
        <is>
          <t>𐐀 𐐁 𐐂 𐐃 𐐄 𐐅 𐐆 𐐇 𐐈 𐐉 𐐊 𐐋 𐐌 𐐍 𐐎 𐐏 𐐐 𐐑 𐐒 𐐓 𐐔 𐐕 𐐖 𐐗 𐐘 𐐙 𐐚 𐐛 𐐜 𐐝 𐐞 𐐟 𐐠 𐐡 𐐢 𐐣 𐐤 𐐥 𐐦 𐐧 𐐨 𐐩 𐐪 𐐫 𐐬 𐐭 𐐮 𐐯 𐐰 𐐱 𐐲 𐐳 𐐴 𐐵 𐐶 𐐷 𐐸 𐐹 𐐺 𐐻 𐐼 𐐽 𐐾 𐐿 𐑀 𐑁 𐑂 𐑃 𐑄 𐑅 𐑆 𐑇 𐑈 𐑉 𐑊 𐑋 𐑌 𐑍 𐑎 𐑏</t>
        </is>
      </c>
      <c r="P336" s="37" t="inlineStr">
        <is>
          <t>𐐀 𐐁 𐐂 𐐃 𐐄 𐐅 𐐆 𐐇 𐐈 𐐉 𐐊 𐐋 𐐌 𐐍 𐐎 𐐏 𐐐 𐐑 𐐒 𐐓 𐐔 𐐕 𐐖 𐐗 𐐘 𐐙 𐐚 𐐛 𐐜 𐐝 𐐞 𐐟 𐐠 𐐡 𐐢 𐐣 𐐤 𐐥 𐐦 𐐧 𐐨 𐐩 𐐪 𐐫 𐐬 𐐭 𐐮 𐐯 𐐰 𐐱 𐐲 𐐳 𐐴 𐐵 𐐶 𐐷 𐐸 𐐹 𐐺 𐐻 𐐼 𐐽 𐐾 𐐿 𐑀 𐑁 𐑂 𐑃 𐑄 𐑅 𐑆 𐑇 𐑈 𐑉 𐑊 𐑋 𐑌 𐑍 𐑎 𐑏</t>
        </is>
      </c>
      <c r="Q336" s="38" t="inlineStr">
        <is>
          <t>𐐨 𐐩 𐐪 𐐫 𐐭 𐐮 𐐯 𐐰 𐐱 𐐳 𐐴 𐐵 𐐶 𐐷 𐐸 𐐹 𐐺 𐐻 𐐼 𐐽 𐐾 𐐿 𐑀 𐑁 𐑂 𐑃 𐑄 𐑅 𐑆 𐑇 𐑈 𐑉 𐑊 𐑋 𐑌 𐑍 𐑏</t>
        </is>
      </c>
      <c r="R336" s="43" t="inlineStr"/>
      <c r="S336" s="40" t="n"/>
      <c r="V336" s="14">
        <f>(LEN(O336)+1)/2</f>
        <v/>
      </c>
      <c r="W336" s="14">
        <f>ROUNDDOWN((LEN(P336)+1)/2,0)</f>
        <v/>
      </c>
      <c r="X336" s="14">
        <f>ROUNDDOWN((LEN(Q336)+1)/2,0)</f>
        <v/>
      </c>
      <c r="Y336" s="14">
        <f>ROUNDDOWN((LEN(R336)+1)/2,0)</f>
        <v/>
      </c>
      <c r="Z336" s="14">
        <f>ROUNDDOWN((LEN(S336)+1)/2,0)</f>
        <v/>
      </c>
      <c r="AA336" s="56" t="n">
        <v>46150.55862634871</v>
      </c>
    </row>
    <row r="337" ht="25.5" customHeight="1">
      <c r="B337" s="46" t="inlineStr">
        <is>
          <t>U+10450-U+1047F</t>
        </is>
      </c>
      <c r="C337" s="46" t="inlineStr">
        <is>
          <t>Shavian</t>
        </is>
      </c>
      <c r="D337" s="54">
        <f>HEX2DEC(MID(B337,3,FIND("-",E337)-3))</f>
        <v/>
      </c>
      <c r="E337" s="46" t="inlineStr">
        <is>
          <t>U+10450-U+1047F</t>
        </is>
      </c>
      <c r="F337" s="12" t="n">
        <v>4</v>
      </c>
      <c r="J337" s="19">
        <f>ROUNDDOWN(W337,0)/$V337</f>
        <v/>
      </c>
      <c r="K337" s="19">
        <f>ROUNDDOWN(X337,0)/$V337</f>
        <v/>
      </c>
      <c r="L337" s="19">
        <f>ROUNDDOWN(Y337,0)/$V337</f>
        <v/>
      </c>
      <c r="M337" s="19">
        <f>ROUNDDOWN(Z337,0)/$V337</f>
        <v/>
      </c>
      <c r="O337" s="36" t="inlineStr">
        <is>
          <t>𐑐 𐑑 𐑒 𐑓 𐑔 𐑕 𐑖 𐑗 𐑘 𐑙 𐑚 𐑛 𐑜 𐑝 𐑞 𐑟 𐑠 𐑡 𐑢 𐑣 𐑤 𐑥 𐑦 𐑧 𐑨 𐑩 𐑪 𐑫 𐑬 𐑭 𐑮 𐑯 𐑰 𐑱 𐑲 𐑳 𐑴 𐑵 𐑶 𐑷 𐑸 𐑹 𐑺 𐑻 𐑼 𐑽 𐑾 𐑿</t>
        </is>
      </c>
      <c r="P337" s="37" t="inlineStr">
        <is>
          <t>𐑐 𐑑 𐑒 𐑓 𐑔 𐑕 𐑖 𐑗 𐑘 𐑙 𐑚 𐑛 𐑜 𐑝 𐑞 𐑟 𐑠 𐑡 𐑢 𐑣 𐑤 𐑥 𐑦 𐑧 𐑨 𐑩 𐑪 𐑫 𐑬 𐑭 𐑮 𐑯 𐑰 𐑱 𐑲 𐑳 𐑴 𐑵 𐑶 𐑷 𐑸 𐑹 𐑺 𐑻 𐑼 𐑽 𐑾 𐑿</t>
        </is>
      </c>
      <c r="Q337" s="38" t="inlineStr">
        <is>
          <t>𐑐 𐑑 𐑒 𐑓 𐑔 𐑕 𐑖 𐑗 𐑘 𐑙 𐑚 𐑛 𐑜 𐑝 𐑞 𐑟 𐑠 𐑡 𐑢 𐑣 𐑤 𐑥 𐑦 𐑧 𐑨 𐑩 𐑪 𐑫 𐑬 𐑭 𐑮 𐑯 𐑰 𐑱 𐑲 𐑳 𐑴 𐑵 𐑶 𐑷 𐑸 𐑹 𐑺 𐑻 𐑼 𐑽 𐑾 𐑿</t>
        </is>
      </c>
      <c r="R337" s="43" t="inlineStr"/>
      <c r="S337" s="40" t="n"/>
      <c r="V337" s="14">
        <f>(LEN(O337)+1)/2</f>
        <v/>
      </c>
      <c r="W337" s="14">
        <f>ROUNDDOWN((LEN(P337)+1)/2,0)</f>
        <v/>
      </c>
      <c r="X337" s="14">
        <f>ROUNDDOWN((LEN(Q337)+1)/2,0)</f>
        <v/>
      </c>
      <c r="Y337" s="14">
        <f>ROUNDDOWN((LEN(R337)+1)/2,0)</f>
        <v/>
      </c>
      <c r="Z337" s="14">
        <f>ROUNDDOWN((LEN(S337)+1)/2,0)</f>
        <v/>
      </c>
      <c r="AA337" s="56" t="n">
        <v>46150.55862666261</v>
      </c>
    </row>
    <row r="338" ht="25.5" customHeight="1">
      <c r="B338" s="46" t="inlineStr">
        <is>
          <t>U+10480-U+104A9</t>
        </is>
      </c>
      <c r="C338" s="46" t="inlineStr">
        <is>
          <t>Osmanya</t>
        </is>
      </c>
      <c r="D338" s="54">
        <f>HEX2DEC(MID(B338,3,FIND("-",E338)-3))</f>
        <v/>
      </c>
      <c r="E338" s="46" t="inlineStr">
        <is>
          <t>U+10480-U+104AF</t>
        </is>
      </c>
      <c r="F338" s="12" t="n">
        <v>4</v>
      </c>
      <c r="J338" s="19">
        <f>ROUNDDOWN(W338,0)/$V338</f>
        <v/>
      </c>
      <c r="K338" s="19">
        <f>ROUNDDOWN(X338,0)/$V338</f>
        <v/>
      </c>
      <c r="L338" s="19">
        <f>ROUNDDOWN(Y338,0)/$V338</f>
        <v/>
      </c>
      <c r="M338" s="19">
        <f>ROUNDDOWN(Z338,0)/$V338</f>
        <v/>
      </c>
      <c r="O338" s="36" t="inlineStr">
        <is>
          <t>𐒀 𐒁 𐒂 𐒃 𐒄 𐒅 𐒆 𐒇 𐒈 𐒉 𐒊 𐒋 𐒌 𐒍 𐒎 𐒏 𐒐 𐒑 𐒒 𐒓 𐒔 𐒕 𐒖 𐒗 𐒘 𐒙 𐒚 𐒛 𐒜 𐒝 𐒠 𐒡 𐒢 𐒣 𐒤 𐒥 𐒦 𐒧 𐒨 𐒩</t>
        </is>
      </c>
      <c r="P338" s="37" t="inlineStr">
        <is>
          <t>𐒀 𐒁 𐒂 𐒃 𐒄 𐒅 𐒆 𐒇 𐒈 𐒉 𐒊 𐒋 𐒌 𐒍 𐒎 𐒏 𐒐 𐒑 𐒒 𐒓 𐒔 𐒕 𐒖 𐒗 𐒘 𐒙 𐒚 𐒛 𐒜 𐒝 𐒠 𐒡 𐒢 𐒣 𐒤 𐒥 𐒦 𐒧 𐒨 𐒩</t>
        </is>
      </c>
      <c r="Q338" s="38" t="inlineStr">
        <is>
          <t>𐒀 𐒁 𐒂 𐒃 𐒄 𐒅 𐒆 𐒇 𐒈 𐒉 𐒊 𐒋 𐒌 𐒍 𐒎 𐒏 𐒐 𐒑 𐒒 𐒓 𐒔 𐒕 𐒖 𐒗 𐒘 𐒚 𐒛 𐒜 𐒝</t>
        </is>
      </c>
      <c r="R338" s="43" t="inlineStr"/>
      <c r="S338" s="40" t="n"/>
      <c r="V338" s="14">
        <f>(LEN(O338)+1)/2</f>
        <v/>
      </c>
      <c r="W338" s="14">
        <f>ROUNDDOWN((LEN(P338)+1)/2,0)</f>
        <v/>
      </c>
      <c r="X338" s="14">
        <f>ROUNDDOWN((LEN(Q338)+1)/2,0)</f>
        <v/>
      </c>
      <c r="Y338" s="14">
        <f>ROUNDDOWN((LEN(R338)+1)/2,0)</f>
        <v/>
      </c>
      <c r="Z338" s="14">
        <f>ROUNDDOWN((LEN(S338)+1)/2,0)</f>
        <v/>
      </c>
      <c r="AA338" s="56" t="n">
        <v>46150.5586269139</v>
      </c>
    </row>
    <row r="339" ht="38.25" customHeight="1">
      <c r="B339" s="46" t="inlineStr">
        <is>
          <t>U+104B0-U+104FB</t>
        </is>
      </c>
      <c r="C339" s="46" t="inlineStr">
        <is>
          <t>Osage</t>
        </is>
      </c>
      <c r="D339" s="54">
        <f>HEX2DEC(MID(B339,3,FIND("-",E339)-3))</f>
        <v/>
      </c>
      <c r="E339" s="46" t="inlineStr">
        <is>
          <t>U+104B0-U+104FF</t>
        </is>
      </c>
      <c r="F339" s="12" t="n">
        <v>4</v>
      </c>
      <c r="J339" s="19">
        <f>ROUNDDOWN(W339,0)/$V339</f>
        <v/>
      </c>
      <c r="K339" s="19">
        <f>ROUNDDOWN(X339,0)/$V339</f>
        <v/>
      </c>
      <c r="L339" s="19">
        <f>ROUNDDOWN(Y339,0)/$V339</f>
        <v/>
      </c>
      <c r="M339" s="19">
        <f>ROUNDDOWN(Z339,0)/$V339</f>
        <v/>
      </c>
      <c r="O339" s="36" t="inlineStr">
        <is>
          <t>𐒰 𐒱 𐒲 𐒳 𐒴 𐒵 𐒶 𐒷 𐒸 𐒹 𐒺 𐒻 𐒼 𐒽 𐒾 𐒿 𐓀 𐓁 𐓂 𐓃 𐓄 𐓅 𐓆 𐓇 𐓈 𐓉 𐓊 𐓋 𐓌 𐓍 𐓎 𐓏 𐓐 𐓑 𐓒 𐓓 𐓘 𐓙 𐓚 𐓛 𐓜 𐓝 𐓞 𐓟 𐓠 𐓡 𐓢 𐓣 𐓤 𐓥 𐓦 𐓧 𐓨 𐓩 𐓪 𐓫 𐓬 𐓭 𐓮 𐓯 𐓰 𐓱 𐓲 𐓳 𐓴 𐓵 𐓶 𐓷 𐓸 𐓹 𐓺 𐓻</t>
        </is>
      </c>
      <c r="P339" s="37" t="inlineStr">
        <is>
          <t>𐒰 𐒱 𐒲 𐒳 𐒴 𐒵 𐒶 𐒷 𐒸 𐒹 𐒺 𐒻 𐒼 𐒽 𐒾 𐒿 𐓀 𐓁 𐓂 𐓃 𐓄 𐓅 𐓆 𐓇 𐓈 𐓉 𐓊 𐓋 𐓌 𐓍 𐓎 𐓏 𐓐 𐓑 𐓒 𐓓 𐓘 𐓙 𐓚 𐓛 𐓜 𐓝 𐓞 𐓟 𐓠 𐓡 𐓢 𐓣 𐓤 𐓥 𐓦 𐓧 𐓨 𐓩 𐓪 𐓫 𐓬 𐓭 𐓮 𐓯 𐓰 𐓱 𐓲 𐓳 𐓴 𐓵 𐓶 𐓷 𐓸 𐓹 𐓺 𐓻</t>
        </is>
      </c>
      <c r="Q339" s="38" t="inlineStr">
        <is>
          <t>𐓘 𐓙 𐓚 𐓛 𐓜 𐓝 𐓞 𐓟 𐓠 𐓡 𐓢 𐓣 𐓤 𐓥 𐓦 𐓧 𐓨 𐓩 𐓫 𐓬 𐓭 𐓮 𐓯 𐓰 𐓱 𐓲 𐓳 𐓴 𐓵 𐓶 𐓷 𐓸 𐓹 𐓺 𐓻</t>
        </is>
      </c>
      <c r="R339" s="43" t="inlineStr"/>
      <c r="S339" s="40" t="n"/>
      <c r="V339" s="14">
        <f>(LEN(O339)+1)/2</f>
        <v/>
      </c>
      <c r="W339" s="14">
        <f>ROUNDDOWN((LEN(P339)+1)/2,0)</f>
        <v/>
      </c>
      <c r="X339" s="14">
        <f>ROUNDDOWN((LEN(Q339)+1)/2,0)</f>
        <v/>
      </c>
      <c r="Y339" s="14">
        <f>ROUNDDOWN((LEN(R339)+1)/2,0)</f>
        <v/>
      </c>
      <c r="Z339" s="14">
        <f>ROUNDDOWN((LEN(S339)+1)/2,0)</f>
        <v/>
      </c>
      <c r="AA339" s="56" t="n">
        <v>46150.5586271855</v>
      </c>
    </row>
    <row r="340" ht="25.5" customHeight="1">
      <c r="B340" s="46" t="inlineStr">
        <is>
          <t>U+10500-U+10527</t>
        </is>
      </c>
      <c r="C340" s="46" t="inlineStr">
        <is>
          <t>Elbasan</t>
        </is>
      </c>
      <c r="D340" s="54">
        <f>HEX2DEC(MID(B340,3,FIND("-",E340)-3))</f>
        <v/>
      </c>
      <c r="E340" s="46" t="inlineStr">
        <is>
          <t>U+10500-U+1052F</t>
        </is>
      </c>
      <c r="F340" s="12" t="n">
        <v>4</v>
      </c>
      <c r="J340" s="19">
        <f>ROUNDDOWN(W340,0)/$V340</f>
        <v/>
      </c>
      <c r="K340" s="19">
        <f>ROUNDDOWN(X340,0)/$V340</f>
        <v/>
      </c>
      <c r="L340" s="19">
        <f>ROUNDDOWN(Y340,0)/$V340</f>
        <v/>
      </c>
      <c r="M340" s="19">
        <f>ROUNDDOWN(Z340,0)/$V340</f>
        <v/>
      </c>
      <c r="O340" s="36" t="inlineStr">
        <is>
          <t>𐔀 𐔁 𐔂 𐔃 𐔄 𐔅 𐔆 𐔇 𐔈 𐔉 𐔊 𐔋 𐔌 𐔍 𐔎 𐔏 𐔐 𐔑 𐔒 𐔓 𐔔 𐔕 𐔖 𐔗 𐔘 𐔙 𐔚 𐔛 𐔜 𐔝 𐔞 𐔟 𐔠 𐔡 𐔢 𐔣 𐔤 𐔥 𐔦 𐔧</t>
        </is>
      </c>
      <c r="P340" s="37" t="inlineStr">
        <is>
          <t>𐔀 𐔁 𐔂 𐔃 𐔄 𐔅 𐔆 𐔇 𐔈 𐔉 𐔊 𐔋 𐔌 𐔍 𐔎 𐔏 𐔐 𐔑 𐔒 𐔓 𐔔 𐔕 𐔖 𐔗 𐔘 𐔙 𐔚 𐔛 𐔜 𐔝 𐔞 𐔟 𐔠 𐔡 𐔢 𐔣 𐔤 𐔥 𐔦 𐔧</t>
        </is>
      </c>
      <c r="Q340" s="38" t="inlineStr">
        <is>
          <t>𐔀 𐔁 𐔂 𐔃 𐔄 𐔅 𐔆 𐔇 𐔈 𐔉 𐔊 𐔋 𐔌 𐔍 𐔎 𐔏 𐔐 𐔑 𐔒 𐔓 𐔔 𐔕 𐔗 𐔘 𐔙 𐔚 𐔛 𐔜 𐔝 𐔞 𐔟 𐔠 𐔡 𐔢 𐔣 𐔤 𐔥 𐔦 𐔧</t>
        </is>
      </c>
      <c r="R340" s="43" t="inlineStr"/>
      <c r="S340" s="40" t="n"/>
      <c r="V340" s="14">
        <f>(LEN(O340)+1)/2</f>
        <v/>
      </c>
      <c r="W340" s="14">
        <f>ROUNDDOWN((LEN(P340)+1)/2,0)</f>
        <v/>
      </c>
      <c r="X340" s="14">
        <f>ROUNDDOWN((LEN(Q340)+1)/2,0)</f>
        <v/>
      </c>
      <c r="Y340" s="14">
        <f>ROUNDDOWN((LEN(R340)+1)/2,0)</f>
        <v/>
      </c>
      <c r="Z340" s="14">
        <f>ROUNDDOWN((LEN(S340)+1)/2,0)</f>
        <v/>
      </c>
      <c r="AA340" s="56" t="n">
        <v>46150.55862744796</v>
      </c>
    </row>
    <row r="341" ht="25.5" customHeight="1">
      <c r="B341" s="46" t="inlineStr">
        <is>
          <t>U+10530-U+1056F</t>
        </is>
      </c>
      <c r="C341" s="46" t="inlineStr">
        <is>
          <t>Caucasian Albanian</t>
        </is>
      </c>
      <c r="D341" s="54">
        <f>HEX2DEC(MID(B341,3,FIND("-",E341)-3))</f>
        <v/>
      </c>
      <c r="E341" s="46" t="inlineStr">
        <is>
          <t>U+10530-U+1056F</t>
        </is>
      </c>
      <c r="F341" s="12" t="n">
        <v>4</v>
      </c>
      <c r="J341" s="19">
        <f>ROUNDDOWN(W341,0)/$V341</f>
        <v/>
      </c>
      <c r="K341" s="19">
        <f>ROUNDDOWN(X341,0)/$V341</f>
        <v/>
      </c>
      <c r="L341" s="19">
        <f>ROUNDDOWN(Y341,0)/$V341</f>
        <v/>
      </c>
      <c r="M341" s="19">
        <f>ROUNDDOWN(Z341,0)/$V341</f>
        <v/>
      </c>
      <c r="O341" s="36" t="inlineStr">
        <is>
          <t>𐔰 𐔱 𐔲 𐔳 𐔴 𐔵 𐔶 𐔷 𐔸 𐔹 𐔺 𐔻 𐔼 𐔽 𐔾 𐔿 𐕀 𐕁 𐕂 𐕃 𐕄 𐕅 𐕆 𐕇 𐕈 𐕉 𐕊 𐕋 𐕌 𐕍 𐕎 𐕏 𐕐 𐕑 𐕒 𐕓 𐕔 𐕕 𐕖 𐕗 𐕘 𐕙 𐕚 𐕛 𐕜 𐕝 𐕞 𐕟 𐕠 𐕡 𐕢 𐕣 𐕯</t>
        </is>
      </c>
      <c r="P341" s="37" t="inlineStr">
        <is>
          <t>𐔰 𐔱 𐔲 𐔳 𐔴 𐔵 𐔶 𐔷 𐔸 𐔹 𐔺 𐔻 𐔼 𐔽 𐔾 𐔿 𐕀 𐕁 𐕂 𐕃 𐕄 𐕅 𐕆 𐕇 𐕈 𐕉 𐕊 𐕋 𐕌 𐕍 𐕎 𐕏 𐕐 𐕑 𐕒 𐕓 𐕔 𐕕 𐕖 𐕗 𐕘 𐕙 𐕚 𐕛 𐕜 𐕝 𐕞 𐕟 𐕠 𐕡 𐕢 𐕣 𐕯</t>
        </is>
      </c>
      <c r="Q341" s="38" t="inlineStr">
        <is>
          <t>𐔰 𐔱 𐔲 𐔳 𐔴 𐔵 𐔶 𐔷 𐔸 𐔹 𐔺 𐔻 𐔼 𐔽 𐔾 𐔿 𐕀 𐕁 𐕂 𐕃 𐕄 𐕅 𐕆 𐕇 𐕈 𐕉 𐕊 𐕋 𐕌 𐕍 𐕎 𐕏 𐕐 𐕑 𐕒 𐕓 𐕔 𐕕 𐕖 𐕗 𐕘 𐕙 𐕚 𐕛 𐕜 𐕝 𐕞 𐕟 𐕠 𐕡 𐕢 𐕣 𐕯</t>
        </is>
      </c>
      <c r="R341" s="43" t="inlineStr"/>
      <c r="S341" s="40" t="n"/>
      <c r="V341" s="14">
        <f>(LEN(O341)+1)/2</f>
        <v/>
      </c>
      <c r="W341" s="14">
        <f>ROUNDDOWN((LEN(P341)+1)/2,0)</f>
        <v/>
      </c>
      <c r="X341" s="14">
        <f>ROUNDDOWN((LEN(Q341)+1)/2,0)</f>
        <v/>
      </c>
      <c r="Y341" s="14">
        <f>ROUNDDOWN((LEN(R341)+1)/2,0)</f>
        <v/>
      </c>
      <c r="Z341" s="14">
        <f>ROUNDDOWN((LEN(S341)+1)/2,0)</f>
        <v/>
      </c>
      <c r="AA341" s="56" t="n">
        <v>46150.55862778969</v>
      </c>
    </row>
    <row r="342" ht="38.25" customHeight="1">
      <c r="B342" s="46" t="inlineStr">
        <is>
          <t>U+10570-U+105BC</t>
        </is>
      </c>
      <c r="C342" s="46" t="inlineStr">
        <is>
          <t>Vithkuqi</t>
        </is>
      </c>
      <c r="D342" s="54">
        <f>HEX2DEC(MID(B342,3,FIND("-",E342)-3))</f>
        <v/>
      </c>
      <c r="E342" s="46" t="inlineStr">
        <is>
          <t>U+10570-U+105BF</t>
        </is>
      </c>
      <c r="F342" s="12" t="n">
        <v>4</v>
      </c>
      <c r="J342" s="19">
        <f>ROUNDDOWN(W342,0)/$V342</f>
        <v/>
      </c>
      <c r="K342" s="19">
        <f>ROUNDDOWN(X342,0)/$V342</f>
        <v/>
      </c>
      <c r="L342" s="19">
        <f>ROUNDDOWN(Y342,0)/$V342</f>
        <v/>
      </c>
      <c r="M342" s="19">
        <f>ROUNDDOWN(Z342,0)/$V342</f>
        <v/>
      </c>
      <c r="O342" s="36" t="inlineStr">
        <is>
          <t>𐕰 𐕱 𐕲 𐕳 𐕴 𐕵 𐕶 𐕷 𐕸 𐕹 𐕺 𐕼 𐕽 𐕾 𐕿 𐖀 𐖁 𐖂 𐖃 𐖄 𐖅 𐖆 𐖇 𐖈 𐖉 𐖊 𐖌 𐖍 𐖎 𐖏 𐖐 𐖑 𐖒 𐖔 𐖕 𐖗 𐖘 𐖙 𐖚 𐖛 𐖜 𐖝 𐖞 𐖟 𐖠 𐖡 𐖣 𐖤 𐖥 𐖦 𐖧 𐖨 𐖩 𐖪 𐖫 𐖬 𐖭 𐖮 𐖯 𐖰 𐖱 𐖳 𐖴 𐖵 𐖶 𐖷 𐖸 𐖹 𐖻 𐖼</t>
        </is>
      </c>
      <c r="P342" s="37" t="inlineStr">
        <is>
          <t>𐕰 𐕱 𐕲 𐕳 𐕴 𐕵 𐕶 𐕷 𐕸 𐕹 𐕺 𐕼 𐕽 𐕾 𐕿 𐖀 𐖁 𐖂 𐖃 𐖄 𐖅 𐖆 𐖇 𐖈 𐖉 𐖊 𐖌 𐖍 𐖎 𐖏 𐖐 𐖑 𐖒 𐖔 𐖕 𐖗 𐖘 𐖙 𐖚 𐖛 𐖜 𐖝 𐖞 𐖟 𐖠 𐖡 𐖣 𐖤 𐖥 𐖦 𐖧 𐖨 𐖩 𐖪 𐖫 𐖬 𐖭 𐖮 𐖯 𐖰 𐖱 𐖳 𐖴 𐖵 𐖶 𐖷 𐖸 𐖹 𐖻 𐖼</t>
        </is>
      </c>
      <c r="Q342" s="38" t="inlineStr">
        <is>
          <t>𐖗 𐖘 𐖙 𐖚 𐖛 𐖜 𐖝 𐖞 𐖟 𐖠 𐖡 𐖣 𐖤 𐖥 𐖦 𐖧 𐖨 𐖩 𐖪 𐖫 𐖬 𐖭 𐖯 𐖰 𐖱 𐖳 𐖴 𐖵 𐖶 𐖷 𐖸 𐖹 𐖻 𐖼</t>
        </is>
      </c>
      <c r="R342" s="43" t="inlineStr"/>
      <c r="S342" s="40" t="n"/>
      <c r="V342" s="14">
        <f>(LEN(O342)+1)/2</f>
        <v/>
      </c>
      <c r="W342" s="14">
        <f>ROUNDDOWN((LEN(P342)+1)/2,0)</f>
        <v/>
      </c>
      <c r="X342" s="14">
        <f>ROUNDDOWN((LEN(Q342)+1)/2,0)</f>
        <v/>
      </c>
      <c r="Y342" s="14">
        <f>ROUNDDOWN((LEN(R342)+1)/2,0)</f>
        <v/>
      </c>
      <c r="Z342" s="14">
        <f>ROUNDDOWN((LEN(S342)+1)/2,0)</f>
        <v/>
      </c>
      <c r="AA342" s="56" t="n">
        <v>46150.55862806224</v>
      </c>
    </row>
    <row r="343" ht="76.5" customHeight="1">
      <c r="B343" s="46" t="inlineStr">
        <is>
          <t>U+10600-U+106AA</t>
        </is>
      </c>
      <c r="C343" s="46" t="inlineStr">
        <is>
          <t>Linear A</t>
        </is>
      </c>
      <c r="D343" s="54">
        <f>HEX2DEC(MID(B343,3,FIND("-",E343)-3))</f>
        <v/>
      </c>
      <c r="E343" s="46" t="inlineStr">
        <is>
          <t>U+10600-U+1077F</t>
        </is>
      </c>
      <c r="F343" s="12" t="n">
        <v>4</v>
      </c>
      <c r="J343" s="19">
        <f>ROUNDDOWN(W343,0)/$V343</f>
        <v/>
      </c>
      <c r="K343" s="19">
        <f>ROUNDDOWN(X343,0)/$V343</f>
        <v/>
      </c>
      <c r="L343" s="19">
        <f>ROUNDDOWN(Y343,0)/$V343</f>
        <v/>
      </c>
      <c r="M343" s="19">
        <f>ROUNDDOWN(Z343,0)/$V343</f>
        <v/>
      </c>
      <c r="O343" s="36" t="inlineStr">
        <is>
          <t>𐘀 𐘁 𐘂 𐘃 𐘄 𐘅 𐘆 𐘇 𐘈 𐘉 𐘊 𐘋 𐘌 𐘍 𐘎 𐘏 𐘐 𐘑 𐘒 𐘓 𐘔 𐘕 𐘖 𐘗 𐘘 𐘙 𐘚 𐘛 𐘜 𐘝 𐘞 𐘟 𐘠 𐘡 𐘢 𐘣 𐘤 𐘥 𐘦 𐘧 𐘨 𐘩 𐘪 𐘫 𐘬 𐘭 𐘮 𐘯 𐘰 𐘱 𐘲 𐘳 𐘴 𐘵 𐘶 𐘷 𐘸 𐘹 𐘺 𐘻 𐘼 𐘽 𐘾 𐘿 𐙀 𐙁 𐙂 𐙃 𐙄 𐙅 𐙆 𐙇 𐙈 𐙉 𐙊 𐙋 𐙌 𐙍 𐙎 𐙏 𐙐 𐙑 𐙒 𐙓 𐙔 𐙕 𐙖 𐙗 𐙘 𐙙 𐙚 𐙛 𐙜 𐙝 𐙞 𐙟 𐙠 𐙡 𐙢 𐙣 𐙤 𐙥 𐙦 𐙧 𐙨 𐙩 𐙪 𐙫 𐙬 𐙭 𐙮 𐙯 𐙰 𐙱 𐙲 𐙳 𐙴 𐙵 𐙶 𐙷 𐙸 𐙹 𐙺 𐙻 𐙼 𐙽 𐙾 𐙿 𐚀 𐚁 𐚂 𐚃 𐚄 𐚅 𐚆 𐚇 𐚈 𐚉 𐚊 𐚋 𐚌 𐚍 𐚎 𐚏 𐚐 𐚑 𐚒 𐚓 𐚔 𐚕 𐚖 𐚗 𐚘 𐚙 𐚚 𐚛 𐚜 𐚝 𐚞 𐚟 𐚠 𐚡 𐚢 𐚣 𐚤 𐚥 𐚦 𐚧 𐚨 𐚩 𐚪</t>
        </is>
      </c>
      <c r="P343" s="37" t="inlineStr">
        <is>
          <t>𐘀 𐘁 𐘂 𐘃 𐘄 𐘅 𐘆 𐘇 𐘈 𐘉 𐘊 𐘋 𐘌 𐘍 𐘎 𐘏 𐘐 𐘑 𐘒 𐘓 𐘔 𐘕 𐘖 𐘗 𐘘 𐘙 𐘚 𐘛 𐘜 𐘝 𐘞 𐘟 𐘠 𐘡 𐘢 𐘣 𐘤 𐘥 𐘦 𐘧 𐘨 𐘩 𐘪 𐘫 𐘬 𐘭 𐘮 𐘯 𐘰 𐘱 𐘲 𐘳 𐘴 𐘵 𐘶 𐘷 𐘸 𐘹 𐘺 𐘻 𐘼 𐘽 𐘾 𐘿 𐙀 𐙁 𐙂 𐙃 𐙄 𐙅 𐙆 𐙇 𐙈 𐙉 𐙊 𐙋 𐙌 𐙍 𐙎 𐙏 𐙐 𐙑 𐙒 𐙓 𐙔 𐙕 𐙖 𐙗 𐙘 𐙙 𐙚 𐙛 𐙜 𐙝 𐙞 𐙟 𐙠 𐙡 𐙢 𐙣 𐙤 𐙥 𐙦 𐙧 𐙨 𐙩 𐙪 𐙫 𐙬 𐙭 𐙮 𐙯 𐙰 𐙱 𐙲 𐙳 𐙴 𐙵 𐙶 𐙷 𐙸 𐙹 𐙺 𐙻 𐙼 𐙽 𐙾 𐙿 𐚀 𐚁 𐚂 𐚃 𐚄 𐚅 𐚆 𐚇 𐚈 𐚉 𐚊 𐚋 𐚌 𐚍 𐚎 𐚏 𐚐 𐚑 𐚒 𐚓 𐚔 𐚕 𐚖 𐚗 𐚘 𐚙 𐚚 𐚛 𐚜 𐚝 𐚞 𐚟 𐚠 𐚡 𐚢 𐚣 𐚤 𐚥 𐚦 𐚧 𐚨 𐚩 𐚪</t>
        </is>
      </c>
      <c r="Q343" s="38" t="inlineStr">
        <is>
          <t>𐘀 𐘁 𐘂 𐘃 𐘄 𐘅 𐘆 𐘇 𐘈 𐘉 𐘊 𐘋 𐘌 𐘍 𐘎 𐘏 𐘐 𐘑 𐘒 𐘓 𐘔 𐘕 𐘖 𐘗 𐘘 𐘙 𐘚 𐘛 𐘜 𐘝 𐘞 𐘟 𐘠 𐘡 𐘢 𐘣 𐘤 𐘥 𐘦 𐘧 𐘨 𐘩 𐘪 𐘫 𐘬 𐘭 𐘮 𐘯 𐘰 𐘱 𐘲 𐘳 𐘴 𐘵 𐘶 𐘷 𐘸 𐘹 𐘺 𐘻 𐘼 𐘽 𐘾 𐘿 𐙀 𐙁 𐙂 𐙃 𐙄 𐙅 𐙆 𐙇 𐙈 𐙉 𐙊 𐙋 𐙌 𐙍 𐙎 𐙏 𐙐 𐙑 𐙒 𐙓 𐙔 𐙕 𐙖 𐙗 𐙘 𐙙 𐙚 𐙛 𐙜 𐙝 𐙞 𐙟 𐙠 𐙡 𐙢 𐙣 𐙤 𐙥 𐙦 𐙧 𐙨 𐙩 𐙪 𐙫 𐙬 𐙭 𐙮 𐙯 𐙰 𐙱 𐙲 𐙳 𐙴 𐙵 𐙶 𐙷 𐙸 𐙹 𐙺 𐙻 𐙼 𐙽 𐙾 𐙿 𐚀 𐚁 𐚂 𐚃 𐚄 𐚅 𐚆 𐚇 𐚈 𐚉 𐚊 𐚋 𐚌 𐚍 𐚎 𐚏 𐚐 𐚑 𐚒 𐚓 𐚔 𐚕 𐚖 𐚗 𐚘 𐚙 𐚚 𐚛 𐚜 𐚝 𐚞 𐚟 𐚠 𐚡 𐚢 𐚣 𐚤 𐚥 𐚦 𐚧 𐚨 𐚩 𐚪</t>
        </is>
      </c>
      <c r="R343" s="43" t="inlineStr"/>
      <c r="S343" s="40" t="n"/>
      <c r="V343" s="14">
        <f>(LEN(O343)+1)/2</f>
        <v/>
      </c>
      <c r="W343" s="14">
        <f>ROUNDDOWN((LEN(P343)+1)/2,0)</f>
        <v/>
      </c>
      <c r="X343" s="14">
        <f>ROUNDDOWN((LEN(Q343)+1)/2,0)</f>
        <v/>
      </c>
      <c r="Y343" s="14">
        <f>ROUNDDOWN((LEN(R343)+1)/2,0)</f>
        <v/>
      </c>
      <c r="Z343" s="14">
        <f>ROUNDDOWN((LEN(S343)+1)/2,0)</f>
        <v/>
      </c>
      <c r="AA343" s="56" t="n">
        <v>46150.55862881514</v>
      </c>
    </row>
    <row r="344" ht="76.5" customHeight="1">
      <c r="B344" s="46" t="inlineStr">
        <is>
          <t>U+106AB-U+10767</t>
        </is>
      </c>
      <c r="C344" s="46" t="inlineStr">
        <is>
          <t>Linear A</t>
        </is>
      </c>
      <c r="D344" s="54">
        <f>HEX2DEC(MID(B344,3,FIND("-",E344)-3))</f>
        <v/>
      </c>
      <c r="E344" s="46" t="inlineStr">
        <is>
          <t>U+10600-U+1077F</t>
        </is>
      </c>
      <c r="F344" s="12" t="n">
        <v>4</v>
      </c>
      <c r="J344" s="19">
        <f>ROUNDDOWN(W344,0)/$V344</f>
        <v/>
      </c>
      <c r="K344" s="19">
        <f>ROUNDDOWN(X344,0)/$V344</f>
        <v/>
      </c>
      <c r="L344" s="19">
        <f>ROUNDDOWN(Y344,0)/$V344</f>
        <v/>
      </c>
      <c r="M344" s="19">
        <f>ROUNDDOWN(Z344,0)/$V344</f>
        <v/>
      </c>
      <c r="O344" s="36" t="inlineStr">
        <is>
          <t>𐚫 𐚬 𐚭 𐚮 𐚯 𐚰 𐚱 𐚲 𐚳 𐚴 𐚵 𐚶 𐚷 𐚸 𐚹 𐚺 𐚻 𐚼 𐚽 𐚾 𐚿 𐛀 𐛁 𐛂 𐛃 𐛄 𐛅 𐛆 𐛇 𐛈 𐛉 𐛊 𐛋 𐛌 𐛍 𐛎 𐛏 𐛐 𐛑 𐛒 𐛓 𐛔 𐛕 𐛖 𐛗 𐛘 𐛙 𐛚 𐛛 𐛜 𐛝 𐛞 𐛟 𐛠 𐛡 𐛢 𐛣 𐛤 𐛥 𐛦 𐛧 𐛨 𐛩 𐛪 𐛫 𐛬 𐛭 𐛮 𐛯 𐛰 𐛱 𐛲 𐛳 𐛴 𐛵 𐛶 𐛷 𐛸 𐛹 𐛺 𐛻 𐛼 𐛽 𐛾 𐛿 𐜀 𐜁 𐜂 𐜃 𐜄 𐜅 𐜆 𐜇 𐜈 𐜉 𐜊 𐜋 𐜌 𐜍 𐜎 𐜏 𐜐 𐜑 𐜒 𐜓 𐜔 𐜕 𐜖 𐜗 𐜘 𐜙 𐜚 𐜛 𐜜 𐜝 𐜞 𐜟 𐜠 𐜡 𐜢 𐜣 𐜤 𐜥 𐜦 𐜧 𐜨 𐜩 𐜪 𐜫 𐜬 𐜭 𐜮 𐜯 𐜰 𐜱 𐜲 𐜳 𐜴 𐜵 𐜶 𐝀 𐝁 𐝂 𐝃 𐝄 𐝅 𐝆 𐝇 𐝈 𐝉 𐝊 𐝋 𐝌 𐝍 𐝎 𐝏 𐝐 𐝑 𐝒 𐝓 𐝔 𐝕 𐝠 𐝡 𐝢 𐝣 𐝤 𐝥 𐝦 𐝧</t>
        </is>
      </c>
      <c r="P344" s="37" t="inlineStr">
        <is>
          <t>𐚫 𐚬 𐚭 𐚮 𐚯 𐚰 𐚱 𐚲 𐚳 𐚴 𐚵 𐚶 𐚷 𐚸 𐚹 𐚺 𐚻 𐚼 𐚽 𐚾 𐚿 𐛀 𐛁 𐛂 𐛃 𐛄 𐛅 𐛆 𐛇 𐛈 𐛉 𐛊 𐛋 𐛌 𐛍 𐛎 𐛏 𐛐 𐛑 𐛒 𐛓 𐛔 𐛕 𐛖 𐛗 𐛘 𐛙 𐛚 𐛛 𐛜 𐛝 𐛞 𐛟 𐛠 𐛡 𐛢 𐛣 𐛤 𐛥 𐛦 𐛧 𐛨 𐛩 𐛪 𐛫 𐛬 𐛭 𐛮 𐛯 𐛰 𐛱 𐛲 𐛳 𐛴 𐛵 𐛶 𐛷 𐛸 𐛹 𐛺 𐛻 𐛼 𐛽 𐛾 𐛿 𐜀 𐜁 𐜂 𐜃 𐜄 𐜅 𐜆 𐜇 𐜈 𐜉 𐜊 𐜋 𐜌 𐜍 𐜎 𐜏 𐜐 𐜑 𐜒 𐜓 𐜔 𐜕 𐜖 𐜗 𐜘 𐜙 𐜚 𐜛 𐜜 𐜝 𐜞 𐜟 𐜠 𐜡 𐜢 𐜣 𐜤 𐜥 𐜦 𐜧 𐜨 𐜩 𐜪 𐜫 𐜬 𐜭 𐜮 𐜯 𐜰 𐜱 𐜲 𐜳 𐜴 𐜵 𐜶 𐝀 𐝁 𐝂 𐝃 𐝄 𐝅 𐝆 𐝇 𐝈 𐝉 𐝊 𐝋 𐝌 𐝍 𐝎 𐝏 𐝐 𐝑 𐝒 𐝓 𐝔 𐝕 𐝠 𐝡 𐝢 𐝣 𐝤 𐝥 𐝦 𐝧</t>
        </is>
      </c>
      <c r="Q344" s="38" t="inlineStr">
        <is>
          <t>𐚫 𐚬 𐚭 𐚮 𐚯 𐚰 𐚱 𐚲 𐚳 𐚴 𐚵 𐚶 𐚷 𐚸 𐚹 𐚺 𐚻 𐚼 𐚽 𐚾 𐚿 𐛀 𐛁 𐛂 𐛃 𐛄 𐛅 𐛆 𐛇 𐛈 𐛉 𐛊 𐛋 𐛌 𐛍 𐛎 𐛏 𐛐 𐛑 𐛒 𐛓 𐛔 𐛕 𐛖 𐛗 𐛘 𐛙 𐛚 𐛛 𐛜 𐛝 𐛞 𐛟 𐛠 𐛡 𐛢 𐛣 𐛤 𐛥 𐛦 𐛧 𐛨 𐛩 𐛪 𐛫 𐛬 𐛭 𐛮 𐛯 𐛰 𐛱 𐛲 𐛳 𐛴 𐛵 𐛶 𐛷 𐛸 𐛹 𐛺 𐛻 𐛼 𐛽 𐛾 𐛿 𐜀 𐜁 𐜂 𐜃 𐜄 𐜅 𐜆 𐜇 𐜈 𐜉 𐜊 𐜋 𐜌 𐜍 𐜎 𐜏 𐜐 𐜑 𐜒 𐜓 𐜔 𐜕 𐜖 𐜗 𐜘 𐜙 𐜚 𐜛 𐜜 𐜝 𐜞 𐜟 𐜠 𐜡 𐜢 𐜣 𐜤 𐜥 𐜦 𐜧 𐜨 𐜩 𐜪 𐜫 𐜬 𐜭 𐜮 𐜯 𐜰 𐜱 𐜲 𐜳 𐜴 𐜵 𐜶 𐝀 𐝁 𐝂 𐝃 𐝄 𐝅 𐝆 𐝇 𐝈 𐝉 𐝊 𐝋 𐝌 𐝍 𐝎 𐝏 𐝐 𐝑 𐝒 𐝓 𐝔 𐝕 𐝠 𐝡 𐝢 𐝣 𐝤 𐝥 𐝦 𐝧</t>
        </is>
      </c>
      <c r="R344" s="43" t="inlineStr"/>
      <c r="S344" s="40" t="n"/>
      <c r="V344" s="14">
        <f>(LEN(O344)+1)/2</f>
        <v/>
      </c>
      <c r="W344" s="14">
        <f>ROUNDDOWN((LEN(P344)+1)/2,0)</f>
        <v/>
      </c>
      <c r="X344" s="14">
        <f>ROUNDDOWN((LEN(Q344)+1)/2,0)</f>
        <v/>
      </c>
      <c r="Y344" s="14">
        <f>ROUNDDOWN((LEN(R344)+1)/2,0)</f>
        <v/>
      </c>
      <c r="Z344" s="14">
        <f>ROUNDDOWN((LEN(S344)+1)/2,0)</f>
        <v/>
      </c>
      <c r="AA344" s="56" t="n">
        <v>46150.55862956155</v>
      </c>
    </row>
    <row r="345" ht="25.5" customHeight="1">
      <c r="B345" s="46" t="inlineStr">
        <is>
          <t>U+10780-U+107BA</t>
        </is>
      </c>
      <c r="C345" s="46" t="inlineStr">
        <is>
          <t>Latin Extended-F</t>
        </is>
      </c>
      <c r="D345" s="54">
        <f>HEX2DEC(MID(B345,3,FIND("-",E345)-3))</f>
        <v/>
      </c>
      <c r="E345" s="46" t="inlineStr">
        <is>
          <t>U+10780-U+107BF</t>
        </is>
      </c>
      <c r="F345" s="12" t="n">
        <v>4</v>
      </c>
      <c r="J345" s="19">
        <f>ROUNDDOWN(W345,0)/$V345</f>
        <v/>
      </c>
      <c r="K345" s="19">
        <f>ROUNDDOWN(X345,0)/$V345</f>
        <v/>
      </c>
      <c r="L345" s="19">
        <f>ROUNDDOWN(Y345,0)/$V345</f>
        <v/>
      </c>
      <c r="M345" s="19">
        <f>ROUNDDOWN(Z345,0)/$V345</f>
        <v/>
      </c>
      <c r="O345" s="36" t="inlineStr">
        <is>
          <t>𐞀 𐞁 𐞂 𐞃 𐞄 𐞅 𐞇 𐞈 𐞉 𐞊 𐞋 𐞌 𐞍 𐞎 𐞏 𐞐 𐞑 𐞒 𐞓 𐞔 𐞕 𐞖 𐞗 𐞘 𐞙 𐞚 𐞛 𐞜 𐞝 𐞞 𐞟 𐞠 𐞡 𐞢 𐞣 𐞤 𐞥 𐞦 𐞧 𐞨 𐞩 𐞪 𐞫 𐞬 𐞭 𐞮 𐞯 𐞰 𐞲 𐞳 𐞴 𐞵 𐞶 𐞷 𐞸 𐞹 𐞺</t>
        </is>
      </c>
      <c r="P345" s="37" t="inlineStr">
        <is>
          <t>𐞀 𐞁 𐞂 𐞃 𐞄 𐞅 𐞇 𐞈 𐞉 𐞊 𐞋 𐞌 𐞍 𐞎 𐞏 𐞐 𐞑 𐞒 𐞓 𐞔 𐞕 𐞖 𐞗 𐞘 𐞙 𐞚 𐞛 𐞜 𐞝 𐞞 𐞟 𐞠 𐞡 𐞢 𐞣 𐞤 𐞥 𐞦 𐞧 𐞨 𐞩 𐞪 𐞫 𐞬 𐞭 𐞮 𐞯 𐞰 𐞲 𐞳 𐞴 𐞵 𐞶 𐞷 𐞸 𐞹 𐞺</t>
        </is>
      </c>
      <c r="Q345" s="38" t="inlineStr">
        <is>
          <t>𐞀 𐞁 𐞂 𐞄 𐞎 𐞏 𐞑 𐞒 𐞖 𐞞 𐞠 𐞤 𐞪 𐞲 𐞵 𐞶 𐞷 𐞸</t>
        </is>
      </c>
      <c r="R345" s="43" t="inlineStr">
        <is>
          <t>𐞀 𐞄 𐞎 𐞏 𐞑 𐞒 𐞖 𐞞 𐞠 𐞤 𐞪 𐞲 𐞵 𐞶 𐞸</t>
        </is>
      </c>
      <c r="S345" s="40" t="n"/>
      <c r="T345" s="41" t="inlineStr">
        <is>
          <t>𐞀 𐞁 𐞂 𐞃 𐞄 𐞅 𐞇 𐞈 𐞉 𐞊 𐞋 𐞌 𐞍 𐞎 𐞏 𐞐 𐞑 𐞒 𐞓 𐞔 𐞕 𐞖 𐞗 𐞘 𐞙 𐞚 𐞛 𐞜 𐞝 𐞞 𐞟 𐞠 𐞡 𐞢 𐞣 𐞤 𐞥 𐞦 𐞧 𐞨 𐞩 𐞪 𐞫 𐞬 𐞭 𐞮 𐞯 𐞰 𐞲 𐞳 𐞴 𐞵 𐞶 𐞷 𐞸 𐞹 𐞺</t>
        </is>
      </c>
      <c r="U345" s="42" t="inlineStr">
        <is>
          <t>𐞀 𐞁 𐞂 𐞃 𐞄 𐞅 𐞇 𐞈 𐞉 𐞊 𐞋 𐞌 𐞍 𐞎 𐞏 𐞐 𐞑 𐞒 𐞓 𐞔 𐞕 𐞖 𐞗 𐞘 𐞙 𐞚 𐞛 𐞜 𐞝 𐞞 𐞟 𐞠 𐞡 𐞢 𐞣 𐞤 𐞥 𐞦 𐞧 𐞨 𐞩 𐞪 𐞫 𐞬 𐞭 𐞮 𐞯 𐞰 𐞲 𐞳 𐞴 𐞵 𐞶 𐞷 𐞸 𐞹 𐞺</t>
        </is>
      </c>
      <c r="V345" s="14">
        <f>(LEN(O345)+1)/2</f>
        <v/>
      </c>
      <c r="W345" s="14">
        <f>ROUNDDOWN((LEN(P345)+1)/2,0)</f>
        <v/>
      </c>
      <c r="X345" s="14">
        <f>ROUNDDOWN((LEN(Q345)+1)/2,0)</f>
        <v/>
      </c>
      <c r="Y345" s="14">
        <f>ROUNDDOWN((LEN(R345)+1)/2,0)</f>
        <v/>
      </c>
      <c r="Z345" s="14">
        <f>ROUNDDOWN((LEN(S345)+1)/2,0)</f>
        <v/>
      </c>
      <c r="AA345" s="56" t="n">
        <v>46150.55862983008</v>
      </c>
    </row>
    <row r="346" ht="25.5" customHeight="1">
      <c r="B346" s="46" t="inlineStr">
        <is>
          <t>U+10800-U+1083F</t>
        </is>
      </c>
      <c r="C346" s="46" t="inlineStr">
        <is>
          <t>Cypriot Syllabary</t>
        </is>
      </c>
      <c r="D346" s="54">
        <f>HEX2DEC(MID(B346,3,FIND("-",E346)-3))</f>
        <v/>
      </c>
      <c r="E346" s="46" t="inlineStr">
        <is>
          <t>U+10800-U+1083F</t>
        </is>
      </c>
      <c r="F346" s="12" t="n">
        <v>4</v>
      </c>
      <c r="J346" s="19">
        <f>ROUNDDOWN(W346,0)/$V346</f>
        <v/>
      </c>
      <c r="K346" s="19">
        <f>ROUNDDOWN(X346,0)/$V346</f>
        <v/>
      </c>
      <c r="L346" s="19">
        <f>ROUNDDOWN(Y346,0)/$V346</f>
        <v/>
      </c>
      <c r="M346" s="19">
        <f>ROUNDDOWN(Z346,0)/$V346</f>
        <v/>
      </c>
      <c r="O346" s="36" t="inlineStr">
        <is>
          <t>𐠀 𐠁 𐠂 𐠃 𐠄 𐠅 𐠈 𐠊 𐠋 𐠌 𐠍 𐠎 𐠏 𐠐 𐠑 𐠒 𐠓 𐠔 𐠕 𐠖 𐠗 𐠘 𐠙 𐠚 𐠛 𐠜 𐠝 𐠞 𐠟 𐠠 𐠡 𐠢 𐠣 𐠤 𐠥 𐠦 𐠧 𐠨 𐠩 𐠪 𐠫 𐠬 𐠭 𐠮 𐠯 𐠰 𐠱 𐠲 𐠳 𐠴 𐠵 𐠷 𐠸 𐠼 𐠿</t>
        </is>
      </c>
      <c r="P346" s="37" t="inlineStr"/>
      <c r="Q346" s="38" t="inlineStr"/>
      <c r="R346" s="43" t="inlineStr"/>
      <c r="S346" s="40" t="n"/>
      <c r="V346" s="14">
        <f>(LEN(O346)+1)/2</f>
        <v/>
      </c>
      <c r="W346" s="14">
        <f>ROUNDDOWN((LEN(P346)+1)/2,0)</f>
        <v/>
      </c>
      <c r="X346" s="14">
        <f>ROUNDDOWN((LEN(Q346)+1)/2,0)</f>
        <v/>
      </c>
      <c r="Y346" s="14">
        <f>ROUNDDOWN((LEN(R346)+1)/2,0)</f>
        <v/>
      </c>
      <c r="Z346" s="14">
        <f>ROUNDDOWN((LEN(S346)+1)/2,0)</f>
        <v/>
      </c>
      <c r="AA346" s="56" t="n">
        <v>46150.55862983095</v>
      </c>
    </row>
    <row r="347" ht="25.5" customHeight="1">
      <c r="B347" s="46" t="inlineStr">
        <is>
          <t>U+10840-U+1085F</t>
        </is>
      </c>
      <c r="C347" s="46" t="inlineStr">
        <is>
          <t>Imperial Aramaic</t>
        </is>
      </c>
      <c r="D347" s="54">
        <f>HEX2DEC(MID(B347,3,FIND("-",E347)-3))</f>
        <v/>
      </c>
      <c r="E347" s="46" t="inlineStr">
        <is>
          <t>U+10840-U+1085F</t>
        </is>
      </c>
      <c r="F347" s="12" t="n">
        <v>4</v>
      </c>
      <c r="J347" s="19">
        <f>ROUNDDOWN(W347,0)/$V347</f>
        <v/>
      </c>
      <c r="K347" s="19">
        <f>ROUNDDOWN(X347,0)/$V347</f>
        <v/>
      </c>
      <c r="L347" s="19">
        <f>ROUNDDOWN(Y347,0)/$V347</f>
        <v/>
      </c>
      <c r="M347" s="19">
        <f>ROUNDDOWN(Z347,0)/$V347</f>
        <v/>
      </c>
      <c r="O347" s="36" t="inlineStr">
        <is>
          <t>𐡀 𐡁 𐡂 𐡃 𐡄 𐡅 𐡆 𐡇 𐡈 𐡉 𐡊 𐡋 𐡌 𐡍 𐡎 𐡏 𐡐 𐡑 𐡒 𐡓 𐡔 𐡕 𐡗 𐡘 𐡙 𐡚 𐡛 𐡜 𐡝 𐡞 𐡟</t>
        </is>
      </c>
      <c r="P347" s="37" t="inlineStr"/>
      <c r="Q347" s="38" t="inlineStr"/>
      <c r="R347" s="43" t="inlineStr"/>
      <c r="S347" s="40" t="n"/>
      <c r="V347" s="14">
        <f>(LEN(O347)+1)/2</f>
        <v/>
      </c>
      <c r="W347" s="14">
        <f>ROUNDDOWN((LEN(P347)+1)/2,0)</f>
        <v/>
      </c>
      <c r="X347" s="14">
        <f>ROUNDDOWN((LEN(Q347)+1)/2,0)</f>
        <v/>
      </c>
      <c r="Y347" s="14">
        <f>ROUNDDOWN((LEN(R347)+1)/2,0)</f>
        <v/>
      </c>
      <c r="Z347" s="14">
        <f>ROUNDDOWN((LEN(S347)+1)/2,0)</f>
        <v/>
      </c>
      <c r="AA347" s="56" t="n">
        <v>46150.5586298313</v>
      </c>
    </row>
    <row r="348" ht="25.5" customHeight="1">
      <c r="B348" s="46" t="inlineStr">
        <is>
          <t>U+10860-U+1087F</t>
        </is>
      </c>
      <c r="C348" s="46" t="inlineStr">
        <is>
          <t>Palmyrene</t>
        </is>
      </c>
      <c r="D348" s="54">
        <f>HEX2DEC(MID(B348,3,FIND("-",E348)-3))</f>
        <v/>
      </c>
      <c r="E348" s="46" t="inlineStr">
        <is>
          <t>U+10860-U+1087F</t>
        </is>
      </c>
      <c r="F348" s="12" t="n">
        <v>4</v>
      </c>
      <c r="J348" s="19">
        <f>ROUNDDOWN(W348,0)/$V348</f>
        <v/>
      </c>
      <c r="K348" s="19">
        <f>ROUNDDOWN(X348,0)/$V348</f>
        <v/>
      </c>
      <c r="L348" s="19">
        <f>ROUNDDOWN(Y348,0)/$V348</f>
        <v/>
      </c>
      <c r="M348" s="19">
        <f>ROUNDDOWN(Z348,0)/$V348</f>
        <v/>
      </c>
      <c r="O348" s="36" t="inlineStr">
        <is>
          <t>𐡠 𐡡 𐡢 𐡣 𐡤 𐡥 𐡦 𐡧 𐡨 𐡩 𐡪 𐡫 𐡬 𐡭 𐡮 𐡯 𐡰 𐡱 𐡲 𐡳 𐡴 𐡵 𐡶 𐡷 𐡸 𐡹 𐡺 𐡻 𐡼 𐡽 𐡾 𐡿</t>
        </is>
      </c>
      <c r="P348" s="37" t="inlineStr"/>
      <c r="Q348" s="38" t="inlineStr"/>
      <c r="R348" s="43" t="inlineStr"/>
      <c r="S348" s="40" t="n"/>
      <c r="V348" s="14">
        <f>(LEN(O348)+1)/2</f>
        <v/>
      </c>
      <c r="W348" s="14">
        <f>ROUNDDOWN((LEN(P348)+1)/2,0)</f>
        <v/>
      </c>
      <c r="X348" s="14">
        <f>ROUNDDOWN((LEN(Q348)+1)/2,0)</f>
        <v/>
      </c>
      <c r="Y348" s="14">
        <f>ROUNDDOWN((LEN(R348)+1)/2,0)</f>
        <v/>
      </c>
      <c r="Z348" s="14">
        <f>ROUNDDOWN((LEN(S348)+1)/2,0)</f>
        <v/>
      </c>
      <c r="AA348" s="56" t="n">
        <v>46150.55862983162</v>
      </c>
    </row>
    <row r="349" ht="25.5" customHeight="1">
      <c r="B349" s="46" t="inlineStr">
        <is>
          <t>U+10880-U+108AF</t>
        </is>
      </c>
      <c r="C349" s="46" t="inlineStr">
        <is>
          <t>Nabataean</t>
        </is>
      </c>
      <c r="D349" s="54">
        <f>HEX2DEC(MID(B349,3,FIND("-",E349)-3))</f>
        <v/>
      </c>
      <c r="E349" s="46" t="inlineStr">
        <is>
          <t>U+10880-U+108AF</t>
        </is>
      </c>
      <c r="F349" s="12" t="n">
        <v>4</v>
      </c>
      <c r="J349" s="19">
        <f>ROUNDDOWN(W349,0)/$V349</f>
        <v/>
      </c>
      <c r="K349" s="19">
        <f>ROUNDDOWN(X349,0)/$V349</f>
        <v/>
      </c>
      <c r="L349" s="19">
        <f>ROUNDDOWN(Y349,0)/$V349</f>
        <v/>
      </c>
      <c r="M349" s="19">
        <f>ROUNDDOWN(Z349,0)/$V349</f>
        <v/>
      </c>
      <c r="O349" s="36" t="inlineStr">
        <is>
          <t>𐢀 𐢁 𐢂 𐢃 𐢄 𐢅 𐢆 𐢇 𐢈 𐢉 𐢊 𐢋 𐢌 𐢍 𐢎 𐢏 𐢐 𐢑 𐢒 𐢓 𐢔 𐢕 𐢖 𐢗 𐢘 𐢙 𐢚 𐢛 𐢜 𐢝 𐢞 𐢧 𐢨 𐢩 𐢪 𐢫 𐢬 𐢭 𐢮 𐢯</t>
        </is>
      </c>
      <c r="P349" s="37" t="inlineStr"/>
      <c r="Q349" s="38" t="inlineStr"/>
      <c r="R349" s="43" t="inlineStr"/>
      <c r="S349" s="40" t="n"/>
      <c r="V349" s="14">
        <f>(LEN(O349)+1)/2</f>
        <v/>
      </c>
      <c r="W349" s="14">
        <f>ROUNDDOWN((LEN(P349)+1)/2,0)</f>
        <v/>
      </c>
      <c r="X349" s="14">
        <f>ROUNDDOWN((LEN(Q349)+1)/2,0)</f>
        <v/>
      </c>
      <c r="Y349" s="14">
        <f>ROUNDDOWN((LEN(R349)+1)/2,0)</f>
        <v/>
      </c>
      <c r="Z349" s="14">
        <f>ROUNDDOWN((LEN(S349)+1)/2,0)</f>
        <v/>
      </c>
      <c r="AA349" s="56" t="n">
        <v>46150.55862983197</v>
      </c>
    </row>
    <row r="350" ht="25.5" customHeight="1">
      <c r="B350" s="46" t="inlineStr">
        <is>
          <t>U+108E0-U+108FF</t>
        </is>
      </c>
      <c r="C350" s="46" t="inlineStr">
        <is>
          <t>Hatran</t>
        </is>
      </c>
      <c r="D350" s="54">
        <f>HEX2DEC(MID(B350,3,FIND("-",E350)-3))</f>
        <v/>
      </c>
      <c r="E350" s="46" t="inlineStr">
        <is>
          <t>U+108E0-U+108FF</t>
        </is>
      </c>
      <c r="F350" s="12" t="n">
        <v>4</v>
      </c>
      <c r="J350" s="19">
        <f>ROUNDDOWN(W350,0)/$V350</f>
        <v/>
      </c>
      <c r="K350" s="19">
        <f>ROUNDDOWN(X350,0)/$V350</f>
        <v/>
      </c>
      <c r="L350" s="19">
        <f>ROUNDDOWN(Y350,0)/$V350</f>
        <v/>
      </c>
      <c r="M350" s="19">
        <f>ROUNDDOWN(Z350,0)/$V350</f>
        <v/>
      </c>
      <c r="O350" s="36" t="inlineStr">
        <is>
          <t>𐣠 𐣡 𐣢 𐣣 𐣤 𐣥 𐣦 𐣧 𐣨 𐣩 𐣪 𐣫 𐣬 𐣭 𐣮 𐣯 𐣰 𐣱 𐣲 𐣴 𐣵 𐣻 𐣼 𐣽 𐣾 𐣿</t>
        </is>
      </c>
      <c r="P350" s="37" t="inlineStr"/>
      <c r="Q350" s="38" t="inlineStr"/>
      <c r="R350" s="43" t="inlineStr"/>
      <c r="S350" s="40" t="n"/>
      <c r="V350" s="14">
        <f>(LEN(O350)+1)/2</f>
        <v/>
      </c>
      <c r="W350" s="14">
        <f>ROUNDDOWN((LEN(P350)+1)/2,0)</f>
        <v/>
      </c>
      <c r="X350" s="14">
        <f>ROUNDDOWN((LEN(Q350)+1)/2,0)</f>
        <v/>
      </c>
      <c r="Y350" s="14">
        <f>ROUNDDOWN((LEN(R350)+1)/2,0)</f>
        <v/>
      </c>
      <c r="Z350" s="14">
        <f>ROUNDDOWN((LEN(S350)+1)/2,0)</f>
        <v/>
      </c>
      <c r="AA350" s="56" t="n">
        <v>46150.55862983225</v>
      </c>
    </row>
    <row r="351" ht="25.5" customHeight="1">
      <c r="B351" s="46" t="inlineStr">
        <is>
          <t>U+10900-U+1091F</t>
        </is>
      </c>
      <c r="C351" s="46" t="inlineStr">
        <is>
          <t>Phoenician</t>
        </is>
      </c>
      <c r="D351" s="54">
        <f>HEX2DEC(MID(B351,3,FIND("-",E351)-3))</f>
        <v/>
      </c>
      <c r="E351" s="46" t="inlineStr">
        <is>
          <t>U+10900-U+1091F</t>
        </is>
      </c>
      <c r="F351" s="12" t="n">
        <v>4</v>
      </c>
      <c r="J351" s="19">
        <f>ROUNDDOWN(W351,0)/$V351</f>
        <v/>
      </c>
      <c r="K351" s="19">
        <f>ROUNDDOWN(X351,0)/$V351</f>
        <v/>
      </c>
      <c r="L351" s="19">
        <f>ROUNDDOWN(Y351,0)/$V351</f>
        <v/>
      </c>
      <c r="M351" s="19">
        <f>ROUNDDOWN(Z351,0)/$V351</f>
        <v/>
      </c>
      <c r="O351" s="36" t="inlineStr">
        <is>
          <t>𐤀 𐤁 𐤂 𐤃 𐤄 𐤅 𐤆 𐤇 𐤈 𐤉 𐤊 𐤋 𐤌 𐤍 𐤎 𐤏 𐤐 𐤑 𐤒 𐤓 𐤔 𐤕 𐤖 𐤗 𐤘 𐤙 𐤚 𐤛 𐤟</t>
        </is>
      </c>
      <c r="P351" s="37" t="inlineStr">
        <is>
          <t>𐤟</t>
        </is>
      </c>
      <c r="Q351" s="38" t="inlineStr">
        <is>
          <t>𐤟</t>
        </is>
      </c>
      <c r="R351" s="43" t="inlineStr"/>
      <c r="S351" s="40" t="n"/>
      <c r="V351" s="14">
        <f>(LEN(O351)+1)/2</f>
        <v/>
      </c>
      <c r="W351" s="14">
        <f>ROUNDDOWN((LEN(P351)+1)/2,0)</f>
        <v/>
      </c>
      <c r="X351" s="14">
        <f>ROUNDDOWN((LEN(Q351)+1)/2,0)</f>
        <v/>
      </c>
      <c r="Y351" s="14">
        <f>ROUNDDOWN((LEN(R351)+1)/2,0)</f>
        <v/>
      </c>
      <c r="Z351" s="14">
        <f>ROUNDDOWN((LEN(S351)+1)/2,0)</f>
        <v/>
      </c>
      <c r="AA351" s="56" t="n">
        <v>46150.55862998331</v>
      </c>
    </row>
    <row r="352" ht="25.5" customHeight="1">
      <c r="B352" s="46" t="inlineStr">
        <is>
          <t>U+10920-U+1093F</t>
        </is>
      </c>
      <c r="C352" s="46" t="inlineStr">
        <is>
          <t>Lydian</t>
        </is>
      </c>
      <c r="D352" s="54">
        <f>HEX2DEC(MID(B352,3,FIND("-",E352)-3))</f>
        <v/>
      </c>
      <c r="E352" s="46" t="inlineStr">
        <is>
          <t>U+10920-U+1093F</t>
        </is>
      </c>
      <c r="F352" s="12" t="n">
        <v>4</v>
      </c>
      <c r="J352" s="19">
        <f>ROUNDDOWN(W352,0)/$V352</f>
        <v/>
      </c>
      <c r="K352" s="19">
        <f>ROUNDDOWN(X352,0)/$V352</f>
        <v/>
      </c>
      <c r="L352" s="19">
        <f>ROUNDDOWN(Y352,0)/$V352</f>
        <v/>
      </c>
      <c r="M352" s="19">
        <f>ROUNDDOWN(Z352,0)/$V352</f>
        <v/>
      </c>
      <c r="O352" s="36" t="inlineStr">
        <is>
          <t>𐤠 𐤡 𐤢 𐤣 𐤤 𐤥 𐤦 𐤧 𐤨 𐤩 𐤪 𐤫 𐤬 𐤭 𐤮 𐤯 𐤰 𐤱 𐤲 𐤳 𐤴 𐤵 𐤶 𐤷 𐤸 𐤹 𐤿</t>
        </is>
      </c>
      <c r="P352" s="37" t="inlineStr"/>
      <c r="Q352" s="38" t="inlineStr"/>
      <c r="R352" s="43" t="inlineStr"/>
      <c r="S352" s="40" t="n"/>
      <c r="V352" s="14">
        <f>(LEN(O352)+1)/2</f>
        <v/>
      </c>
      <c r="W352" s="14">
        <f>ROUNDDOWN((LEN(P352)+1)/2,0)</f>
        <v/>
      </c>
      <c r="X352" s="14">
        <f>ROUNDDOWN((LEN(Q352)+1)/2,0)</f>
        <v/>
      </c>
      <c r="Y352" s="14">
        <f>ROUNDDOWN((LEN(R352)+1)/2,0)</f>
        <v/>
      </c>
      <c r="Z352" s="14">
        <f>ROUNDDOWN((LEN(S352)+1)/2,0)</f>
        <v/>
      </c>
      <c r="AA352" s="56" t="n">
        <v>46150.55862998401</v>
      </c>
    </row>
    <row r="353" ht="25.5" customHeight="1">
      <c r="B353" s="46" t="inlineStr">
        <is>
          <t>U+10980-U+1099F</t>
        </is>
      </c>
      <c r="C353" s="46" t="inlineStr">
        <is>
          <t>Meroitic Hieroglyphs</t>
        </is>
      </c>
      <c r="D353" s="54">
        <f>HEX2DEC(MID(B353,3,FIND("-",E353)-3))</f>
        <v/>
      </c>
      <c r="E353" s="46" t="inlineStr">
        <is>
          <t>U+10980-U+1099F</t>
        </is>
      </c>
      <c r="F353" s="12" t="n">
        <v>4</v>
      </c>
      <c r="J353" s="19">
        <f>ROUNDDOWN(W353,0)/$V353</f>
        <v/>
      </c>
      <c r="K353" s="19">
        <f>ROUNDDOWN(X353,0)/$V353</f>
        <v/>
      </c>
      <c r="L353" s="19">
        <f>ROUNDDOWN(Y353,0)/$V353</f>
        <v/>
      </c>
      <c r="M353" s="19">
        <f>ROUNDDOWN(Z353,0)/$V353</f>
        <v/>
      </c>
      <c r="O353" s="36" t="inlineStr">
        <is>
          <t>𐦀 𐦁 𐦂 𐦃 𐦄 𐦅 𐦆 𐦇 𐦈 𐦉 𐦊 𐦋 𐦌 𐦍 𐦎 𐦏 𐦐 𐦑 𐦒 𐦓 𐦔 𐦕 𐦖 𐦗 𐦘 𐦙 𐦚 𐦛 𐦜 𐦝 𐦞 𐦟</t>
        </is>
      </c>
      <c r="P353" s="37" t="inlineStr"/>
      <c r="Q353" s="38" t="inlineStr"/>
      <c r="R353" s="43" t="inlineStr"/>
      <c r="S353" s="40" t="n"/>
      <c r="V353" s="14">
        <f>(LEN(O353)+1)/2</f>
        <v/>
      </c>
      <c r="W353" s="14">
        <f>ROUNDDOWN((LEN(P353)+1)/2,0)</f>
        <v/>
      </c>
      <c r="X353" s="14">
        <f>ROUNDDOWN((LEN(Q353)+1)/2,0)</f>
        <v/>
      </c>
      <c r="Y353" s="14">
        <f>ROUNDDOWN((LEN(R353)+1)/2,0)</f>
        <v/>
      </c>
      <c r="Z353" s="14">
        <f>ROUNDDOWN((LEN(S353)+1)/2,0)</f>
        <v/>
      </c>
      <c r="AA353" s="56" t="n">
        <v>46150.55862998434</v>
      </c>
    </row>
    <row r="354" ht="38.25" customHeight="1">
      <c r="B354" s="46" t="inlineStr">
        <is>
          <t>U+109A0-U+109FF</t>
        </is>
      </c>
      <c r="C354" s="46" t="inlineStr">
        <is>
          <t>Meroitic Cursive</t>
        </is>
      </c>
      <c r="D354" s="54">
        <f>HEX2DEC(MID(B354,3,FIND("-",E354)-3))</f>
        <v/>
      </c>
      <c r="E354" s="46" t="inlineStr">
        <is>
          <t>U+109A0-U+109FF</t>
        </is>
      </c>
      <c r="F354" s="12" t="n">
        <v>4</v>
      </c>
      <c r="J354" s="19">
        <f>ROUNDDOWN(W354,0)/$V354</f>
        <v/>
      </c>
      <c r="K354" s="19">
        <f>ROUNDDOWN(X354,0)/$V354</f>
        <v/>
      </c>
      <c r="L354" s="19">
        <f>ROUNDDOWN(Y354,0)/$V354</f>
        <v/>
      </c>
      <c r="M354" s="19">
        <f>ROUNDDOWN(Z354,0)/$V354</f>
        <v/>
      </c>
      <c r="O354" s="36" t="inlineStr">
        <is>
          <t>𐦠 𐦡 𐦢 𐦣 𐦤 𐦥 𐦦 𐦧 𐦨 𐦩 𐦪 𐦫 𐦬 𐦭 𐦮 𐦯 𐦰 𐦱 𐦲 𐦳 𐦴 𐦵 𐦶 𐦷 𐦼 𐦽 𐦾 𐦿 𐧀 𐧁 𐧂 𐧃 𐧄 𐧅 𐧆 𐧇 𐧈 𐧉 𐧊 𐧋 𐧌 𐧍 𐧎 𐧏 𐧒 𐧓 𐧔 𐧕 𐧖 𐧗 𐧘 𐧙 𐧚 𐧛 𐧜 𐧝 𐧞 𐧟 𐧠 𐧡 𐧢 𐧣 𐧤 𐧥 𐧦 𐧧 𐧨 𐧩 𐧪 𐧫 𐧬 𐧭 𐧮 𐧯 𐧰 𐧱 𐧲 𐧳 𐧴 𐧵 𐧶 𐧷 𐧸 𐧹 𐧺 𐧻 𐧼 𐧽 𐧾 𐧿</t>
        </is>
      </c>
      <c r="P354" s="37" t="inlineStr"/>
      <c r="Q354" s="38" t="inlineStr"/>
      <c r="R354" s="43" t="inlineStr"/>
      <c r="S354" s="40" t="n"/>
      <c r="V354" s="14">
        <f>(LEN(O354)+1)/2</f>
        <v/>
      </c>
      <c r="W354" s="14">
        <f>ROUNDDOWN((LEN(P354)+1)/2,0)</f>
        <v/>
      </c>
      <c r="X354" s="14">
        <f>ROUNDDOWN((LEN(Q354)+1)/2,0)</f>
        <v/>
      </c>
      <c r="Y354" s="14">
        <f>ROUNDDOWN((LEN(R354)+1)/2,0)</f>
        <v/>
      </c>
      <c r="Z354" s="14">
        <f>ROUNDDOWN((LEN(S354)+1)/2,0)</f>
        <v/>
      </c>
      <c r="AA354" s="56" t="n">
        <v>46150.55862998495</v>
      </c>
    </row>
    <row r="355" ht="38.25" customHeight="1">
      <c r="B355" s="46" t="inlineStr">
        <is>
          <t>U+10A00-U+10A58</t>
        </is>
      </c>
      <c r="C355" s="46" t="inlineStr">
        <is>
          <t>Kharoshthi</t>
        </is>
      </c>
      <c r="D355" s="54">
        <f>HEX2DEC(MID(B355,3,FIND("-",E355)-3))</f>
        <v/>
      </c>
      <c r="E355" s="46" t="inlineStr">
        <is>
          <t>U+10A00-U+10A5F</t>
        </is>
      </c>
      <c r="F355" s="12" t="n">
        <v>4</v>
      </c>
      <c r="J355" s="19">
        <f>ROUNDDOWN(W355,0)/$V355</f>
        <v/>
      </c>
      <c r="K355" s="19">
        <f>ROUNDDOWN(X355,0)/$V355</f>
        <v/>
      </c>
      <c r="L355" s="19">
        <f>ROUNDDOWN(Y355,0)/$V355</f>
        <v/>
      </c>
      <c r="M355" s="19">
        <f>ROUNDDOWN(Z355,0)/$V355</f>
        <v/>
      </c>
      <c r="O355" s="36" t="inlineStr">
        <is>
          <t>𐨀 𐨁 𐨂 𐨃 𐨅 𐨆 𐨌 𐨍 𐨎 𐨏 𐨐 𐨑 𐨒 𐨓 𐨕 𐨖 𐨗 𐨙 𐨚 𐨛 𐨜 𐨝 𐨞 𐨟 𐨠 𐨡 𐨢 𐨣 𐨤 𐨥 𐨦 𐨧 𐨨 𐨩 𐨪 𐨫 𐨬 𐨭 𐨮 𐨯 𐨰 𐨱 𐨲 𐨳 𐨴 𐨵 𐨸 𐨹 𐨺 𐨿 𐩀 𐩁 𐩂 𐩃 𐩄 𐩅 𐩆 𐩇 𐩈 𐩐 𐩑 𐩒 𐩓 𐩔 𐩕 𐩖 𐩗 𐩘</t>
        </is>
      </c>
      <c r="P355" s="37" t="inlineStr"/>
      <c r="Q355" s="38" t="inlineStr"/>
      <c r="R355" s="43" t="inlineStr"/>
      <c r="S355" s="40" t="n"/>
      <c r="V355" s="14">
        <f>(LEN(O355)+1)/2</f>
        <v/>
      </c>
      <c r="W355" s="14">
        <f>ROUNDDOWN((LEN(P355)+1)/2,0)</f>
        <v/>
      </c>
      <c r="X355" s="14">
        <f>ROUNDDOWN((LEN(Q355)+1)/2,0)</f>
        <v/>
      </c>
      <c r="Y355" s="14">
        <f>ROUNDDOWN((LEN(R355)+1)/2,0)</f>
        <v/>
      </c>
      <c r="Z355" s="14">
        <f>ROUNDDOWN((LEN(S355)+1)/2,0)</f>
        <v/>
      </c>
      <c r="AA355" s="56" t="n">
        <v>46150.5586299854</v>
      </c>
    </row>
    <row r="356" ht="25.5" customHeight="1">
      <c r="B356" s="46" t="inlineStr">
        <is>
          <t>U+10A60-U+10A7F</t>
        </is>
      </c>
      <c r="C356" s="46" t="inlineStr">
        <is>
          <t>Old South Arabian</t>
        </is>
      </c>
      <c r="D356" s="54">
        <f>HEX2DEC(MID(B356,3,FIND("-",E356)-3))</f>
        <v/>
      </c>
      <c r="E356" s="46" t="inlineStr">
        <is>
          <t>U+10A60-U+10A7F</t>
        </is>
      </c>
      <c r="F356" s="12" t="n">
        <v>4</v>
      </c>
      <c r="J356" s="19">
        <f>ROUNDDOWN(W356,0)/$V356</f>
        <v/>
      </c>
      <c r="K356" s="19">
        <f>ROUNDDOWN(X356,0)/$V356</f>
        <v/>
      </c>
      <c r="L356" s="19">
        <f>ROUNDDOWN(Y356,0)/$V356</f>
        <v/>
      </c>
      <c r="M356" s="19">
        <f>ROUNDDOWN(Z356,0)/$V356</f>
        <v/>
      </c>
      <c r="O356" s="36" t="inlineStr">
        <is>
          <t>𐩠 𐩡 𐩢 𐩣 𐩤 𐩥 𐩦 𐩧 𐩨 𐩩 𐩪 𐩫 𐩬 𐩭 𐩮 𐩯 𐩰 𐩱 𐩲 𐩳 𐩴 𐩵 𐩶 𐩷 𐩸 𐩹 𐩺 𐩻 𐩼 𐩽 𐩾 𐩿</t>
        </is>
      </c>
      <c r="P356" s="37" t="inlineStr"/>
      <c r="Q356" s="38" t="inlineStr"/>
      <c r="R356" s="43" t="inlineStr"/>
      <c r="S356" s="40" t="n"/>
      <c r="V356" s="14">
        <f>(LEN(O356)+1)/2</f>
        <v/>
      </c>
      <c r="W356" s="14">
        <f>ROUNDDOWN((LEN(P356)+1)/2,0)</f>
        <v/>
      </c>
      <c r="X356" s="14">
        <f>ROUNDDOWN((LEN(Q356)+1)/2,0)</f>
        <v/>
      </c>
      <c r="Y356" s="14">
        <f>ROUNDDOWN((LEN(R356)+1)/2,0)</f>
        <v/>
      </c>
      <c r="Z356" s="14">
        <f>ROUNDDOWN((LEN(S356)+1)/2,0)</f>
        <v/>
      </c>
      <c r="AA356" s="56" t="n">
        <v>46150.55862998571</v>
      </c>
    </row>
    <row r="357" ht="25.5" customHeight="1">
      <c r="B357" s="46" t="inlineStr">
        <is>
          <t>U+10A80-U+10A9F</t>
        </is>
      </c>
      <c r="C357" s="46" t="inlineStr">
        <is>
          <t>Old North Arabian</t>
        </is>
      </c>
      <c r="D357" s="54">
        <f>HEX2DEC(MID(B357,3,FIND("-",E357)-3))</f>
        <v/>
      </c>
      <c r="E357" s="46" t="inlineStr">
        <is>
          <t>U+10A80-U+10A9F</t>
        </is>
      </c>
      <c r="F357" s="12" t="n">
        <v>4</v>
      </c>
      <c r="J357" s="19">
        <f>ROUNDDOWN(W357,0)/$V357</f>
        <v/>
      </c>
      <c r="K357" s="19">
        <f>ROUNDDOWN(X357,0)/$V357</f>
        <v/>
      </c>
      <c r="L357" s="19">
        <f>ROUNDDOWN(Y357,0)/$V357</f>
        <v/>
      </c>
      <c r="M357" s="19">
        <f>ROUNDDOWN(Z357,0)/$V357</f>
        <v/>
      </c>
      <c r="O357" s="36" t="inlineStr">
        <is>
          <t>𐪀 𐪁 𐪂 𐪃 𐪄 𐪅 𐪆 𐪇 𐪈 𐪉 𐪊 𐪋 𐪌 𐪍 𐪎 𐪏 𐪐 𐪑 𐪒 𐪓 𐪔 𐪕 𐪖 𐪗 𐪘 𐪙 𐪚 𐪛 𐪜 𐪝 𐪞 𐪟</t>
        </is>
      </c>
      <c r="P357" s="37" t="inlineStr"/>
      <c r="Q357" s="38" t="inlineStr"/>
      <c r="R357" s="43" t="inlineStr"/>
      <c r="S357" s="40" t="n"/>
      <c r="V357" s="14">
        <f>(LEN(O357)+1)/2</f>
        <v/>
      </c>
      <c r="W357" s="14">
        <f>ROUNDDOWN((LEN(P357)+1)/2,0)</f>
        <v/>
      </c>
      <c r="X357" s="14">
        <f>ROUNDDOWN((LEN(Q357)+1)/2,0)</f>
        <v/>
      </c>
      <c r="Y357" s="14">
        <f>ROUNDDOWN((LEN(R357)+1)/2,0)</f>
        <v/>
      </c>
      <c r="Z357" s="14">
        <f>ROUNDDOWN((LEN(S357)+1)/2,0)</f>
        <v/>
      </c>
      <c r="AA357" s="56" t="n">
        <v>46150.55862998602</v>
      </c>
    </row>
    <row r="358" ht="25.5" customHeight="1">
      <c r="B358" s="46" t="inlineStr">
        <is>
          <t>U+10AC0-U+10AF6</t>
        </is>
      </c>
      <c r="C358" s="46" t="inlineStr">
        <is>
          <t>Manichaean</t>
        </is>
      </c>
      <c r="D358" s="54">
        <f>HEX2DEC(MID(B358,3,FIND("-",E358)-3))</f>
        <v/>
      </c>
      <c r="E358" s="46" t="inlineStr">
        <is>
          <t>U+10AC0-U+10AFF</t>
        </is>
      </c>
      <c r="F358" s="12" t="n">
        <v>4</v>
      </c>
      <c r="J358" s="19">
        <f>ROUNDDOWN(W358,0)/$V358</f>
        <v/>
      </c>
      <c r="K358" s="19">
        <f>ROUNDDOWN(X358,0)/$V358</f>
        <v/>
      </c>
      <c r="L358" s="19">
        <f>ROUNDDOWN(Y358,0)/$V358</f>
        <v/>
      </c>
      <c r="M358" s="19">
        <f>ROUNDDOWN(Z358,0)/$V358</f>
        <v/>
      </c>
      <c r="O358" s="36" t="inlineStr">
        <is>
          <t>𐫀 𐫁 𐫂 𐫃 𐫄 𐫅 𐫆 𐫇 𐫈 𐫉 𐫊 𐫋 𐫌 𐫍 𐫎 𐫏 𐫐 𐫑 𐫒 𐫓 𐫔 𐫕 𐫖 𐫗 𐫘 𐫙 𐫚 𐫛 𐫜 𐫝 𐫞 𐫟 𐫠 𐫡 𐫢 𐫣 𐫤 𐫥 𐫦 𐫫 𐫬 𐫭 𐫮 𐫯 𐫰 𐫱 𐫲 𐫳 𐫴 𐫵 𐫶</t>
        </is>
      </c>
      <c r="P358" s="37" t="inlineStr"/>
      <c r="Q358" s="38" t="inlineStr"/>
      <c r="R358" s="43" t="inlineStr"/>
      <c r="S358" s="40" t="n"/>
      <c r="V358" s="14">
        <f>(LEN(O358)+1)/2</f>
        <v/>
      </c>
      <c r="W358" s="14">
        <f>ROUNDDOWN((LEN(P358)+1)/2,0)</f>
        <v/>
      </c>
      <c r="X358" s="14">
        <f>ROUNDDOWN((LEN(Q358)+1)/2,0)</f>
        <v/>
      </c>
      <c r="Y358" s="14">
        <f>ROUNDDOWN((LEN(R358)+1)/2,0)</f>
        <v/>
      </c>
      <c r="Z358" s="14">
        <f>ROUNDDOWN((LEN(S358)+1)/2,0)</f>
        <v/>
      </c>
      <c r="AA358" s="56" t="n">
        <v>46150.55862998642</v>
      </c>
    </row>
    <row r="359" ht="25.5" customHeight="1">
      <c r="B359" s="46" t="inlineStr">
        <is>
          <t>U+10B00-U+10B3F</t>
        </is>
      </c>
      <c r="C359" s="46" t="inlineStr">
        <is>
          <t>Avestan</t>
        </is>
      </c>
      <c r="D359" s="54">
        <f>HEX2DEC(MID(B359,3,FIND("-",E359)-3))</f>
        <v/>
      </c>
      <c r="E359" s="46" t="inlineStr">
        <is>
          <t>U+10B00-U+10B3F</t>
        </is>
      </c>
      <c r="F359" s="12" t="n">
        <v>4</v>
      </c>
      <c r="J359" s="19">
        <f>ROUNDDOWN(W359,0)/$V359</f>
        <v/>
      </c>
      <c r="K359" s="19">
        <f>ROUNDDOWN(X359,0)/$V359</f>
        <v/>
      </c>
      <c r="L359" s="19">
        <f>ROUNDDOWN(Y359,0)/$V359</f>
        <v/>
      </c>
      <c r="M359" s="19">
        <f>ROUNDDOWN(Z359,0)/$V359</f>
        <v/>
      </c>
      <c r="O359" s="36" t="inlineStr">
        <is>
          <t>𐬀 𐬁 𐬂 𐬃 𐬄 𐬅 𐬆 𐬇 𐬈 𐬉 𐬊 𐬋 𐬌 𐬍 𐬎 𐬏 𐬐 𐬑 𐬒 𐬓 𐬔 𐬕 𐬖 𐬗 𐬘 𐬙 𐬚 𐬛 𐬜 𐬝 𐬞 𐬟 𐬠 𐬡 𐬢 𐬣 𐬤 𐬥 𐬦 𐬧 𐬨 𐬩 𐬪 𐬫 𐬬 𐬭 𐬮 𐬯 𐬰 𐬱 𐬲 𐬳 𐬴 𐬵 𐬹 𐬺 𐬻 𐬼 𐬽 𐬾 𐬿</t>
        </is>
      </c>
      <c r="P359" s="37" t="inlineStr">
        <is>
          <t>𐬹 𐬺 𐬻 𐬼 𐬽 𐬾 𐬿</t>
        </is>
      </c>
      <c r="Q359" s="38" t="inlineStr">
        <is>
          <t>𐬹 𐬾 𐬿</t>
        </is>
      </c>
      <c r="R359" s="43" t="inlineStr"/>
      <c r="S359" s="40" t="n"/>
      <c r="V359" s="14">
        <f>(LEN(O359)+1)/2</f>
        <v/>
      </c>
      <c r="W359" s="14">
        <f>ROUNDDOWN((LEN(P359)+1)/2,0)</f>
        <v/>
      </c>
      <c r="X359" s="14">
        <f>ROUNDDOWN((LEN(Q359)+1)/2,0)</f>
        <v/>
      </c>
      <c r="Y359" s="14">
        <f>ROUNDDOWN((LEN(R359)+1)/2,0)</f>
        <v/>
      </c>
      <c r="Z359" s="14">
        <f>ROUNDDOWN((LEN(S359)+1)/2,0)</f>
        <v/>
      </c>
      <c r="AA359" s="56" t="n">
        <v>46150.55863014369</v>
      </c>
    </row>
    <row r="360" ht="25.5" customHeight="1">
      <c r="B360" s="46" t="inlineStr">
        <is>
          <t>U+10B40-U+10B5F</t>
        </is>
      </c>
      <c r="C360" s="46" t="inlineStr">
        <is>
          <t>Inscriptional Parthian</t>
        </is>
      </c>
      <c r="D360" s="54">
        <f>HEX2DEC(MID(B360,3,FIND("-",E360)-3))</f>
        <v/>
      </c>
      <c r="E360" s="46" t="inlineStr">
        <is>
          <t>U+10B40-U+10B5F</t>
        </is>
      </c>
      <c r="F360" s="12" t="n">
        <v>4</v>
      </c>
      <c r="J360" s="19">
        <f>ROUNDDOWN(W360,0)/$V360</f>
        <v/>
      </c>
      <c r="K360" s="19">
        <f>ROUNDDOWN(X360,0)/$V360</f>
        <v/>
      </c>
      <c r="L360" s="19">
        <f>ROUNDDOWN(Y360,0)/$V360</f>
        <v/>
      </c>
      <c r="M360" s="19">
        <f>ROUNDDOWN(Z360,0)/$V360</f>
        <v/>
      </c>
      <c r="O360" s="36" t="inlineStr">
        <is>
          <t>𐭀 𐭁 𐭂 𐭃 𐭄 𐭅 𐭆 𐭇 𐭈 𐭉 𐭊 𐭋 𐭌 𐭍 𐭎 𐭏 𐭐 𐭑 𐭒 𐭓 𐭔 𐭕 𐭘 𐭙 𐭚 𐭛 𐭜 𐭝 𐭞 𐭟</t>
        </is>
      </c>
      <c r="P360" s="37" t="inlineStr"/>
      <c r="Q360" s="38" t="inlineStr"/>
      <c r="R360" s="43" t="inlineStr"/>
      <c r="S360" s="40" t="n"/>
      <c r="V360" s="14">
        <f>(LEN(O360)+1)/2</f>
        <v/>
      </c>
      <c r="W360" s="14">
        <f>ROUNDDOWN((LEN(P360)+1)/2,0)</f>
        <v/>
      </c>
      <c r="X360" s="14">
        <f>ROUNDDOWN((LEN(Q360)+1)/2,0)</f>
        <v/>
      </c>
      <c r="Y360" s="14">
        <f>ROUNDDOWN((LEN(R360)+1)/2,0)</f>
        <v/>
      </c>
      <c r="Z360" s="14">
        <f>ROUNDDOWN((LEN(S360)+1)/2,0)</f>
        <v/>
      </c>
      <c r="AA360" s="56" t="n">
        <v>46150.55863014443</v>
      </c>
    </row>
    <row r="361" ht="25.5" customHeight="1">
      <c r="B361" s="46" t="inlineStr">
        <is>
          <t>U+10B60-U+10B7F</t>
        </is>
      </c>
      <c r="C361" s="46" t="inlineStr">
        <is>
          <t>Inscriptional Pahlavi</t>
        </is>
      </c>
      <c r="D361" s="54">
        <f>HEX2DEC(MID(B361,3,FIND("-",E361)-3))</f>
        <v/>
      </c>
      <c r="E361" s="46" t="inlineStr">
        <is>
          <t>U+10B60-U+10B7F</t>
        </is>
      </c>
      <c r="F361" s="12" t="n">
        <v>4</v>
      </c>
      <c r="J361" s="19">
        <f>ROUNDDOWN(W361,0)/$V361</f>
        <v/>
      </c>
      <c r="K361" s="19">
        <f>ROUNDDOWN(X361,0)/$V361</f>
        <v/>
      </c>
      <c r="L361" s="19">
        <f>ROUNDDOWN(Y361,0)/$V361</f>
        <v/>
      </c>
      <c r="M361" s="19">
        <f>ROUNDDOWN(Z361,0)/$V361</f>
        <v/>
      </c>
      <c r="O361" s="36" t="inlineStr">
        <is>
          <t>𐭠 𐭡 𐭢 𐭣 𐭤 𐭥 𐭦 𐭧 𐭨 𐭩 𐭪 𐭫 𐭬 𐭭 𐭮 𐭯 𐭰 𐭱 𐭲 𐭸 𐭹 𐭺 𐭻 𐭼 𐭽 𐭾 𐭿</t>
        </is>
      </c>
      <c r="P361" s="37" t="inlineStr"/>
      <c r="Q361" s="38" t="inlineStr"/>
      <c r="R361" s="43" t="inlineStr"/>
      <c r="S361" s="40" t="n"/>
      <c r="V361" s="14">
        <f>(LEN(O361)+1)/2</f>
        <v/>
      </c>
      <c r="W361" s="14">
        <f>ROUNDDOWN((LEN(P361)+1)/2,0)</f>
        <v/>
      </c>
      <c r="X361" s="14">
        <f>ROUNDDOWN((LEN(Q361)+1)/2,0)</f>
        <v/>
      </c>
      <c r="Y361" s="14">
        <f>ROUNDDOWN((LEN(R361)+1)/2,0)</f>
        <v/>
      </c>
      <c r="Z361" s="14">
        <f>ROUNDDOWN((LEN(S361)+1)/2,0)</f>
        <v/>
      </c>
      <c r="AA361" s="56" t="n">
        <v>46150.55863014475</v>
      </c>
    </row>
    <row r="362" ht="25.5" customHeight="1">
      <c r="B362" s="46" t="inlineStr">
        <is>
          <t>U+10B80-U+10BAF</t>
        </is>
      </c>
      <c r="C362" s="46" t="inlineStr">
        <is>
          <t>Psalter Pahlavi</t>
        </is>
      </c>
      <c r="D362" s="54">
        <f>HEX2DEC(MID(B362,3,FIND("-",E362)-3))</f>
        <v/>
      </c>
      <c r="E362" s="46" t="inlineStr">
        <is>
          <t>U+10B80-U+10BAF</t>
        </is>
      </c>
      <c r="F362" s="12" t="n">
        <v>4</v>
      </c>
      <c r="J362" s="19">
        <f>ROUNDDOWN(W362,0)/$V362</f>
        <v/>
      </c>
      <c r="K362" s="19">
        <f>ROUNDDOWN(X362,0)/$V362</f>
        <v/>
      </c>
      <c r="L362" s="19">
        <f>ROUNDDOWN(Y362,0)/$V362</f>
        <v/>
      </c>
      <c r="M362" s="19">
        <f>ROUNDDOWN(Z362,0)/$V362</f>
        <v/>
      </c>
      <c r="O362" s="36" t="inlineStr">
        <is>
          <t>𐮀 𐮁 𐮂 𐮃 𐮄 𐮅 𐮆 𐮇 𐮈 𐮉 𐮊 𐮋 𐮌 𐮍 𐮎 𐮏 𐮐 𐮑 𐮙 𐮚 𐮛 𐮜 𐮩 𐮪 𐮫 𐮬 𐮭 𐮮 𐮯</t>
        </is>
      </c>
      <c r="P362" s="37" t="inlineStr"/>
      <c r="Q362" s="38" t="inlineStr"/>
      <c r="R362" s="43" t="inlineStr"/>
      <c r="S362" s="40" t="n"/>
      <c r="V362" s="14">
        <f>(LEN(O362)+1)/2</f>
        <v/>
      </c>
      <c r="W362" s="14">
        <f>ROUNDDOWN((LEN(P362)+1)/2,0)</f>
        <v/>
      </c>
      <c r="X362" s="14">
        <f>ROUNDDOWN((LEN(Q362)+1)/2,0)</f>
        <v/>
      </c>
      <c r="Y362" s="14">
        <f>ROUNDDOWN((LEN(R362)+1)/2,0)</f>
        <v/>
      </c>
      <c r="Z362" s="14">
        <f>ROUNDDOWN((LEN(S362)+1)/2,0)</f>
        <v/>
      </c>
      <c r="AA362" s="56" t="n">
        <v>46150.55863014505</v>
      </c>
    </row>
    <row r="363" ht="38.25" customHeight="1">
      <c r="B363" s="46" t="inlineStr">
        <is>
          <t>U+10C00-U+10C48</t>
        </is>
      </c>
      <c r="C363" s="46" t="inlineStr">
        <is>
          <t>Old Turkic</t>
        </is>
      </c>
      <c r="D363" s="54">
        <f>HEX2DEC(MID(B363,3,FIND("-",E363)-3))</f>
        <v/>
      </c>
      <c r="E363" s="46" t="inlineStr">
        <is>
          <t>U+10C00-U+10C4F</t>
        </is>
      </c>
      <c r="F363" s="12" t="n">
        <v>4</v>
      </c>
      <c r="J363" s="19">
        <f>ROUNDDOWN(W363,0)/$V363</f>
        <v/>
      </c>
      <c r="K363" s="19">
        <f>ROUNDDOWN(X363,0)/$V363</f>
        <v/>
      </c>
      <c r="L363" s="19">
        <f>ROUNDDOWN(Y363,0)/$V363</f>
        <v/>
      </c>
      <c r="M363" s="19">
        <f>ROUNDDOWN(Z363,0)/$V363</f>
        <v/>
      </c>
      <c r="O363" s="36" t="inlineStr">
        <is>
          <t>𐰀 𐰁 𐰂 𐰃 𐰄 𐰅 𐰆 𐰇 𐰈 𐰉 𐰊 𐰋 𐰌 𐰍 𐰎 𐰏 𐰐 𐰑 𐰒 𐰓 𐰔 𐰕 𐰖 𐰗 𐰘 𐰙 𐰚 𐰛 𐰜 𐰝 𐰞 𐰟 𐰠 𐰡 𐰢 𐰣 𐰤 𐰥 𐰦 𐰧 𐰨 𐰩 𐰪 𐰫 𐰬 𐰭 𐰮 𐰯 𐰰 𐰱 𐰲 𐰳 𐰴 𐰵 𐰶 𐰷 𐰸 𐰹 𐰺 𐰻 𐰼 𐰽 𐰾 𐰿 𐱀 𐱁 𐱂 𐱃 𐱄 𐱅 𐱆 𐱇 𐱈</t>
        </is>
      </c>
      <c r="P363" s="37" t="inlineStr"/>
      <c r="Q363" s="38" t="inlineStr"/>
      <c r="R363" s="43" t="inlineStr"/>
      <c r="S363" s="40" t="n"/>
      <c r="V363" s="14">
        <f>(LEN(O363)+1)/2</f>
        <v/>
      </c>
      <c r="W363" s="14">
        <f>ROUNDDOWN((LEN(P363)+1)/2,0)</f>
        <v/>
      </c>
      <c r="X363" s="14">
        <f>ROUNDDOWN((LEN(Q363)+1)/2,0)</f>
        <v/>
      </c>
      <c r="Y363" s="14">
        <f>ROUNDDOWN((LEN(R363)+1)/2,0)</f>
        <v/>
      </c>
      <c r="Z363" s="14">
        <f>ROUNDDOWN((LEN(S363)+1)/2,0)</f>
        <v/>
      </c>
      <c r="AA363" s="56" t="n">
        <v>46150.55863014553</v>
      </c>
    </row>
    <row r="364" ht="51" customHeight="1">
      <c r="B364" s="46" t="inlineStr">
        <is>
          <t>U+10C80-U+10CFF</t>
        </is>
      </c>
      <c r="C364" s="46" t="inlineStr">
        <is>
          <t>Old Hungarian</t>
        </is>
      </c>
      <c r="D364" s="54">
        <f>HEX2DEC(MID(B364,3,FIND("-",E364)-3))</f>
        <v/>
      </c>
      <c r="E364" s="46" t="inlineStr">
        <is>
          <t>U+10C80-U+10CFF</t>
        </is>
      </c>
      <c r="F364" s="12" t="n">
        <v>4</v>
      </c>
      <c r="J364" s="19">
        <f>ROUNDDOWN(W364,0)/$V364</f>
        <v/>
      </c>
      <c r="K364" s="19">
        <f>ROUNDDOWN(X364,0)/$V364</f>
        <v/>
      </c>
      <c r="L364" s="19">
        <f>ROUNDDOWN(Y364,0)/$V364</f>
        <v/>
      </c>
      <c r="M364" s="19">
        <f>ROUNDDOWN(Z364,0)/$V364</f>
        <v/>
      </c>
      <c r="O364" s="36" t="inlineStr">
        <is>
          <t>𐲀 𐲁 𐲂 𐲃 𐲄 𐲅 𐲆 𐲇 𐲈 𐲉 𐲊 𐲋 𐲌 𐲍 𐲎 𐲏 𐲐 𐲑 𐲒 𐲓 𐲔 𐲕 𐲖 𐲗 𐲘 𐲙 𐲚 𐲛 𐲜 𐲝 𐲞 𐲟 𐲠 𐲡 𐲢 𐲣 𐲤 𐲥 𐲦 𐲧 𐲨 𐲩 𐲪 𐲫 𐲬 𐲭 𐲮 𐲯 𐲰 𐲱 𐲲 𐳀 𐳁 𐳂 𐳃 𐳄 𐳅 𐳆 𐳇 𐳈 𐳉 𐳊 𐳋 𐳌 𐳍 𐳎 𐳏 𐳐 𐳑 𐳒 𐳓 𐳔 𐳕 𐳖 𐳗 𐳘 𐳙 𐳚 𐳛 𐳜 𐳝 𐳞 𐳟 𐳠 𐳡 𐳢 𐳣 𐳤 𐳥 𐳦 𐳧 𐳨 𐳩 𐳪 𐳫 𐳬 𐳭 𐳮 𐳯 𐳰 𐳱 𐳲 𐳺 𐳻 𐳼 𐳽 𐳾 𐳿</t>
        </is>
      </c>
      <c r="P364" s="37" t="inlineStr"/>
      <c r="Q364" s="38" t="inlineStr"/>
      <c r="R364" s="43" t="inlineStr"/>
      <c r="S364" s="40" t="n"/>
      <c r="V364" s="14">
        <f>(LEN(O364)+1)/2</f>
        <v/>
      </c>
      <c r="W364" s="14">
        <f>ROUNDDOWN((LEN(P364)+1)/2,0)</f>
        <v/>
      </c>
      <c r="X364" s="14">
        <f>ROUNDDOWN((LEN(Q364)+1)/2,0)</f>
        <v/>
      </c>
      <c r="Y364" s="14">
        <f>ROUNDDOWN((LEN(R364)+1)/2,0)</f>
        <v/>
      </c>
      <c r="Z364" s="14">
        <f>ROUNDDOWN((LEN(S364)+1)/2,0)</f>
        <v/>
      </c>
      <c r="AA364" s="56" t="n">
        <v>46150.55863014616</v>
      </c>
    </row>
    <row r="365" ht="25.5" customHeight="1">
      <c r="B365" s="46" t="inlineStr">
        <is>
          <t>U+10D00-U+10D39</t>
        </is>
      </c>
      <c r="C365" s="46" t="inlineStr">
        <is>
          <t>Hanifi Rohingya</t>
        </is>
      </c>
      <c r="D365" s="54">
        <f>HEX2DEC(MID(B365,3,FIND("-",E365)-3))</f>
        <v/>
      </c>
      <c r="E365" s="46" t="inlineStr">
        <is>
          <t>U+10D00-U+10D3F</t>
        </is>
      </c>
      <c r="F365" s="12" t="n">
        <v>4</v>
      </c>
      <c r="J365" s="19">
        <f>ROUNDDOWN(W365,0)/$V365</f>
        <v/>
      </c>
      <c r="K365" s="19">
        <f>ROUNDDOWN(X365,0)/$V365</f>
        <v/>
      </c>
      <c r="L365" s="19">
        <f>ROUNDDOWN(Y365,0)/$V365</f>
        <v/>
      </c>
      <c r="M365" s="19">
        <f>ROUNDDOWN(Z365,0)/$V365</f>
        <v/>
      </c>
      <c r="O365" s="36" t="inlineStr">
        <is>
          <t>𐴀 𐴁 𐴂 𐴃 𐴄 𐴅 𐴆 𐴇 𐴈 𐴉 𐴊 𐴋 𐴌 𐴍 𐴎 𐴏 𐴐 𐴑 𐴒 𐴓 𐴔 𐴕 𐴖 𐴗 𐴘 𐴙 𐴚 𐴛 𐴜 𐴝 𐴞 𐴟 𐴠 𐴡 𐴢 𐴣 𐴤 𐴥 𐴦 𐴧 𐴰 𐴱 𐴲 𐴳 𐴴 𐴵 𐴶 𐴷 𐴸 𐴹</t>
        </is>
      </c>
      <c r="P365" s="37" t="inlineStr"/>
      <c r="Q365" s="38" t="inlineStr"/>
      <c r="R365" s="43" t="inlineStr"/>
      <c r="S365" s="40" t="n"/>
      <c r="V365" s="14">
        <f>(LEN(O365)+1)/2</f>
        <v/>
      </c>
      <c r="W365" s="14">
        <f>ROUNDDOWN((LEN(P365)+1)/2,0)</f>
        <v/>
      </c>
      <c r="X365" s="14">
        <f>ROUNDDOWN((LEN(Q365)+1)/2,0)</f>
        <v/>
      </c>
      <c r="Y365" s="14">
        <f>ROUNDDOWN((LEN(R365)+1)/2,0)</f>
        <v/>
      </c>
      <c r="Z365" s="14">
        <f>ROUNDDOWN((LEN(S365)+1)/2,0)</f>
        <v/>
      </c>
      <c r="AA365" s="56" t="n">
        <v>46150.55863014656</v>
      </c>
    </row>
    <row r="366" ht="25.5" customHeight="1">
      <c r="B366" s="46" t="inlineStr">
        <is>
          <t>U+10E60-U+10E7E</t>
        </is>
      </c>
      <c r="C366" s="46" t="inlineStr">
        <is>
          <t>Rumi Numeral Symbols</t>
        </is>
      </c>
      <c r="D366" s="54">
        <f>HEX2DEC(MID(B366,3,FIND("-",E366)-3))</f>
        <v/>
      </c>
      <c r="E366" s="46" t="inlineStr">
        <is>
          <t>U+10E60-U+10E7F</t>
        </is>
      </c>
      <c r="F366" s="12" t="n">
        <v>4</v>
      </c>
      <c r="J366" s="19">
        <f>ROUNDDOWN(W366,0)/$V366</f>
        <v/>
      </c>
      <c r="K366" s="19">
        <f>ROUNDDOWN(X366,0)/$V366</f>
        <v/>
      </c>
      <c r="L366" s="19">
        <f>ROUNDDOWN(Y366,0)/$V366</f>
        <v/>
      </c>
      <c r="M366" s="19">
        <f>ROUNDDOWN(Z366,0)/$V366</f>
        <v/>
      </c>
      <c r="O366" s="36" t="inlineStr">
        <is>
          <t>𐹠 𐹡 𐹢 𐹣 𐹤 𐹥 𐹦 𐹧 𐹨 𐹩 𐹪 𐹫 𐹬 𐹭 𐹮 𐹯 𐹰 𐹱 𐹲 𐹳 𐹴 𐹵 𐹶 𐹷 𐹸 𐹹 𐹺 𐹻 𐹼 𐹽 𐹾</t>
        </is>
      </c>
      <c r="P366" s="37" t="inlineStr"/>
      <c r="Q366" s="38" t="inlineStr"/>
      <c r="R366" t="inlineStr"/>
      <c r="S366" s="40" t="n"/>
      <c r="V366" s="14">
        <f>(LEN(O366)+1)/2</f>
        <v/>
      </c>
      <c r="W366" s="14">
        <f>ROUNDDOWN((LEN(P366)+1)/2,0)</f>
        <v/>
      </c>
      <c r="X366" s="14">
        <f>ROUNDDOWN((LEN(Q366)+1)/2,0)</f>
        <v/>
      </c>
      <c r="Y366" s="14">
        <f>ROUNDDOWN((LEN(R366)+1)/2,0)</f>
        <v/>
      </c>
      <c r="Z366" s="14">
        <f>ROUNDDOWN((LEN(S366)+1)/2,0)</f>
        <v/>
      </c>
      <c r="AA366" s="56" t="n">
        <v>46150.55863014691</v>
      </c>
    </row>
    <row r="367" ht="25.5" customHeight="1">
      <c r="B367" s="46" t="inlineStr">
        <is>
          <t>U+10E80-U+10EB1</t>
        </is>
      </c>
      <c r="C367" s="46" t="inlineStr">
        <is>
          <t>Yezidi</t>
        </is>
      </c>
      <c r="D367" s="54">
        <f>HEX2DEC(MID(B367,3,FIND("-",E367)-3))</f>
        <v/>
      </c>
      <c r="E367" s="46" t="inlineStr">
        <is>
          <t>U+10E80-U+10EBF</t>
        </is>
      </c>
      <c r="F367" s="12" t="n">
        <v>4</v>
      </c>
      <c r="J367" s="19">
        <f>ROUNDDOWN(W367,0)/$V367</f>
        <v/>
      </c>
      <c r="K367" s="19">
        <f>ROUNDDOWN(X367,0)/$V367</f>
        <v/>
      </c>
      <c r="L367" s="19">
        <f>ROUNDDOWN(Y367,0)/$V367</f>
        <v/>
      </c>
      <c r="M367" s="19">
        <f>ROUNDDOWN(Z367,0)/$V367</f>
        <v/>
      </c>
      <c r="O367" s="36" t="inlineStr">
        <is>
          <t>𐺀 𐺁 𐺂 𐺃 𐺄 𐺅 𐺆 𐺇 𐺈 𐺉 𐺊 𐺋 𐺌 𐺍 𐺎 𐺏 𐺐 𐺑 𐺒 𐺓 𐺔 𐺕 𐺖 𐺗 𐺘 𐺙 𐺚 𐺛 𐺜 𐺝 𐺞 𐺟 𐺠 𐺡 𐺢 𐺣 𐺤 𐺥 𐺦 𐺧 𐺨 𐺩 𐺫 𐺬 𐺭 𐺰 𐺱</t>
        </is>
      </c>
      <c r="P367" s="37" t="inlineStr"/>
      <c r="Q367" s="38" t="inlineStr"/>
      <c r="R367" s="43" t="inlineStr"/>
      <c r="S367" s="40" t="n"/>
      <c r="V367" s="14">
        <f>(LEN(O367)+1)/2</f>
        <v/>
      </c>
      <c r="W367" s="14">
        <f>ROUNDDOWN((LEN(P367)+1)/2,0)</f>
        <v/>
      </c>
      <c r="X367" s="14">
        <f>ROUNDDOWN((LEN(Q367)+1)/2,0)</f>
        <v/>
      </c>
      <c r="Y367" s="14">
        <f>ROUNDDOWN((LEN(R367)+1)/2,0)</f>
        <v/>
      </c>
      <c r="Z367" s="14">
        <f>ROUNDDOWN((LEN(S367)+1)/2,0)</f>
        <v/>
      </c>
      <c r="AA367" s="56" t="n">
        <v>46150.55863014729</v>
      </c>
    </row>
    <row r="368" ht="25.5" customHeight="1">
      <c r="B368" s="46" t="inlineStr">
        <is>
          <t>U+10EFD-U+10EFF</t>
        </is>
      </c>
      <c r="C368" s="46" t="inlineStr">
        <is>
          <t>Arabic Extended-C</t>
        </is>
      </c>
      <c r="D368" s="54">
        <f>HEX2DEC(MID(B368,3,FIND("-",E368)-3))</f>
        <v/>
      </c>
      <c r="E368" s="46" t="inlineStr">
        <is>
          <t>U+10EC0-U+10EFF</t>
        </is>
      </c>
      <c r="F368" s="12" t="n">
        <v>4</v>
      </c>
      <c r="J368" s="19">
        <f>ROUNDDOWN(W368,0)/$V368</f>
        <v/>
      </c>
      <c r="K368" s="19">
        <f>ROUNDDOWN(X368,0)/$V368</f>
        <v/>
      </c>
      <c r="L368" s="19">
        <f>ROUNDDOWN(Y368,0)/$V368</f>
        <v/>
      </c>
      <c r="M368" s="19">
        <f>ROUNDDOWN(Z368,0)/$V368</f>
        <v/>
      </c>
      <c r="O368" s="36" t="inlineStr">
        <is>
          <t>𐻽 𐻾 𐻿</t>
        </is>
      </c>
      <c r="P368" s="37" t="inlineStr"/>
      <c r="Q368" s="38" t="inlineStr"/>
      <c r="R368" t="inlineStr"/>
      <c r="V368" s="14">
        <f>(LEN(O368)+1)/2</f>
        <v/>
      </c>
      <c r="W368" s="14">
        <f>ROUNDDOWN((LEN(P368)+1)/2,0)</f>
        <v/>
      </c>
      <c r="X368" s="14">
        <f>ROUNDDOWN((LEN(Q368)+1)/2,0)</f>
        <v/>
      </c>
      <c r="Y368" s="14">
        <f>ROUNDDOWN((LEN(R368)+1)/2,0)</f>
        <v/>
      </c>
      <c r="Z368" s="14">
        <f>ROUNDDOWN((LEN(S368)+1)/2,0)</f>
        <v/>
      </c>
      <c r="AA368" s="56" t="n">
        <v>46150.55863014748</v>
      </c>
    </row>
    <row r="369" ht="25.5" customHeight="1">
      <c r="B369" s="46" t="inlineStr">
        <is>
          <t>U+10F00-U+10F27</t>
        </is>
      </c>
      <c r="C369" s="46" t="inlineStr">
        <is>
          <t>Old Sogdian</t>
        </is>
      </c>
      <c r="D369" s="54">
        <f>HEX2DEC(MID(B369,3,FIND("-",E369)-3))</f>
        <v/>
      </c>
      <c r="E369" s="46" t="inlineStr">
        <is>
          <t>U+10F00-U+10F2F</t>
        </is>
      </c>
      <c r="F369" s="12" t="n">
        <v>4</v>
      </c>
      <c r="J369" s="19">
        <f>ROUNDDOWN(W369,0)/$V369</f>
        <v/>
      </c>
      <c r="K369" s="19">
        <f>ROUNDDOWN(X369,0)/$V369</f>
        <v/>
      </c>
      <c r="L369" s="19">
        <f>ROUNDDOWN(Y369,0)/$V369</f>
        <v/>
      </c>
      <c r="M369" s="19">
        <f>ROUNDDOWN(Z369,0)/$V369</f>
        <v/>
      </c>
      <c r="O369" s="36" t="inlineStr">
        <is>
          <t>𐼀 𐼁 𐼂 𐼃 𐼄 𐼅 𐼆 𐼇 𐼈 𐼉 𐼊 𐼋 𐼌 𐼍 𐼎 𐼏 𐼐 𐼑 𐼒 𐼓 𐼔 𐼕 𐼖 𐼗 𐼘 𐼙 𐼚 𐼛 𐼜 𐼝 𐼞 𐼟 𐼠 𐼡 𐼢 𐼣 𐼤 𐼥 𐼦 𐼧</t>
        </is>
      </c>
      <c r="P369" s="37" t="inlineStr"/>
      <c r="Q369" s="38" t="inlineStr"/>
      <c r="R369" s="43" t="inlineStr"/>
      <c r="S369" s="40" t="n"/>
      <c r="V369" s="14">
        <f>(LEN(O369)+1)/2</f>
        <v/>
      </c>
      <c r="W369" s="14">
        <f>ROUNDDOWN((LEN(P369)+1)/2,0)</f>
        <v/>
      </c>
      <c r="X369" s="14">
        <f>ROUNDDOWN((LEN(Q369)+1)/2,0)</f>
        <v/>
      </c>
      <c r="Y369" s="14">
        <f>ROUNDDOWN((LEN(R369)+1)/2,0)</f>
        <v/>
      </c>
      <c r="Z369" s="14">
        <f>ROUNDDOWN((LEN(S369)+1)/2,0)</f>
        <v/>
      </c>
      <c r="AA369" s="56" t="n">
        <v>46150.55863014783</v>
      </c>
    </row>
    <row r="370" ht="25.5" customHeight="1">
      <c r="B370" s="46" t="inlineStr">
        <is>
          <t>U+10F30-U+10F59</t>
        </is>
      </c>
      <c r="C370" s="46" t="inlineStr">
        <is>
          <t>Sogdian</t>
        </is>
      </c>
      <c r="D370" s="54">
        <f>HEX2DEC(MID(B370,3,FIND("-",E370)-3))</f>
        <v/>
      </c>
      <c r="E370" s="46" t="inlineStr">
        <is>
          <t>U+10F30-U+10F6F</t>
        </is>
      </c>
      <c r="F370" s="12" t="n">
        <v>4</v>
      </c>
      <c r="J370" s="19">
        <f>ROUNDDOWN(W370,0)/$V370</f>
        <v/>
      </c>
      <c r="K370" s="19">
        <f>ROUNDDOWN(X370,0)/$V370</f>
        <v/>
      </c>
      <c r="L370" s="19">
        <f>ROUNDDOWN(Y370,0)/$V370</f>
        <v/>
      </c>
      <c r="M370" s="19">
        <f>ROUNDDOWN(Z370,0)/$V370</f>
        <v/>
      </c>
      <c r="O370" s="36" t="inlineStr">
        <is>
          <t>𐼰 𐼱 𐼲 𐼳 𐼴 𐼵 𐼶 𐼷 𐼸 𐼹 𐼺 𐼻 𐼼 𐼽 𐼾 𐼿 𐽀 𐽁 𐽂 𐽃 𐽄 𐽅 𐽆 𐽇 𐽈 𐽉 𐽊 𐽋 𐽌 𐽍 𐽎 𐽏 𐽐 𐽑 𐽒 𐽓 𐽔 𐽕 𐽖 𐽗 𐽘 𐽙</t>
        </is>
      </c>
      <c r="P370" s="37" t="inlineStr"/>
      <c r="Q370" s="38" t="inlineStr"/>
      <c r="R370" s="43" t="inlineStr"/>
      <c r="S370" s="40" t="n"/>
      <c r="V370" s="14">
        <f>(LEN(O370)+1)/2</f>
        <v/>
      </c>
      <c r="W370" s="14">
        <f>ROUNDDOWN((LEN(P370)+1)/2,0)</f>
        <v/>
      </c>
      <c r="X370" s="14">
        <f>ROUNDDOWN((LEN(Q370)+1)/2,0)</f>
        <v/>
      </c>
      <c r="Y370" s="14">
        <f>ROUNDDOWN((LEN(R370)+1)/2,0)</f>
        <v/>
      </c>
      <c r="Z370" s="14">
        <f>ROUNDDOWN((LEN(S370)+1)/2,0)</f>
        <v/>
      </c>
      <c r="AA370" s="56" t="n">
        <v>46150.55863014816</v>
      </c>
    </row>
    <row r="371" ht="25.5" customHeight="1">
      <c r="B371" s="46" t="inlineStr">
        <is>
          <t>U+10F70-U+10F89</t>
        </is>
      </c>
      <c r="C371" s="46" t="inlineStr">
        <is>
          <t>Old Uyghur</t>
        </is>
      </c>
      <c r="D371" s="54">
        <f>HEX2DEC(MID(B371,3,FIND("-",E371)-3))</f>
        <v/>
      </c>
      <c r="E371" s="46" t="inlineStr">
        <is>
          <t>U+10F70-U+10FAF</t>
        </is>
      </c>
      <c r="F371" s="12" t="n">
        <v>4</v>
      </c>
      <c r="J371" s="19">
        <f>ROUNDDOWN(W371,0)/$V371</f>
        <v/>
      </c>
      <c r="K371" s="19">
        <f>ROUNDDOWN(X371,0)/$V371</f>
        <v/>
      </c>
      <c r="L371" s="19">
        <f>ROUNDDOWN(Y371,0)/$V371</f>
        <v/>
      </c>
      <c r="M371" s="19">
        <f>ROUNDDOWN(Z371,0)/$V371</f>
        <v/>
      </c>
      <c r="O371" s="36" t="inlineStr">
        <is>
          <t>𐽰 𐽱 𐽲 𐽳 𐽴 𐽵 𐽶 𐽷 𐽸 𐽹 𐽺 𐽻 𐽼 𐽽 𐽾 𐽿 𐾀 𐾁 𐾂 𐾃 𐾄 𐾅 𐾆 𐾇 𐾈 𐾉</t>
        </is>
      </c>
      <c r="P371" s="37" t="inlineStr"/>
      <c r="Q371" s="38" t="inlineStr"/>
      <c r="R371" s="43" t="inlineStr"/>
      <c r="S371" s="40" t="n"/>
      <c r="V371" s="14">
        <f>(LEN(O371)+1)/2</f>
        <v/>
      </c>
      <c r="W371" s="14">
        <f>ROUNDDOWN((LEN(P371)+1)/2,0)</f>
        <v/>
      </c>
      <c r="X371" s="14">
        <f>ROUNDDOWN((LEN(Q371)+1)/2,0)</f>
        <v/>
      </c>
      <c r="Y371" s="14">
        <f>ROUNDDOWN((LEN(R371)+1)/2,0)</f>
        <v/>
      </c>
      <c r="Z371" s="14">
        <f>ROUNDDOWN((LEN(S371)+1)/2,0)</f>
        <v/>
      </c>
      <c r="AA371" s="56" t="n">
        <v>46150.55863014841</v>
      </c>
    </row>
    <row r="372" ht="25.5" customHeight="1">
      <c r="B372" s="46" t="inlineStr">
        <is>
          <t>U+10FB0-U+10FCB</t>
        </is>
      </c>
      <c r="C372" s="46" t="inlineStr">
        <is>
          <t>Chorasmian</t>
        </is>
      </c>
      <c r="D372" s="54">
        <f>HEX2DEC(MID(B372,3,FIND("-",E372)-3))</f>
        <v/>
      </c>
      <c r="E372" s="46" t="inlineStr">
        <is>
          <t>U+10FB0-U+10FDF</t>
        </is>
      </c>
      <c r="F372" s="12" t="n">
        <v>4</v>
      </c>
      <c r="J372" s="19">
        <f>ROUNDDOWN(W372,0)/$V372</f>
        <v/>
      </c>
      <c r="K372" s="19">
        <f>ROUNDDOWN(X372,0)/$V372</f>
        <v/>
      </c>
      <c r="L372" s="19">
        <f>ROUNDDOWN(Y372,0)/$V372</f>
        <v/>
      </c>
      <c r="M372" s="19">
        <f>ROUNDDOWN(Z372,0)/$V372</f>
        <v/>
      </c>
      <c r="O372" s="36" t="inlineStr">
        <is>
          <t>𐾰 𐾱 𐾲 𐾳 𐾴 𐾵 𐾶 𐾷 𐾸 𐾹 𐾺 𐾻 𐾼 𐾽 𐾾 𐾿 𐿀 𐿁 𐿂 𐿃 𐿄 𐿅 𐿆 𐿇 𐿈 𐿉 𐿊 𐿋</t>
        </is>
      </c>
      <c r="P372" s="37" t="inlineStr"/>
      <c r="Q372" s="38" t="inlineStr"/>
      <c r="R372" s="43" t="inlineStr"/>
      <c r="S372" s="40" t="n"/>
      <c r="V372" s="14">
        <f>(LEN(O372)+1)/2</f>
        <v/>
      </c>
      <c r="W372" s="14">
        <f>ROUNDDOWN((LEN(P372)+1)/2,0)</f>
        <v/>
      </c>
      <c r="X372" s="14">
        <f>ROUNDDOWN((LEN(Q372)+1)/2,0)</f>
        <v/>
      </c>
      <c r="Y372" s="14">
        <f>ROUNDDOWN((LEN(R372)+1)/2,0)</f>
        <v/>
      </c>
      <c r="Z372" s="14">
        <f>ROUNDDOWN((LEN(S372)+1)/2,0)</f>
        <v/>
      </c>
      <c r="AA372" s="56" t="n">
        <v>46150.55863014871</v>
      </c>
    </row>
    <row r="373" ht="25.5" customHeight="1">
      <c r="B373" s="46" t="inlineStr">
        <is>
          <t>U+10FE0-U+10FF6</t>
        </is>
      </c>
      <c r="C373" s="46" t="inlineStr">
        <is>
          <t>Elymaic</t>
        </is>
      </c>
      <c r="D373" s="54">
        <f>HEX2DEC(MID(B373,3,FIND("-",E373)-3))</f>
        <v/>
      </c>
      <c r="E373" s="46" t="inlineStr">
        <is>
          <t>U+10FE0-U+10FFF</t>
        </is>
      </c>
      <c r="F373" s="12" t="n">
        <v>4</v>
      </c>
      <c r="J373" s="19">
        <f>ROUNDDOWN(W373,0)/$V373</f>
        <v/>
      </c>
      <c r="K373" s="19">
        <f>ROUNDDOWN(X373,0)/$V373</f>
        <v/>
      </c>
      <c r="L373" s="19">
        <f>ROUNDDOWN(Y373,0)/$V373</f>
        <v/>
      </c>
      <c r="M373" s="19">
        <f>ROUNDDOWN(Z373,0)/$V373</f>
        <v/>
      </c>
      <c r="O373" s="36" t="inlineStr">
        <is>
          <t>𐿠 𐿡 𐿢 𐿣 𐿤 𐿥 𐿦 𐿧 𐿨 𐿩 𐿪 𐿫 𐿬 𐿭 𐿮 𐿯 𐿰 𐿱 𐿲 𐿳 𐿴 𐿵 𐿶</t>
        </is>
      </c>
      <c r="P373" s="37" t="inlineStr"/>
      <c r="Q373" s="38" t="inlineStr"/>
      <c r="R373" s="43" t="inlineStr"/>
      <c r="S373" s="40" t="n"/>
      <c r="V373" s="14">
        <f>(LEN(O373)+1)/2</f>
        <v/>
      </c>
      <c r="W373" s="14">
        <f>ROUNDDOWN((LEN(P373)+1)/2,0)</f>
        <v/>
      </c>
      <c r="X373" s="14">
        <f>ROUNDDOWN((LEN(Q373)+1)/2,0)</f>
        <v/>
      </c>
      <c r="Y373" s="14">
        <f>ROUNDDOWN((LEN(R373)+1)/2,0)</f>
        <v/>
      </c>
      <c r="Z373" s="14">
        <f>ROUNDDOWN((LEN(S373)+1)/2,0)</f>
        <v/>
      </c>
      <c r="AA373" s="56" t="n">
        <v>46150.55863014895</v>
      </c>
    </row>
    <row r="374" ht="51" customHeight="1">
      <c r="B374" s="46" t="inlineStr">
        <is>
          <t>U+11000-U+1107F</t>
        </is>
      </c>
      <c r="C374" s="46" t="inlineStr">
        <is>
          <t>Brahmi</t>
        </is>
      </c>
      <c r="D374" s="54">
        <f>HEX2DEC(MID(B374,3,FIND("-",E374)-3))</f>
        <v/>
      </c>
      <c r="E374" s="46" t="inlineStr">
        <is>
          <t>U+11000-U+1107F</t>
        </is>
      </c>
      <c r="F374" s="12" t="n">
        <v>4</v>
      </c>
      <c r="J374" s="19">
        <f>ROUNDDOWN(W374,0)/$V374</f>
        <v/>
      </c>
      <c r="K374" s="19">
        <f>ROUNDDOWN(X374,0)/$V374</f>
        <v/>
      </c>
      <c r="L374" s="19">
        <f>ROUNDDOWN(Y374,0)/$V374</f>
        <v/>
      </c>
      <c r="M374" s="19">
        <f>ROUNDDOWN(Z374,0)/$V374</f>
        <v/>
      </c>
      <c r="O374" s="36" t="inlineStr">
        <is>
          <t>𑀀 𑀁 𑀂 𑀃 𑀄 𑀅 𑀆 𑀇 𑀈 𑀉 𑀊 𑀋 𑀌 𑀍 𑀎 𑀏 𑀐 𑀑 𑀒 𑀓 𑀔 𑀕 𑀖 𑀗 𑀘 𑀙 𑀚 𑀛 𑀜 𑀝 𑀞 𑀟 𑀠 𑀡 𑀢 𑀣 𑀤 𑀥 𑀦 𑀧 𑀨 𑀩 𑀪 𑀫 𑀬 𑀭 𑀮 𑀯 𑀰 𑀱 𑀲 𑀳 𑀴 𑀵 𑀶 𑀷 𑀸 𑀹 𑀺 𑀻 𑀼 𑀽 𑀾 𑀿 𑁀 𑁁 𑁂 𑁃 𑁄 𑁅 𑁆 𑁇 𑁈 𑁉 𑁊 𑁋 𑁌 𑁍 𑁒 𑁓 𑁔 𑁕 𑁖 𑁗 𑁘 𑁙 𑁚 𑁛 𑁜 𑁝 𑁞 𑁟 𑁠 𑁡 𑁢 𑁣 𑁤 𑁥 𑁦 𑁧 𑁨 𑁩 𑁪 𑁫 𑁬 𑁭 𑁮 𑁯 𑁰 𑁱 𑁲 𑁳 𑁴 𑁵 𑁿</t>
        </is>
      </c>
      <c r="P374" s="37" t="inlineStr">
        <is>
          <t>𑀃 𑀄 𑀅 𑀆 𑀇 𑀈 𑀉 𑀊 𑀋 𑀌 𑀍 𑀎 𑀏 𑀐 𑀑 𑀒 𑀓 𑀔 𑀕 𑀖 𑀗 𑀘 𑀙 𑀚 𑀛 𑀜 𑀝 𑀞 𑀟 𑀠 𑀡 𑀢 𑀣 𑀤 𑀥 𑀦 𑀧 𑀨 𑀩 𑀪 𑀫 𑀬 𑀭 𑀮 𑀯 𑀰 𑀱 𑀲 𑀳 𑀴 𑀵 𑀶 𑀷 𑁇 𑁈 𑁉 𑁊 𑁋 𑁌 𑁍 𑁒 𑁓 𑁔 𑁕 𑁖 𑁗 𑁘 𑁙 𑁚 𑁛 𑁜 𑁝 𑁞 𑁟 𑁠 𑁡 𑁢 𑁣 𑁤 𑁥 𑁦 𑁧 𑁨 𑁩 𑁪 𑁫 𑁬 𑁭 𑁮 𑁯 𑁱 𑁲 𑁵</t>
        </is>
      </c>
      <c r="Q374" s="38" t="inlineStr">
        <is>
          <t>𑀃 𑀄 𑀅 𑀆 𑀇 𑀈 𑀉 𑀊 𑀋 𑀌 𑀍 𑀎 𑀏 𑀐 𑀒 𑀓 𑀔 𑀕 𑀖 𑀗 𑀘 𑀙 𑀚 𑀛 𑀜 𑀝 𑀞 𑀟 𑀠 𑀡 𑀢 𑀣 𑀤 𑀥 𑀦 𑀧 𑀨 𑀩 𑀪 𑀫 𑀬 𑀭 𑀮 𑀯 𑀰 𑀱 𑀲 𑀳 𑀴 𑀵 𑀶 𑀷 𑁇 𑁈 𑁉 𑁊 𑁋 𑁌 𑁍 𑁱 𑁵</t>
        </is>
      </c>
      <c r="R374" s="43" t="inlineStr"/>
      <c r="S374" s="40" t="n"/>
      <c r="V374" s="14">
        <f>(LEN(O374)+1)/2</f>
        <v/>
      </c>
      <c r="W374" s="14">
        <f>ROUNDDOWN((LEN(P374)+1)/2,0)</f>
        <v/>
      </c>
      <c r="X374" s="14">
        <f>ROUNDDOWN((LEN(Q374)+1)/2,0)</f>
        <v/>
      </c>
      <c r="Y374" s="14">
        <f>ROUNDDOWN((LEN(R374)+1)/2,0)</f>
        <v/>
      </c>
      <c r="Z374" s="14">
        <f>ROUNDDOWN((LEN(S374)+1)/2,0)</f>
        <v/>
      </c>
      <c r="AA374" s="56" t="n">
        <v>46150.55863050978</v>
      </c>
    </row>
    <row r="375" ht="25.5" customHeight="1">
      <c r="B375" s="46" t="inlineStr">
        <is>
          <t>U+11080-U+110C2</t>
        </is>
      </c>
      <c r="C375" s="46" t="inlineStr">
        <is>
          <t>Kaithi</t>
        </is>
      </c>
      <c r="D375" s="54">
        <f>HEX2DEC(MID(B375,3,FIND("-",E375)-3))</f>
        <v/>
      </c>
      <c r="E375" s="46" t="inlineStr">
        <is>
          <t>U+11080-U+110CF</t>
        </is>
      </c>
      <c r="F375" s="12" t="n">
        <v>4</v>
      </c>
      <c r="J375" s="19">
        <f>ROUNDDOWN(W375,0)/$V375</f>
        <v/>
      </c>
      <c r="K375" s="19">
        <f>ROUNDDOWN(X375,0)/$V375</f>
        <v/>
      </c>
      <c r="L375" s="19">
        <f>ROUNDDOWN(Y375,0)/$V375</f>
        <v/>
      </c>
      <c r="M375" s="19">
        <f>ROUNDDOWN(Z375,0)/$V375</f>
        <v/>
      </c>
      <c r="O375" s="36" t="inlineStr">
        <is>
          <t>𑂀 𑂁 𑂂 𑂃 𑂄 𑂅 𑂆 𑂇 𑂈 𑂉 𑂊 𑂋 𑂌 𑂍 𑂎 𑂏 𑂐 𑂑 𑂒 𑂓 𑂔 𑂕 𑂖 𑂗 𑂘 𑂙 𑂚 𑂛 𑂜 𑂝 𑂞 𑂟 𑂠 𑂡 𑂢 𑂣 𑂤 𑂥 𑂦 𑂧 𑂨 𑂩 𑂪 𑂫 𑂬 𑂭 𑂮 𑂯 𑂰 𑂱 𑂲 𑂳 𑂴 𑂵 𑂶 𑂷 𑂸 𑂹 𑂺 𑂻 𑂼 𑂾 𑂿 𑃀 𑃁 𑃂</t>
        </is>
      </c>
      <c r="P375" s="37" t="inlineStr">
        <is>
          <t>𑂃 𑂄 𑂅 𑂆 𑂇 𑂈 𑂉 𑂊 𑂋 𑂌 𑂍 𑂎 𑂏 𑂐 𑂑 𑂒 𑂓 𑂔 𑂕 𑂖 𑂗 𑂘 𑂙 𑂚 𑂛 𑂜 𑂝 𑂞 𑂟 𑂠 𑂡 𑂢 𑂣 𑂤 𑂥 𑂦 𑂧 𑂨 𑂩 𑂪 𑂫 𑂬 𑂭 𑂮 𑂯 𑂻 𑂼 𑂾 𑂿 𑃀 𑃁</t>
        </is>
      </c>
      <c r="Q375" s="38" t="inlineStr">
        <is>
          <t>𑂃 𑂄 𑂅 𑂆 𑂇 𑂈 𑂉 𑂊 𑂌 𑂍 𑂎 𑂏 𑂐 𑂑 𑂒 𑂓 𑂔 𑂕 𑂖 𑂗 𑂘 𑂙 𑂛 𑂝 𑂞 𑂟 𑂠 𑂡 𑂢 𑂣 𑂤 𑂥 𑂦 𑂧 𑂨 𑂩 𑂪 𑂬 𑂭 𑂮 𑂯 𑂻 𑂼 𑂾 𑂿 𑃀 𑃁</t>
        </is>
      </c>
      <c r="R375" s="43" t="inlineStr"/>
      <c r="S375" s="40" t="n"/>
      <c r="V375" s="14">
        <f>(LEN(O375)+1)/2</f>
        <v/>
      </c>
      <c r="W375" s="14">
        <f>ROUNDDOWN((LEN(P375)+1)/2,0)</f>
        <v/>
      </c>
      <c r="X375" s="14">
        <f>ROUNDDOWN((LEN(Q375)+1)/2,0)</f>
        <v/>
      </c>
      <c r="Y375" s="14">
        <f>ROUNDDOWN((LEN(R375)+1)/2,0)</f>
        <v/>
      </c>
      <c r="Z375" s="14">
        <f>ROUNDDOWN((LEN(S375)+1)/2,0)</f>
        <v/>
      </c>
      <c r="AA375" s="56" t="n">
        <v>46150.55863082439</v>
      </c>
    </row>
    <row r="376" ht="25.5" customHeight="1">
      <c r="B376" s="46" t="inlineStr">
        <is>
          <t>U+110D0-U+110F9</t>
        </is>
      </c>
      <c r="C376" s="46" t="inlineStr">
        <is>
          <t>Sora Sompeng</t>
        </is>
      </c>
      <c r="D376" s="54">
        <f>HEX2DEC(MID(B376,3,FIND("-",E376)-3))</f>
        <v/>
      </c>
      <c r="E376" s="46" t="inlineStr">
        <is>
          <t>U+110D0-U+110FF</t>
        </is>
      </c>
      <c r="F376" s="12" t="n">
        <v>4</v>
      </c>
      <c r="J376" s="19">
        <f>ROUNDDOWN(W376,0)/$V376</f>
        <v/>
      </c>
      <c r="K376" s="19">
        <f>ROUNDDOWN(X376,0)/$V376</f>
        <v/>
      </c>
      <c r="L376" s="19">
        <f>ROUNDDOWN(Y376,0)/$V376</f>
        <v/>
      </c>
      <c r="M376" s="19">
        <f>ROUNDDOWN(Z376,0)/$V376</f>
        <v/>
      </c>
      <c r="O376" s="36" t="inlineStr">
        <is>
          <t>𑃐 𑃑 𑃒 𑃓 𑃔 𑃕 𑃖 𑃗 𑃘 𑃙 𑃚 𑃛 𑃜 𑃝 𑃞 𑃟 𑃠 𑃡 𑃢 𑃣 𑃤 𑃥 𑃦 𑃧 𑃨 𑃰 𑃱 𑃲 𑃳 𑃴 𑃵 𑃶 𑃷 𑃸 𑃹</t>
        </is>
      </c>
      <c r="P376" s="37" t="inlineStr">
        <is>
          <t>𑃐 𑃑 𑃒 𑃓 𑃔 𑃕 𑃖 𑃗 𑃘 𑃙 𑃚 𑃛 𑃜 𑃝 𑃞 𑃟 𑃠 𑃡 𑃢 𑃣 𑃤 𑃥 𑃦 𑃧 𑃨 𑃰 𑃱 𑃲 𑃳 𑃴 𑃵 𑃶 𑃷 𑃸 𑃹</t>
        </is>
      </c>
      <c r="Q376" s="38" t="inlineStr">
        <is>
          <t>𑃐 𑃑 𑃒 𑃓 𑃔 𑃕 𑃖 𑃗 𑃘 𑃙 𑃚 𑃛 𑃜 𑃝 𑃞 𑃟 𑃠 𑃡 𑃢 𑃣 𑃤 𑃥 𑃧 𑃨</t>
        </is>
      </c>
      <c r="R376" s="43" t="inlineStr"/>
      <c r="S376" s="40" t="n"/>
      <c r="V376" s="14">
        <f>(LEN(O376)+1)/2</f>
        <v/>
      </c>
      <c r="W376" s="14">
        <f>ROUNDDOWN((LEN(P376)+1)/2,0)</f>
        <v/>
      </c>
      <c r="X376" s="14">
        <f>ROUNDDOWN((LEN(Q376)+1)/2,0)</f>
        <v/>
      </c>
      <c r="Y376" s="14">
        <f>ROUNDDOWN((LEN(R376)+1)/2,0)</f>
        <v/>
      </c>
      <c r="Z376" s="14">
        <f>ROUNDDOWN((LEN(S376)+1)/2,0)</f>
        <v/>
      </c>
      <c r="AA376" s="56" t="n">
        <v>46150.55863105611</v>
      </c>
    </row>
    <row r="377" ht="38.25" customHeight="1">
      <c r="B377" s="46" t="inlineStr">
        <is>
          <t>U+11100-U+11147</t>
        </is>
      </c>
      <c r="C377" s="46" t="inlineStr">
        <is>
          <t>Chakma</t>
        </is>
      </c>
      <c r="D377" s="54">
        <f>HEX2DEC(MID(B377,3,FIND("-",E377)-3))</f>
        <v/>
      </c>
      <c r="E377" s="46" t="inlineStr">
        <is>
          <t>U+11100-U+1114F</t>
        </is>
      </c>
      <c r="F377" s="12" t="n">
        <v>4</v>
      </c>
      <c r="J377" s="19">
        <f>ROUNDDOWN(W377,0)/$V377</f>
        <v/>
      </c>
      <c r="K377" s="19">
        <f>ROUNDDOWN(X377,0)/$V377</f>
        <v/>
      </c>
      <c r="L377" s="19">
        <f>ROUNDDOWN(Y377,0)/$V377</f>
        <v/>
      </c>
      <c r="M377" s="19">
        <f>ROUNDDOWN(Z377,0)/$V377</f>
        <v/>
      </c>
      <c r="O377" s="36" t="inlineStr">
        <is>
          <t>𑄀 𑄁 𑄂 𑄃 𑄄 𑄅 𑄆 𑄇 𑄈 𑄉 𑄊 𑄋 𑄌 𑄍 𑄎 𑄏 𑄐 𑄑 𑄒 𑄓 𑄔 𑄕 𑄖 𑄗 𑄘 𑄙 𑄚 𑄛 𑄜 𑄝 𑄞 𑄟 𑄠 𑄡 𑄢 𑄣 𑄤 𑄥 𑄦 𑄧 𑄨 𑄩 𑄪 𑄫 𑄬 𑄭 𑄮 𑄯 𑄰 𑄱 𑄲 𑄳 𑄴 𑄶 𑄷 𑄸 𑄹 𑄺 𑄻 𑄼 𑄽 𑄾 𑄿 𑅀 𑅁 𑅂 𑅃 𑅄 𑅅 𑅆 𑅇</t>
        </is>
      </c>
      <c r="P377" s="37" t="inlineStr">
        <is>
          <t>𑄃 𑄄 𑄅 𑄆 𑄇 𑄈 𑄉 𑄊 𑄋 𑄌 𑄍 𑄎 𑄏 𑄐 𑄑 𑄒 𑄓 𑄔 𑄕 𑄖 𑄗 𑄘 𑄙 𑄚 𑄛 𑄜 𑄝 𑄞 𑄟 𑄠 𑄡 𑄢 𑄣 𑄤 𑄥 𑄦 𑄶 𑄷 𑄸 𑄹 𑄺 𑄻 𑄼 𑄽 𑄾 𑄿 𑅀 𑅁 𑅂 𑅃 𑅄 𑅇</t>
        </is>
      </c>
      <c r="Q377" s="38" t="inlineStr">
        <is>
          <t>𑄃 𑄄 𑄅 𑄆 𑄇 𑄈 𑄉 𑄊 𑄋 𑄌 𑄍 𑄎 𑄏 𑄐 𑄑 𑄒 𑄓 𑄔 𑄕 𑄖 𑄗 𑄘 𑄙 𑄚 𑄛 𑄜 𑄝 𑄞 𑄟 𑄠 𑄡 𑄢 𑄣 𑄤 𑄥 𑄦 𑅀 𑅁 𑅂 𑅃 𑅄 𑅇</t>
        </is>
      </c>
      <c r="R377" s="43" t="inlineStr"/>
      <c r="S377" s="40" t="n"/>
      <c r="V377" s="14">
        <f>(LEN(O377)+1)/2</f>
        <v/>
      </c>
      <c r="W377" s="14">
        <f>ROUNDDOWN((LEN(P377)+1)/2,0)</f>
        <v/>
      </c>
      <c r="X377" s="14">
        <f>ROUNDDOWN((LEN(Q377)+1)/2,0)</f>
        <v/>
      </c>
      <c r="Y377" s="14">
        <f>ROUNDDOWN((LEN(R377)+1)/2,0)</f>
        <v/>
      </c>
      <c r="Z377" s="14">
        <f>ROUNDDOWN((LEN(S377)+1)/2,0)</f>
        <v/>
      </c>
      <c r="AA377" s="56" t="n">
        <v>46150.55863135034</v>
      </c>
    </row>
    <row r="378" ht="25.5" customHeight="1">
      <c r="B378" s="46" t="inlineStr">
        <is>
          <t>U+11150-U+11176</t>
        </is>
      </c>
      <c r="C378" s="46" t="inlineStr">
        <is>
          <t>Mahajani</t>
        </is>
      </c>
      <c r="D378" s="54">
        <f>HEX2DEC(MID(B378,3,FIND("-",E378)-3))</f>
        <v/>
      </c>
      <c r="E378" s="46" t="inlineStr">
        <is>
          <t>U+11150-U+1117F</t>
        </is>
      </c>
      <c r="F378" s="12" t="n">
        <v>4</v>
      </c>
      <c r="J378" s="19">
        <f>ROUNDDOWN(W378,0)/$V378</f>
        <v/>
      </c>
      <c r="K378" s="19">
        <f>ROUNDDOWN(X378,0)/$V378</f>
        <v/>
      </c>
      <c r="L378" s="19">
        <f>ROUNDDOWN(Y378,0)/$V378</f>
        <v/>
      </c>
      <c r="M378" s="19">
        <f>ROUNDDOWN(Z378,0)/$V378</f>
        <v/>
      </c>
      <c r="O378" s="36" t="inlineStr">
        <is>
          <t>𑅐 𑅑 𑅒 𑅓 𑅔 𑅕 𑅖 𑅗 𑅘 𑅙 𑅚 𑅛 𑅜 𑅝 𑅞 𑅟 𑅠 𑅡 𑅢 𑅣 𑅤 𑅥 𑅦 𑅧 𑅨 𑅩 𑅪 𑅫 𑅬 𑅭 𑅮 𑅯 𑅰 𑅱 𑅲 𑅳 𑅴 𑅵 𑅶</t>
        </is>
      </c>
      <c r="P378" s="37" t="inlineStr">
        <is>
          <t>𑅐 𑅑 𑅒 𑅓 𑅔 𑅕 𑅖 𑅗 𑅘 𑅙 𑅚 𑅛 𑅜 𑅝 𑅞 𑅟 𑅠 𑅡 𑅢 𑅣 𑅤 𑅥 𑅦 𑅧 𑅨 𑅩 𑅪 𑅫 𑅬 𑅭 𑅮 𑅯 𑅰 𑅱 𑅲 𑅴 𑅵 𑅶</t>
        </is>
      </c>
      <c r="Q378" s="38" t="inlineStr">
        <is>
          <t>𑅐 𑅑 𑅒 𑅓 𑅕 𑅖 𑅗 𑅘 𑅙 𑅚 𑅛 𑅜 𑅝 𑅞 𑅟 𑅠 𑅡 𑅢 𑅣 𑅤 𑅥 𑅦 𑅧 𑅨 𑅩 𑅪 𑅫 𑅬 𑅭 𑅮 𑅯 𑅰 𑅱 𑅲 𑅴 𑅵</t>
        </is>
      </c>
      <c r="R378" s="43" t="inlineStr"/>
      <c r="S378" s="40" t="n"/>
      <c r="V378" s="14">
        <f>(LEN(O378)+1)/2</f>
        <v/>
      </c>
      <c r="W378" s="14">
        <f>ROUNDDOWN((LEN(P378)+1)/2,0)</f>
        <v/>
      </c>
      <c r="X378" s="14">
        <f>ROUNDDOWN((LEN(Q378)+1)/2,0)</f>
        <v/>
      </c>
      <c r="Y378" s="14">
        <f>ROUNDDOWN((LEN(R378)+1)/2,0)</f>
        <v/>
      </c>
      <c r="Z378" s="14">
        <f>ROUNDDOWN((LEN(S378)+1)/2,0)</f>
        <v/>
      </c>
      <c r="AA378" s="56" t="n">
        <v>46150.55863162186</v>
      </c>
    </row>
    <row r="379" ht="38.25" customHeight="1">
      <c r="B379" s="46" t="inlineStr">
        <is>
          <t>U+11180-U+111DF</t>
        </is>
      </c>
      <c r="C379" s="46" t="inlineStr">
        <is>
          <t>Sharada</t>
        </is>
      </c>
      <c r="D379" s="54">
        <f>HEX2DEC(MID(B379,3,FIND("-",E379)-3))</f>
        <v/>
      </c>
      <c r="E379" s="46" t="inlineStr">
        <is>
          <t>U+11180-U+111DF</t>
        </is>
      </c>
      <c r="F379" s="12" t="n">
        <v>4</v>
      </c>
      <c r="J379" s="19">
        <f>ROUNDDOWN(W379,0)/$V379</f>
        <v/>
      </c>
      <c r="K379" s="19">
        <f>ROUNDDOWN(X379,0)/$V379</f>
        <v/>
      </c>
      <c r="L379" s="19">
        <f>ROUNDDOWN(Y379,0)/$V379</f>
        <v/>
      </c>
      <c r="M379" s="19">
        <f>ROUNDDOWN(Z379,0)/$V379</f>
        <v/>
      </c>
      <c r="O379" s="36" t="inlineStr">
        <is>
          <t>𑆀 𑆁 𑆂 𑆃 𑆄 𑆅 𑆆 𑆇 𑆈 𑆉 𑆊 𑆋 𑆌 𑆍 𑆎 𑆏 𑆐 𑆑 𑆒 𑆓 𑆔 𑆕 𑆖 𑆗 𑆘 𑆙 𑆚 𑆛 𑆜 𑆝 𑆞 𑆟 𑆠 𑆡 𑆢 𑆣 𑆤 𑆥 𑆦 𑆧 𑆨 𑆩 𑆪 𑆫 𑆬 𑆭 𑆮 𑆯 𑆰 𑆱 𑆲 𑆳 𑆴 𑆵 𑆶 𑆷 𑆸 𑆹 𑆺 𑆻 𑆼 𑆽 𑆾 𑆿 𑇀 𑇁 𑇂 𑇃 𑇄 𑇅 𑇆 𑇇 𑇈 𑇉 𑇊 𑇋 𑇌 𑇍 𑇎 𑇏 𑇐 𑇑 𑇒 𑇓 𑇔 𑇕 𑇖 𑇗 𑇘 𑇙 𑇚 𑇛 𑇜 𑇝 𑇞 𑇟</t>
        </is>
      </c>
      <c r="P379" s="37" t="inlineStr">
        <is>
          <t>𑆃 𑆄 𑆅 𑆆 𑆇 𑆈 𑆉 𑆊 𑆋 𑆌 𑆍 𑆎 𑆏 𑆐 𑆑 𑆒 𑆓 𑆔 𑆕 𑆖 𑆗 𑆘 𑆙 𑆚 𑆛 𑆜 𑆝 𑆞 𑆟 𑆠 𑆡 𑆢 𑆣 𑆤 𑆥 𑆦 𑆧 𑆨 𑆩 𑆪 𑆫 𑆬 𑆭 𑆮 𑆯 𑆰 𑆱 𑆲 𑇂 𑇃 𑇄 𑇅 𑇆 𑇇 𑇈 𑇍 𑇐 𑇑 𑇒 𑇓 𑇔 𑇕 𑇖 𑇗 𑇘 𑇙 𑇚 𑇛 𑇜 𑇝 𑇞 𑇟</t>
        </is>
      </c>
      <c r="Q379" s="38" t="inlineStr">
        <is>
          <t>𑆃 𑆄 𑆅 𑆆 𑆇 𑆈 𑆉 𑆊 𑆋 𑆌 𑆍 𑆎 𑆐 𑆑 𑆒 𑆓 𑆔 𑆕 𑆖 𑆗 𑆘 𑆙 𑆚 𑆛 𑆜 𑆝 𑆞 𑆟 𑆠 𑆡 𑆢 𑆣 𑆤 𑆥 𑆦 𑆧 𑆨 𑆩 𑆪 𑆫 𑆬 𑆭 𑆮 𑆯 𑆰 𑆱 𑆲 𑇂 𑇃 𑇄 𑇅 𑇆 𑇇 𑇈 𑇍 𑇚 𑇛 𑇜 𑇝 𑇞 𑇟</t>
        </is>
      </c>
      <c r="R379" s="43" t="inlineStr"/>
      <c r="S379" s="40" t="n"/>
      <c r="V379" s="14">
        <f>(LEN(O379)+1)/2</f>
        <v/>
      </c>
      <c r="W379" s="14">
        <f>ROUNDDOWN((LEN(P379)+1)/2,0)</f>
        <v/>
      </c>
      <c r="X379" s="14">
        <f>ROUNDDOWN((LEN(Q379)+1)/2,0)</f>
        <v/>
      </c>
      <c r="Y379" s="14">
        <f>ROUNDDOWN((LEN(R379)+1)/2,0)</f>
        <v/>
      </c>
      <c r="Z379" s="14">
        <f>ROUNDDOWN((LEN(S379)+1)/2,0)</f>
        <v/>
      </c>
      <c r="AA379" s="56" t="n">
        <v>46150.5586319978</v>
      </c>
    </row>
    <row r="380" ht="25.5" customHeight="1">
      <c r="B380" s="46" t="inlineStr">
        <is>
          <t>U+111E1-U+111F4</t>
        </is>
      </c>
      <c r="C380" s="46" t="inlineStr">
        <is>
          <t>Sinhala Archaic Numbers</t>
        </is>
      </c>
      <c r="D380" s="54">
        <f>HEX2DEC(MID(B380,3,FIND("-",E380)-3))</f>
        <v/>
      </c>
      <c r="E380" s="46" t="inlineStr">
        <is>
          <t>U+111E0-U+111FF</t>
        </is>
      </c>
      <c r="F380" s="12" t="n">
        <v>4</v>
      </c>
      <c r="J380" s="19">
        <f>ROUNDDOWN(W380,0)/$V380</f>
        <v/>
      </c>
      <c r="K380" s="19">
        <f>ROUNDDOWN(X380,0)/$V380</f>
        <v/>
      </c>
      <c r="L380" s="19">
        <f>ROUNDDOWN(Y380,0)/$V380</f>
        <v/>
      </c>
      <c r="M380" s="19">
        <f>ROUNDDOWN(Z380,0)/$V380</f>
        <v/>
      </c>
      <c r="O380" s="36" t="inlineStr">
        <is>
          <t>𑇡 𑇢 𑇣 𑇤 𑇥 𑇦 𑇧 𑇨 𑇩 𑇪 𑇫 𑇬 𑇭 𑇮 𑇯 𑇰 𑇱 𑇲 𑇳 𑇴</t>
        </is>
      </c>
      <c r="P380" s="37" t="inlineStr">
        <is>
          <t>𑇡 𑇢 𑇣 𑇤 𑇥 𑇦 𑇧 𑇨 𑇩 𑇪 𑇫 𑇬 𑇭 𑇮 𑇯 𑇰 𑇱 𑇲 𑇳 𑇴</t>
        </is>
      </c>
      <c r="Q380" s="38" t="inlineStr"/>
      <c r="R380" t="inlineStr"/>
      <c r="S380" s="40" t="n"/>
      <c r="V380" s="14">
        <f>(LEN(O380)+1)/2</f>
        <v/>
      </c>
      <c r="W380" s="14">
        <f>ROUNDDOWN((LEN(P380)+1)/2,0)</f>
        <v/>
      </c>
      <c r="X380" s="14">
        <f>ROUNDDOWN((LEN(Q380)+1)/2,0)</f>
        <v/>
      </c>
      <c r="Y380" s="14">
        <f>ROUNDDOWN((LEN(R380)+1)/2,0)</f>
        <v/>
      </c>
      <c r="Z380" s="14">
        <f>ROUNDDOWN((LEN(S380)+1)/2,0)</f>
        <v/>
      </c>
      <c r="AA380" s="56" t="n">
        <v>46150.558632</v>
      </c>
    </row>
    <row r="381" ht="25.5" customHeight="1">
      <c r="B381" s="46" t="inlineStr">
        <is>
          <t>U+11200-U+11241</t>
        </is>
      </c>
      <c r="C381" s="46" t="inlineStr">
        <is>
          <t>Khojki</t>
        </is>
      </c>
      <c r="D381" s="54">
        <f>HEX2DEC(MID(B381,3,FIND("-",E381)-3))</f>
        <v/>
      </c>
      <c r="E381" s="46" t="inlineStr">
        <is>
          <t>U+11200-U+1124F</t>
        </is>
      </c>
      <c r="F381" s="12" t="n">
        <v>4</v>
      </c>
      <c r="J381" s="19">
        <f>ROUNDDOWN(W381,0)/$V381</f>
        <v/>
      </c>
      <c r="K381" s="19">
        <f>ROUNDDOWN(X381,0)/$V381</f>
        <v/>
      </c>
      <c r="L381" s="19">
        <f>ROUNDDOWN(Y381,0)/$V381</f>
        <v/>
      </c>
      <c r="M381" s="19">
        <f>ROUNDDOWN(Z381,0)/$V381</f>
        <v/>
      </c>
      <c r="O381" s="36" t="inlineStr">
        <is>
          <t>𑈀 𑈁 𑈂 𑈃 𑈄 𑈅 𑈆 𑈇 𑈈 𑈉 𑈊 𑈋 𑈌 𑈍 𑈎 𑈏 𑈐 𑈑 𑈓 𑈔 𑈕 𑈖 𑈗 𑈘 𑈙 𑈚 𑈛 𑈜 𑈝 𑈞 𑈟 𑈠 𑈡 𑈢 𑈣 𑈤 𑈥 𑈦 𑈧 𑈨 𑈩 𑈪 𑈫 𑈬 𑈭 𑈮 𑈯 𑈰 𑈱 𑈲 𑈳 𑈴 𑈵 𑈶 𑈷 𑈸 𑈹 𑈺 𑈻 𑈼 𑈽 𑈾 𑈿 𑉀 𑉁</t>
        </is>
      </c>
      <c r="P381" s="37" t="inlineStr">
        <is>
          <t>𑈀 𑈁 𑈂 𑈃 𑈄 𑈅 𑈆 𑈇 𑈈 𑈉 𑈊 𑈋 𑈌 𑈍 𑈎 𑈏 𑈐 𑈑 𑈓 𑈔 𑈕 𑈖 𑈗 𑈘 𑈙 𑈚 𑈛 𑈜 𑈝 𑈞 𑈟 𑈠 𑈡 𑈢 𑈣 𑈤 𑈥 𑈦 𑈧 𑈨 𑈩 𑈪 𑈫 𑈸 𑈹 𑈺 𑈻 𑈼 𑈽 𑈿 𑉀</t>
        </is>
      </c>
      <c r="Q381" s="38" t="inlineStr">
        <is>
          <t>𑈀 𑈁 𑈂 𑈃 𑈄 𑈅 𑈇 𑈈 𑈉 𑈊 𑈋 𑈌 𑈍 𑈎 𑈏 𑈐 𑈑 𑈓 𑈔 𑈕 𑈖 𑈗 𑈘 𑈙 𑈚 𑈛 𑈜 𑈝 𑈞 𑈟 𑈠 𑈡 𑈢 𑈣 𑈤 𑈥 𑈦 𑈧 𑈨 𑈩 𑈪 𑈫 𑈸 𑈹 𑈺 𑈻 𑈼 𑈽 𑈿 𑉀</t>
        </is>
      </c>
      <c r="R381" s="43" t="inlineStr"/>
      <c r="S381" s="40" t="n"/>
      <c r="V381" s="14">
        <f>(LEN(O381)+1)/2</f>
        <v/>
      </c>
      <c r="W381" s="14">
        <f>ROUNDDOWN((LEN(P381)+1)/2,0)</f>
        <v/>
      </c>
      <c r="X381" s="14">
        <f>ROUNDDOWN((LEN(Q381)+1)/2,0)</f>
        <v/>
      </c>
      <c r="Y381" s="14">
        <f>ROUNDDOWN((LEN(R381)+1)/2,0)</f>
        <v/>
      </c>
      <c r="Z381" s="14">
        <f>ROUNDDOWN((LEN(S381)+1)/2,0)</f>
        <v/>
      </c>
      <c r="AA381" s="56" t="n">
        <v>46150.55863232517</v>
      </c>
    </row>
    <row r="382" ht="25.5" customHeight="1">
      <c r="B382" s="46" t="inlineStr">
        <is>
          <t>U+11280-U+112A9</t>
        </is>
      </c>
      <c r="C382" s="46" t="inlineStr">
        <is>
          <t>Multani</t>
        </is>
      </c>
      <c r="D382" s="54">
        <f>HEX2DEC(MID(B382,3,FIND("-",E382)-3))</f>
        <v/>
      </c>
      <c r="E382" s="46" t="inlineStr">
        <is>
          <t>U+11280-U+112AF</t>
        </is>
      </c>
      <c r="F382" s="12" t="n">
        <v>4</v>
      </c>
      <c r="J382" s="19">
        <f>ROUNDDOWN(W382,0)/$V382</f>
        <v/>
      </c>
      <c r="K382" s="19">
        <f>ROUNDDOWN(X382,0)/$V382</f>
        <v/>
      </c>
      <c r="L382" s="19">
        <f>ROUNDDOWN(Y382,0)/$V382</f>
        <v/>
      </c>
      <c r="M382" s="19">
        <f>ROUNDDOWN(Z382,0)/$V382</f>
        <v/>
      </c>
      <c r="O382" s="36" t="inlineStr">
        <is>
          <t>𑊀 𑊁 𑊂 𑊃 𑊄 𑊅 𑊆 𑊈 𑊊 𑊋 𑊌 𑊍 𑊏 𑊐 𑊑 𑊒 𑊓 𑊔 𑊕 𑊖 𑊗 𑊘 𑊙 𑊚 𑊛 𑊜 𑊝 𑊟 𑊠 𑊡 𑊢 𑊣 𑊤 𑊥 𑊦 𑊧 𑊨 𑊩</t>
        </is>
      </c>
      <c r="P382" s="37" t="inlineStr">
        <is>
          <t>𑊀 𑊁 𑊂 𑊃 𑊄 𑊅 𑊆 𑊈 𑊊 𑊋 𑊌 𑊍 𑊏 𑊐 𑊑 𑊒 𑊓 𑊔 𑊕 𑊖 𑊗 𑊘 𑊙 𑊚 𑊛 𑊜 𑊝 𑊟 𑊠 𑊡 𑊢 𑊣 𑊤 𑊥 𑊦 𑊧 𑊨 𑊩</t>
        </is>
      </c>
      <c r="Q382" s="38" t="inlineStr">
        <is>
          <t>𑊀 𑊁 𑊂 𑊃 𑊄 𑊅 𑊆 𑊈 𑊊 𑊋 𑊌 𑊍 𑊏 𑊐 𑊑 𑊒 𑊓 𑊔 𑊕 𑊖 𑊗 𑊘 𑊙 𑊚 𑊛 𑊜 𑊝 𑊟 𑊠 𑊡 𑊢 𑊣 𑊤 𑊥 𑊦 𑊧 𑊨 𑊩</t>
        </is>
      </c>
      <c r="R382" s="43" t="inlineStr"/>
      <c r="S382" s="40" t="n"/>
      <c r="V382" s="14">
        <f>(LEN(O382)+1)/2</f>
        <v/>
      </c>
      <c r="W382" s="14">
        <f>ROUNDDOWN((LEN(P382)+1)/2,0)</f>
        <v/>
      </c>
      <c r="X382" s="14">
        <f>ROUNDDOWN((LEN(Q382)+1)/2,0)</f>
        <v/>
      </c>
      <c r="Y382" s="14">
        <f>ROUNDDOWN((LEN(R382)+1)/2,0)</f>
        <v/>
      </c>
      <c r="Z382" s="14">
        <f>ROUNDDOWN((LEN(S382)+1)/2,0)</f>
        <v/>
      </c>
      <c r="AA382" s="56" t="n">
        <v>46150.55863260863</v>
      </c>
    </row>
    <row r="383" ht="38.25" customHeight="1">
      <c r="B383" s="46" t="inlineStr">
        <is>
          <t>U+112B0-U+112F9</t>
        </is>
      </c>
      <c r="C383" s="46" t="inlineStr">
        <is>
          <t>Khudawadi</t>
        </is>
      </c>
      <c r="D383" s="54">
        <f>HEX2DEC(MID(B383,3,FIND("-",E383)-3))</f>
        <v/>
      </c>
      <c r="E383" s="46" t="inlineStr">
        <is>
          <t>U+112B0-U+112FF</t>
        </is>
      </c>
      <c r="F383" s="12" t="n">
        <v>4</v>
      </c>
      <c r="J383" s="19">
        <f>ROUNDDOWN(W383,0)/$V383</f>
        <v/>
      </c>
      <c r="K383" s="19">
        <f>ROUNDDOWN(X383,0)/$V383</f>
        <v/>
      </c>
      <c r="L383" s="19">
        <f>ROUNDDOWN(Y383,0)/$V383</f>
        <v/>
      </c>
      <c r="M383" s="19">
        <f>ROUNDDOWN(Z383,0)/$V383</f>
        <v/>
      </c>
      <c r="O383" s="36" t="inlineStr">
        <is>
          <t>𑊰 𑊱 𑊲 𑊳 𑊴 𑊵 𑊶 𑊷 𑊸 𑊹 𑊺 𑊻 𑊼 𑊽 𑊾 𑊿 𑋀 𑋁 𑋂 𑋃 𑋄 𑋅 𑋆 𑋇 𑋈 𑋉 𑋊 𑋋 𑋌 𑋍 𑋎 𑋏 𑋐 𑋑 𑋒 𑋓 𑋔 𑋕 𑋖 𑋗 𑋘 𑋙 𑋚 𑋛 𑋜 𑋝 𑋞 𑋟 𑋠 𑋡 𑋢 𑋣 𑋤 𑋥 𑋦 𑋧 𑋨 𑋩 𑋪 𑋰 𑋱 𑋲 𑋳 𑋴 𑋵 𑋶 𑋷 𑋸 𑋹</t>
        </is>
      </c>
      <c r="P383" s="37" t="inlineStr">
        <is>
          <t>𑊰 𑊱 𑊲 𑊳 𑊴 𑊵 𑊶 𑊷 𑊸 𑊹 𑊺 𑊻 𑊼 𑊽 𑊾 𑊿 𑋀 𑋁 𑋂 𑋃 𑋄 𑋅 𑋆 𑋇 𑋈 𑋉 𑋊 𑋋 𑋌 𑋍 𑋎 𑋏 𑋐 𑋑 𑋒 𑋓 𑋔 𑋕 𑋖 𑋗 𑋘 𑋙 𑋚 𑋛 𑋜 𑋝 𑋞 𑋰 𑋱 𑋲 𑋳 𑋴 𑋵 𑋶 𑋷 𑋸 𑋹</t>
        </is>
      </c>
      <c r="Q383" s="38" t="inlineStr">
        <is>
          <t>𑊰 𑊱 𑊲 𑊳 𑊴 𑊵 𑊶 𑊷 𑊹 𑊺 𑊻 𑊼 𑊽 𑊾 𑊿 𑋀 𑋁 𑋂 𑋃 𑋄 𑋅 𑋆 𑋇 𑋈 𑋉 𑋊 𑋋 𑋌 𑋍 𑋎 𑋏 𑋐 𑋑 𑋒 𑋓 𑋔 𑋕 𑋖 𑋗 𑋘 𑋙 𑋚 𑋛 𑋜 𑋝 𑋞</t>
        </is>
      </c>
      <c r="R383" s="43" t="inlineStr"/>
      <c r="S383" s="40" t="n"/>
      <c r="V383" s="14">
        <f>(LEN(O383)+1)/2</f>
        <v/>
      </c>
      <c r="W383" s="14">
        <f>ROUNDDOWN((LEN(P383)+1)/2,0)</f>
        <v/>
      </c>
      <c r="X383" s="14">
        <f>ROUNDDOWN((LEN(Q383)+1)/2,0)</f>
        <v/>
      </c>
      <c r="Y383" s="14">
        <f>ROUNDDOWN((LEN(R383)+1)/2,0)</f>
        <v/>
      </c>
      <c r="Z383" s="14">
        <f>ROUNDDOWN((LEN(S383)+1)/2,0)</f>
        <v/>
      </c>
      <c r="AA383" s="56" t="n">
        <v>46150.55863291577</v>
      </c>
    </row>
    <row r="384" ht="38.25" customHeight="1">
      <c r="B384" s="46" t="inlineStr">
        <is>
          <t>U+11300-U+11374</t>
        </is>
      </c>
      <c r="C384" s="46" t="inlineStr">
        <is>
          <t>Grantha</t>
        </is>
      </c>
      <c r="D384" s="54">
        <f>HEX2DEC(MID(B384,3,FIND("-",E384)-3))</f>
        <v/>
      </c>
      <c r="E384" s="46" t="inlineStr">
        <is>
          <t>U+11300-U+1137F</t>
        </is>
      </c>
      <c r="F384" s="12" t="n">
        <v>4</v>
      </c>
      <c r="J384" s="19">
        <f>ROUNDDOWN(W384,0)/$V384</f>
        <v/>
      </c>
      <c r="K384" s="19">
        <f>ROUNDDOWN(X384,0)/$V384</f>
        <v/>
      </c>
      <c r="L384" s="19">
        <f>ROUNDDOWN(Y384,0)/$V384</f>
        <v/>
      </c>
      <c r="M384" s="19">
        <f>ROUNDDOWN(Z384,0)/$V384</f>
        <v/>
      </c>
      <c r="O384" s="36" t="inlineStr">
        <is>
          <t>𑌀 𑌁 𑌂 𑌃 𑌅 𑌆 𑌇 𑌈 𑌉 𑌊 𑌋 𑌌 𑌏 𑌐 𑌓 𑌔 𑌕 𑌖 𑌗 𑌘 𑌙 𑌚 𑌛 𑌜 𑌝 𑌞 𑌟 𑌠 𑌡 𑌢 𑌣 𑌤 𑌥 𑌦 𑌧 𑌨 𑌪 𑌫 𑌬 𑌭 𑌮 𑌯 𑌰 𑌲 𑌳 𑌵 𑌶 𑌷 𑌸 𑌹 𑌻 𑌼 𑌽 𑌾 𑌿 𑍀 𑍁 𑍂 𑍃 𑍄 𑍇 𑍈 𑍋 𑍌 𑍍 𑍐 𑍗 𑍝 𑍞 𑍟 𑍠 𑍡 𑍢 𑍣 𑍦 𑍧 𑍨 𑍩 𑍪 𑍫 𑍬 𑍰 𑍱 𑍲 𑍳 𑍴</t>
        </is>
      </c>
      <c r="P384" s="37" t="inlineStr">
        <is>
          <t>𑌅 𑌆 𑌇 𑌈 𑌉 𑌊 𑌋 𑌌 𑌏 𑌐 𑌓 𑌔 𑌕 𑌖 𑌗 𑌘 𑌙 𑌚 𑌛 𑌜 𑌝 𑌞 𑌟 𑌠 𑌡 𑌢 𑌣 𑌤 𑌥 𑌦 𑌧 𑌨 𑌪 𑌫 𑌬 𑌭 𑌮 𑌯 𑌰 𑌲 𑌳 𑌵 𑌶 𑌷 𑌸 𑌹 𑍐 𑍝 𑍠 𑍡</t>
        </is>
      </c>
      <c r="Q384" s="38" t="inlineStr">
        <is>
          <t>𑌅 𑌆 𑌇 𑌈 𑌉 𑌊 𑌋 𑌌 𑌏 𑌐 𑌓 𑌔 𑌕 𑌖 𑌗 𑌘 𑌙 𑌚 𑌛 𑌜 𑌝 𑌞 𑌟 𑌠 𑌡 𑌢 𑌣 𑌤 𑌥 𑌦 𑌧 𑌨 𑌪 𑌫 𑌬 𑌭 𑌮 𑌯 𑌰 𑌲 𑌳 𑌵 𑌶 𑌷 𑌸 𑌹 𑍐 𑍝 𑍠 𑍡</t>
        </is>
      </c>
      <c r="R384" s="43" t="inlineStr"/>
      <c r="S384" s="40" t="n"/>
      <c r="V384" s="14">
        <f>(LEN(O384)+1)/2</f>
        <v/>
      </c>
      <c r="W384" s="14">
        <f>ROUNDDOWN((LEN(P384)+1)/2,0)</f>
        <v/>
      </c>
      <c r="X384" s="14">
        <f>ROUNDDOWN((LEN(Q384)+1)/2,0)</f>
        <v/>
      </c>
      <c r="Y384" s="14">
        <f>ROUNDDOWN((LEN(R384)+1)/2,0)</f>
        <v/>
      </c>
      <c r="Z384" s="14">
        <f>ROUNDDOWN((LEN(S384)+1)/2,0)</f>
        <v/>
      </c>
      <c r="AA384" s="56" t="n">
        <v>46150.55863324712</v>
      </c>
    </row>
    <row r="385" ht="38.25" customHeight="1">
      <c r="B385" s="46" t="inlineStr">
        <is>
          <t>U+11400-U+11461</t>
        </is>
      </c>
      <c r="C385" s="46" t="inlineStr">
        <is>
          <t>Newa</t>
        </is>
      </c>
      <c r="D385" s="54">
        <f>HEX2DEC(MID(B385,3,FIND("-",E385)-3))</f>
        <v/>
      </c>
      <c r="E385" s="46" t="inlineStr">
        <is>
          <t>U+11400-U+1147F</t>
        </is>
      </c>
      <c r="F385" s="12" t="n">
        <v>4</v>
      </c>
      <c r="J385" s="19">
        <f>ROUNDDOWN(W385,0)/$V385</f>
        <v/>
      </c>
      <c r="K385" s="19">
        <f>ROUNDDOWN(X385,0)/$V385</f>
        <v/>
      </c>
      <c r="L385" s="19">
        <f>ROUNDDOWN(Y385,0)/$V385</f>
        <v/>
      </c>
      <c r="M385" s="19">
        <f>ROUNDDOWN(Z385,0)/$V385</f>
        <v/>
      </c>
      <c r="O385" s="36" t="inlineStr">
        <is>
          <t>𑐀 𑐁 𑐂 𑐃 𑐄 𑐅 𑐆 𑐇 𑐈 𑐉 𑐊 𑐋 𑐌 𑐍 𑐎 𑐏 𑐐 𑐑 𑐒 𑐓 𑐔 𑐕 𑐖 𑐗 𑐘 𑐙 𑐚 𑐛 𑐜 𑐝 𑐞 𑐟 𑐠 𑐡 𑐢 𑐣 𑐤 𑐥 𑐦 𑐧 𑐨 𑐩 𑐪 𑐫 𑐬 𑐭 𑐮 𑐯 𑐰 𑐱 𑐲 𑐳 𑐴 𑐵 𑐶 𑐷 𑐸 𑐹 𑐺 𑐻 𑐼 𑐽 𑐾 𑐿 𑑀 𑑁 𑑂 𑑃 𑑄 𑑅 𑑆 𑑇 𑑈 𑑉 𑑊 𑑋 𑑌 𑑍 𑑎 𑑏 𑑐 𑑑 𑑒 𑑓 𑑔 𑑕 𑑖 𑑗 𑑘 𑑙 𑑚 𑑛 𑑝 𑑞 𑑟 𑑠 𑑡</t>
        </is>
      </c>
      <c r="P385" s="37" t="inlineStr">
        <is>
          <t>𑐀 𑐁 𑐂 𑐃 𑐄 𑐅 𑐆 𑐇 𑐈 𑐉 𑐊 𑐋 𑐌 𑐍 𑐎 𑐏 𑐐 𑐑 𑐒 𑐓 𑐔 𑐕 𑐖 𑐗 𑐘 𑐙 𑐚 𑐛 𑐜 𑐝 𑐞 𑐟 𑐠 𑐡 𑐢 𑐣 𑐤 𑐥 𑐦 𑐧 𑐨 𑐩 𑐪 𑐫 𑐬 𑐭 𑐮 𑐯 𑐰 𑐱 𑐲 𑐳 𑐴 𑑉 𑑊 𑑋 𑑌 𑑍 𑑎 𑑏 𑑐 𑑑 𑑒 𑑓 𑑔 𑑕 𑑖 𑑗 𑑘 𑑙 𑑚 𑑛 𑑝 𑑠 𑑡</t>
        </is>
      </c>
      <c r="Q385" s="38" t="inlineStr">
        <is>
          <t>𑐀 𑐁 𑐂 𑐃 𑐄 𑐅 𑐆 𑐇 𑐈 𑐉 𑐊 𑐋 𑐍 𑐎 𑐏 𑐐 𑐑 𑐒 𑐓 𑐔 𑐕 𑐖 𑐗 𑐘 𑐙 𑐚 𑐛 𑐜 𑐝 𑐞 𑐟 𑐠 𑐡 𑐢 𑐣 𑐤 𑐥 𑐦 𑐧 𑐨 𑐩 𑐪 𑐫 𑐬 𑐭 𑐮 𑐯 𑐰 𑐱 𑐲 𑐳 𑐴 𑑉 𑑊 𑑋 𑑌 𑑍 𑑎 𑑏 𑑚 𑑛 𑑝 𑑠 𑑡</t>
        </is>
      </c>
      <c r="R385" s="43" t="inlineStr"/>
      <c r="S385" s="40" t="n"/>
      <c r="V385" s="14">
        <f>(LEN(O385)+1)/2</f>
        <v/>
      </c>
      <c r="W385" s="14">
        <f>ROUNDDOWN((LEN(P385)+1)/2,0)</f>
        <v/>
      </c>
      <c r="X385" s="14">
        <f>ROUNDDOWN((LEN(Q385)+1)/2,0)</f>
        <v/>
      </c>
      <c r="Y385" s="14">
        <f>ROUNDDOWN((LEN(R385)+1)/2,0)</f>
        <v/>
      </c>
      <c r="Z385" s="14">
        <f>ROUNDDOWN((LEN(S385)+1)/2,0)</f>
        <v/>
      </c>
      <c r="AA385" s="56" t="n">
        <v>46150.55863361784</v>
      </c>
    </row>
    <row r="386" ht="38.25" customHeight="1">
      <c r="B386" s="46" t="inlineStr">
        <is>
          <t>U+11480-U+114D9</t>
        </is>
      </c>
      <c r="C386" s="46" t="inlineStr">
        <is>
          <t>Tirhuta</t>
        </is>
      </c>
      <c r="D386" s="54">
        <f>HEX2DEC(MID(B386,3,FIND("-",E386)-3))</f>
        <v/>
      </c>
      <c r="E386" s="46" t="inlineStr">
        <is>
          <t>U+11480-U+114DF</t>
        </is>
      </c>
      <c r="F386" s="12" t="n">
        <v>4</v>
      </c>
      <c r="J386" s="19">
        <f>ROUNDDOWN(W386,0)/$V386</f>
        <v/>
      </c>
      <c r="K386" s="19">
        <f>ROUNDDOWN(X386,0)/$V386</f>
        <v/>
      </c>
      <c r="L386" s="19">
        <f>ROUNDDOWN(Y386,0)/$V386</f>
        <v/>
      </c>
      <c r="M386" s="19">
        <f>ROUNDDOWN(Z386,0)/$V386</f>
        <v/>
      </c>
      <c r="O386" s="36" t="inlineStr">
        <is>
          <t>𑒀 𑒁 𑒂 𑒃 𑒄 𑒅 𑒆 𑒇 𑒈 𑒉 𑒊 𑒋 𑒌 𑒍 𑒎 𑒏 𑒐 𑒑 𑒒 𑒓 𑒔 𑒕 𑒖 𑒗 𑒘 𑒙 𑒚 𑒛 𑒜 𑒝 𑒞 𑒟 𑒠 𑒡 𑒢 𑒣 𑒤 𑒥 𑒦 𑒧 𑒨 𑒩 𑒪 𑒫 𑒬 𑒭 𑒮 𑒯 𑒰 𑒱 𑒲 𑒳 𑒴 𑒵 𑒶 𑒷 𑒸 𑒹 𑒺 𑒻 𑒼 𑒽 𑒾 𑒿 𑓀 𑓁 𑓂 𑓃 𑓄 𑓅 𑓆 𑓇 𑓐 𑓑 𑓒 𑓓 𑓔 𑓕 𑓖 𑓗 𑓘 𑓙</t>
        </is>
      </c>
      <c r="P386" s="37" t="inlineStr">
        <is>
          <t>𑒀 𑒁 𑒂 𑒃 𑒄 𑒅 𑒆 𑒇 𑒈 𑒉 𑒊 𑒋 𑒌 𑒍 𑒎 𑒏 𑒐 𑒑 𑒒 𑒓 𑒔 𑒕 𑒖 𑒗 𑒘 𑒙 𑒚 𑒛 𑒜 𑒝 𑒞 𑒟 𑒠 𑒡 𑒢 𑒣 𑒤 𑒥 𑒦 𑒧 𑒨 𑒩 𑒪 𑒫 𑒬 𑒭 𑒮 𑒯 𑓅 𑓆 𑓇 𑓐 𑓑 𑓒 𑓓 𑓔 𑓕 𑓖 𑓗 𑓘 𑓙</t>
        </is>
      </c>
      <c r="Q386" s="38" t="inlineStr">
        <is>
          <t>𑒀 𑒁 𑒂 𑒃 𑒄 𑒅 𑒆 𑒇 𑒈 𑒉 𑒊 𑒋 𑒌 𑒎 𑒏 𑒐 𑒑 𑒒 𑒓 𑒔 𑒕 𑒖 𑒗 𑒘 𑒙 𑒚 𑒛 𑒜 𑒝 𑒞 𑒟 𑒠 𑒡 𑒢 𑒣 𑒤 𑒥 𑒦 𑒧 𑒨 𑒩 𑒪 𑒫 𑒬 𑒭 𑒮 𑒯 𑓅 𑓆 𑓇</t>
        </is>
      </c>
      <c r="R386" s="43" t="inlineStr"/>
      <c r="S386" s="40" t="n"/>
      <c r="V386" s="14">
        <f>(LEN(O386)+1)/2</f>
        <v/>
      </c>
      <c r="W386" s="14">
        <f>ROUNDDOWN((LEN(P386)+1)/2,0)</f>
        <v/>
      </c>
      <c r="X386" s="14">
        <f>ROUNDDOWN((LEN(Q386)+1)/2,0)</f>
        <v/>
      </c>
      <c r="Y386" s="14">
        <f>ROUNDDOWN((LEN(R386)+1)/2,0)</f>
        <v/>
      </c>
      <c r="Z386" s="14">
        <f>ROUNDDOWN((LEN(S386)+1)/2,0)</f>
        <v/>
      </c>
      <c r="AA386" s="56" t="n">
        <v>46150.55863394747</v>
      </c>
    </row>
    <row r="387" ht="38.25" customHeight="1">
      <c r="B387" s="46" t="inlineStr">
        <is>
          <t>U+11580-U+115DD</t>
        </is>
      </c>
      <c r="C387" s="46" t="inlineStr">
        <is>
          <t>Siddham</t>
        </is>
      </c>
      <c r="D387" s="54">
        <f>HEX2DEC(MID(B387,3,FIND("-",E387)-3))</f>
        <v/>
      </c>
      <c r="E387" s="46" t="inlineStr">
        <is>
          <t>U+11580-U+115FF</t>
        </is>
      </c>
      <c r="F387" s="12" t="n">
        <v>4</v>
      </c>
      <c r="J387" s="19">
        <f>ROUNDDOWN(W387,0)/$V387</f>
        <v/>
      </c>
      <c r="K387" s="19">
        <f>ROUNDDOWN(X387,0)/$V387</f>
        <v/>
      </c>
      <c r="L387" s="19">
        <f>ROUNDDOWN(Y387,0)/$V387</f>
        <v/>
      </c>
      <c r="M387" s="19">
        <f>ROUNDDOWN(Z387,0)/$V387</f>
        <v/>
      </c>
      <c r="O387" s="36" t="inlineStr">
        <is>
          <t>𑖀 𑖁 𑖂 𑖃 𑖄 𑖅 𑖆 𑖇 𑖈 𑖉 𑖊 𑖋 𑖌 𑖍 𑖎 𑖏 𑖐 𑖑 𑖒 𑖓 𑖔 𑖕 𑖖 𑖗 𑖘 𑖙 𑖚 𑖛 𑖜 𑖝 𑖞 𑖟 𑖠 𑖡 𑖢 𑖣 𑖤 𑖥 𑖦 𑖧 𑖨 𑖩 𑖪 𑖫 𑖬 𑖭 𑖮 𑖯 𑖰 𑖱 𑖲 𑖳 𑖴 𑖵 𑖸 𑖹 𑖺 𑖻 𑖼 𑖽 𑖾 𑖿 𑗀 𑗁 𑗂 𑗃 𑗄 𑗅 𑗆 𑗇 𑗈 𑗉 𑗊 𑗋 𑗌 𑗍 𑗎 𑗏 𑗐 𑗑 𑗒 𑗓 𑗔 𑗕 𑗖 𑗗 𑗘 𑗙 𑗚 𑗛 𑗜 𑗝</t>
        </is>
      </c>
      <c r="P387" s="37" t="inlineStr">
        <is>
          <t>𑖀 𑖁 𑖂 𑖃 𑖄 𑖅 𑖆 𑖇 𑖈 𑖉 𑖊 𑖋 𑖌 𑖍 𑖎 𑖏 𑖐 𑖑 𑖒 𑖓 𑖔 𑖕 𑖖 𑖗 𑖘 𑖙 𑖚 𑖛 𑖜 𑖝 𑖞 𑖟 𑖠 𑖡 𑖢 𑖣 𑖤 𑖥 𑖦 𑖧 𑖨 𑖩 𑖪 𑖫 𑖬 𑖭 𑖮 𑗁 𑗂 𑗃 𑗄 𑗅 𑗆 𑗇 𑗈 𑗉 𑗊 𑗋 𑗌 𑗍 𑗎 𑗏 𑗐 𑗑 𑗒 𑗓 𑗔 𑗕 𑗖 𑗗 𑗘 𑗙 𑗚 𑗛</t>
        </is>
      </c>
      <c r="Q387" s="38" t="inlineStr">
        <is>
          <t>𑖀 𑖁 𑖂 𑖃 𑖄 𑖅 𑖆 𑖇 𑖈 𑖉 𑖊 𑖋 𑖍 𑖎 𑖏 𑖐 𑖑 𑖒 𑖓 𑖔 𑖕 𑖖 𑖗 𑖘 𑖙 𑖚 𑖛 𑖜 𑖝 𑖞 𑖟 𑖠 𑖡 𑖢 𑖣 𑖤 𑖥 𑖦 𑖧 𑖨 𑖩 𑖪 𑖫 𑖬 𑖭 𑖮 𑗁 𑗂 𑗃 𑗄 𑗅 𑗆 𑗇 𑗈 𑗉 𑗏 𑗘 𑗙 𑗚 𑗛</t>
        </is>
      </c>
      <c r="R387" s="43" t="inlineStr"/>
      <c r="S387" s="40" t="n"/>
      <c r="V387" s="14">
        <f>(LEN(O387)+1)/2</f>
        <v/>
      </c>
      <c r="W387" s="14">
        <f>ROUNDDOWN((LEN(P387)+1)/2,0)</f>
        <v/>
      </c>
      <c r="X387" s="14">
        <f>ROUNDDOWN((LEN(Q387)+1)/2,0)</f>
        <v/>
      </c>
      <c r="Y387" s="14">
        <f>ROUNDDOWN((LEN(R387)+1)/2,0)</f>
        <v/>
      </c>
      <c r="Z387" s="14">
        <f>ROUNDDOWN((LEN(S387)+1)/2,0)</f>
        <v/>
      </c>
      <c r="AA387" s="56" t="n">
        <v>46150.55863430973</v>
      </c>
    </row>
    <row r="388" ht="38.25" customHeight="1">
      <c r="B388" s="46" t="inlineStr">
        <is>
          <t>U+11600-U+11659</t>
        </is>
      </c>
      <c r="C388" s="46" t="inlineStr">
        <is>
          <t>Modi</t>
        </is>
      </c>
      <c r="D388" s="54">
        <f>HEX2DEC(MID(B388,3,FIND("-",E388)-3))</f>
        <v/>
      </c>
      <c r="E388" s="46" t="inlineStr">
        <is>
          <t>U+11600-U+1165F</t>
        </is>
      </c>
      <c r="F388" s="12" t="n">
        <v>4</v>
      </c>
      <c r="J388" s="19">
        <f>ROUNDDOWN(W388,0)/$V388</f>
        <v/>
      </c>
      <c r="K388" s="19">
        <f>ROUNDDOWN(X388,0)/$V388</f>
        <v/>
      </c>
      <c r="L388" s="19">
        <f>ROUNDDOWN(Y388,0)/$V388</f>
        <v/>
      </c>
      <c r="M388" s="19">
        <f>ROUNDDOWN(Z388,0)/$V388</f>
        <v/>
      </c>
      <c r="O388" s="36" t="inlineStr">
        <is>
          <t>𑘀 𑘁 𑘂 𑘃 𑘄 𑘅 𑘆 𑘇 𑘈 𑘉 𑘊 𑘋 𑘌 𑘍 𑘎 𑘏 𑘐 𑘑 𑘒 𑘓 𑘔 𑘕 𑘖 𑘗 𑘘 𑘙 𑘚 𑘛 𑘜 𑘝 𑘞 𑘟 𑘠 𑘡 𑘢 𑘣 𑘤 𑘥 𑘦 𑘧 𑘨 𑘩 𑘪 𑘫 𑘬 𑘭 𑘮 𑘯 𑘰 𑘱 𑘲 𑘳 𑘴 𑘵 𑘶 𑘷 𑘸 𑘹 𑘺 𑘻 𑘼 𑘽 𑘾 𑘿 𑙀 𑙁 𑙂 𑙃 𑙄 𑙐 𑙑 𑙒 𑙓 𑙔 𑙕 𑙖 𑙗 𑙘 𑙙</t>
        </is>
      </c>
      <c r="P388" s="37" t="inlineStr">
        <is>
          <t>𑘀 𑘁 𑘂 𑘃 𑘄 𑘅 𑘆 𑘇 𑘈 𑘉 𑘊 𑘋 𑘌 𑘍 𑘎 𑘏 𑘐 𑘑 𑘒 𑘓 𑘔 𑘕 𑘖 𑘗 𑘘 𑘙 𑘚 𑘛 𑘜 𑘝 𑘞 𑘟 𑘠 𑘡 𑘢 𑘣 𑘤 𑘥 𑘦 𑘧 𑘨 𑘩 𑘪 𑘫 𑘬 𑘭 𑘮 𑘯 𑙁 𑙂 𑙃 𑙄 𑙐 𑙑 𑙒 𑙓 𑙔 𑙕 𑙖 𑙗 𑙘 𑙙</t>
        </is>
      </c>
      <c r="Q388" s="38" t="inlineStr">
        <is>
          <t>𑘀 𑘁 𑘂 𑘃 𑘄 𑘅 𑘆 𑘇 𑘈 𑘉 𑘊 𑘋 𑘍 𑘎 𑘏 𑘐 𑘑 𑘒 𑘓 𑘔 𑘕 𑘖 𑘗 𑘘 𑘙 𑘚 𑘛 𑘜 𑘝 𑘞 𑘟 𑘠 𑘡 𑘢 𑘣 𑘤 𑘥 𑘦 𑘧 𑘨 𑘩 𑘪 𑘫 𑘬 𑘭 𑘮 𑘯 𑙁 𑙂 𑙃 𑙄</t>
        </is>
      </c>
      <c r="R388" s="43" t="inlineStr"/>
      <c r="S388" s="40" t="n"/>
      <c r="V388" s="14">
        <f>(LEN(O388)+1)/2</f>
        <v/>
      </c>
      <c r="W388" s="14">
        <f>ROUNDDOWN((LEN(P388)+1)/2,0)</f>
        <v/>
      </c>
      <c r="X388" s="14">
        <f>ROUNDDOWN((LEN(Q388)+1)/2,0)</f>
        <v/>
      </c>
      <c r="Y388" s="14">
        <f>ROUNDDOWN((LEN(R388)+1)/2,0)</f>
        <v/>
      </c>
      <c r="Z388" s="14">
        <f>ROUNDDOWN((LEN(S388)+1)/2,0)</f>
        <v/>
      </c>
      <c r="AA388" s="56" t="n">
        <v>46150.5586346343</v>
      </c>
    </row>
    <row r="389" ht="25.5" customHeight="1">
      <c r="B389" s="46" t="inlineStr">
        <is>
          <t>U+11660-U+1166C</t>
        </is>
      </c>
      <c r="C389" s="46" t="inlineStr">
        <is>
          <t>Mongolian Supplement</t>
        </is>
      </c>
      <c r="D389" s="54">
        <f>HEX2DEC(MID(B389,3,FIND("-",E389)-3))</f>
        <v/>
      </c>
      <c r="E389" s="46" t="inlineStr">
        <is>
          <t>U+11660-U+1167F</t>
        </is>
      </c>
      <c r="F389" s="12" t="n">
        <v>4</v>
      </c>
      <c r="J389" s="19">
        <f>ROUNDDOWN(W389,0)/$V389</f>
        <v/>
      </c>
      <c r="K389" s="19">
        <f>ROUNDDOWN(X389,0)/$V389</f>
        <v/>
      </c>
      <c r="L389" s="19">
        <f>ROUNDDOWN(Y389,0)/$V389</f>
        <v/>
      </c>
      <c r="M389" s="19">
        <f>ROUNDDOWN(Z389,0)/$V389</f>
        <v/>
      </c>
      <c r="O389" s="36" t="inlineStr">
        <is>
          <t>𑙠 𑙡 𑙢 𑙣 𑙤 𑙥 𑙦 𑙧 𑙨 𑙩 𑙪 𑙫 𑙬</t>
        </is>
      </c>
      <c r="P389" s="37" t="inlineStr">
        <is>
          <t>𑙠 𑙡 𑙢 𑙣 𑙤 𑙥 𑙦 𑙧 𑙨 𑙩 𑙪 𑙫 𑙬</t>
        </is>
      </c>
      <c r="Q389" s="38" t="inlineStr">
        <is>
          <t>𑙡 𑙧 𑙩</t>
        </is>
      </c>
      <c r="R389" s="43" t="inlineStr"/>
      <c r="S389" s="40" t="n"/>
      <c r="V389" s="14">
        <f>(LEN(O389)+1)/2</f>
        <v/>
      </c>
      <c r="W389" s="14">
        <f>ROUNDDOWN((LEN(P389)+1)/2,0)</f>
        <v/>
      </c>
      <c r="X389" s="14">
        <f>ROUNDDOWN((LEN(Q389)+1)/2,0)</f>
        <v/>
      </c>
      <c r="Y389" s="14">
        <f>ROUNDDOWN((LEN(R389)+1)/2,0)</f>
        <v/>
      </c>
      <c r="Z389" s="14">
        <f>ROUNDDOWN((LEN(S389)+1)/2,0)</f>
        <v/>
      </c>
      <c r="AA389" s="56" t="n">
        <v>46150.55863479148</v>
      </c>
    </row>
    <row r="390" ht="38.25" customHeight="1">
      <c r="B390" s="46" t="inlineStr">
        <is>
          <t>U+11680-U+116C9</t>
        </is>
      </c>
      <c r="C390" s="46" t="inlineStr">
        <is>
          <t>Takri</t>
        </is>
      </c>
      <c r="D390" s="54">
        <f>HEX2DEC(MID(B390,3,FIND("-",E390)-3))</f>
        <v/>
      </c>
      <c r="E390" s="46" t="inlineStr">
        <is>
          <t>U+11680-U+116CF</t>
        </is>
      </c>
      <c r="F390" s="12" t="n">
        <v>4</v>
      </c>
      <c r="J390" s="19">
        <f>ROUNDDOWN(W390,0)/$V390</f>
        <v/>
      </c>
      <c r="K390" s="19">
        <f>ROUNDDOWN(X390,0)/$V390</f>
        <v/>
      </c>
      <c r="L390" s="19">
        <f>ROUNDDOWN(Y390,0)/$V390</f>
        <v/>
      </c>
      <c r="M390" s="19">
        <f>ROUNDDOWN(Z390,0)/$V390</f>
        <v/>
      </c>
      <c r="O390" s="36" t="inlineStr">
        <is>
          <t>𑚀 𑚁 𑚂 𑚃 𑚄 𑚅 𑚆 𑚇 𑚈 𑚉 𑚊 𑚋 𑚌 𑚍 𑚎 𑚏 𑚐 𑚑 𑚒 𑚓 𑚔 𑚕 𑚖 𑚗 𑚘 𑚙 𑚚 𑚛 𑚜 𑚝 𑚞 𑚟 𑚠 𑚡 𑚢 𑚣 𑚤 𑚥 𑚦 𑚧 𑚨 𑚩 𑚪 𑚫 𑚬 𑚭 𑚮 𑚯 𑚰 𑚱 𑚲 𑚳 𑚴 𑚵 𑚶 𑚷 𑚸 𑚹 𑛀 𑛁 𑛂 𑛃 𑛄 𑛅 𑛆 𑛇 𑛈 𑛉</t>
        </is>
      </c>
      <c r="P390" s="37" t="inlineStr">
        <is>
          <t>𑚀 𑚁 𑚂 𑚃 𑚄 𑚅 𑚆 𑚇 𑚈 𑚉 𑚊 𑚋 𑚌 𑚍 𑚎 𑚏 𑚐 𑚑 𑚒 𑚓 𑚔 𑚕 𑚖 𑚗 𑚘 𑚙 𑚚 𑚛 𑚜 𑚝 𑚞 𑚟 𑚠 𑚡 𑚢 𑚣 𑚤 𑚥 𑚦 𑚧 𑚨 𑚩 𑚪 𑚸 𑚹 𑛀 𑛁 𑛂 𑛃 𑛄 𑛅 𑛆 𑛇 𑛈 𑛉</t>
        </is>
      </c>
      <c r="Q390" s="38" t="inlineStr">
        <is>
          <t>𑚀 𑚁 𑚂 𑚃 𑚄 𑚅 𑚆 𑚇 𑚉 𑚊 𑚋 𑚌 𑚍 𑚎 𑚏 𑚐 𑚑 𑚒 𑚓 𑚔 𑚕 𑚖 𑚗 𑚘 𑚙 𑚚 𑚛 𑚜 𑚝 𑚞 𑚟 𑚠 𑚡 𑚢 𑚣 𑚤 𑚥 𑚦 𑚧 𑚨 𑚩 𑚪 𑚸 𑚹</t>
        </is>
      </c>
      <c r="R390" s="43" t="inlineStr"/>
      <c r="S390" s="40" t="n"/>
      <c r="V390" s="14">
        <f>(LEN(O390)+1)/2</f>
        <v/>
      </c>
      <c r="W390" s="14">
        <f>ROUNDDOWN((LEN(P390)+1)/2,0)</f>
        <v/>
      </c>
      <c r="X390" s="14">
        <f>ROUNDDOWN((LEN(Q390)+1)/2,0)</f>
        <v/>
      </c>
      <c r="Y390" s="14">
        <f>ROUNDDOWN((LEN(R390)+1)/2,0)</f>
        <v/>
      </c>
      <c r="Z390" s="14">
        <f>ROUNDDOWN((LEN(S390)+1)/2,0)</f>
        <v/>
      </c>
      <c r="AA390" s="56" t="n">
        <v>46150.55863509799</v>
      </c>
    </row>
    <row r="391" ht="25.5" customHeight="1">
      <c r="B391" s="46" t="inlineStr">
        <is>
          <t>U+11700-U+11746</t>
        </is>
      </c>
      <c r="C391" s="46" t="inlineStr">
        <is>
          <t>Ahom</t>
        </is>
      </c>
      <c r="D391" s="54">
        <f>HEX2DEC(MID(B391,3,FIND("-",E391)-3))</f>
        <v/>
      </c>
      <c r="E391" s="46" t="inlineStr">
        <is>
          <t>U+11700-U+1174F</t>
        </is>
      </c>
      <c r="F391" s="12" t="n">
        <v>4</v>
      </c>
      <c r="J391" s="19">
        <f>ROUNDDOWN(W391,0)/$V391</f>
        <v/>
      </c>
      <c r="K391" s="19">
        <f>ROUNDDOWN(X391,0)/$V391</f>
        <v/>
      </c>
      <c r="L391" s="19">
        <f>ROUNDDOWN(Y391,0)/$V391</f>
        <v/>
      </c>
      <c r="M391" s="19">
        <f>ROUNDDOWN(Z391,0)/$V391</f>
        <v/>
      </c>
      <c r="O391" s="36" t="inlineStr">
        <is>
          <t>𑜀 𑜁 𑜂 𑜃 𑜄 𑜅 𑜆 𑜇 𑜈 𑜉 𑜊 𑜋 𑜌 𑜍 𑜎 𑜏 𑜐 𑜑 𑜒 𑜓 𑜔 𑜕 𑜖 𑜗 𑜘 𑜙 𑜚 𑜝 𑜞 𑜟 𑜠 𑜡 𑜢 𑜣 𑜤 𑜥 𑜦 𑜧 𑜨 𑜩 𑜪 𑜫 𑜰 𑜱 𑜲 𑜳 𑜴 𑜵 𑜶 𑜷 𑜸 𑜹 𑜺 𑜻 𑜼 𑜽 𑜾 𑜿 𑝀 𑝁 𑝂 𑝃 𑝄 𑝅 𑝆</t>
        </is>
      </c>
      <c r="P391" s="37" t="inlineStr">
        <is>
          <t>𑜀 𑜁 𑜂 𑜃 𑜄 𑜅 𑜆 𑜇 𑜈 𑜉 𑜊 𑜋 𑜌 𑜍 𑜎 𑜏 𑜐 𑜑 𑜒 𑜓 𑜔 𑜕 𑜖 𑜗 𑜘 𑜙 𑜚 𑜰 𑜱 𑜲 𑜳 𑜴 𑜵 𑜶 𑜷 𑜸 𑜹 𑜺 𑜻 𑜼 𑜽 𑜾 𑜿 𑝀 𑝁 𑝂 𑝃 𑝄 𑝅 𑝆</t>
        </is>
      </c>
      <c r="Q391" s="38" t="inlineStr">
        <is>
          <t>𑜀 𑜁 𑜂 𑜃 𑜄 𑜅 𑜆 𑜇 𑜈 𑜉 𑜊 𑜋 𑜌 𑜍 𑜎 𑜏 𑜐 𑜑 𑜒 𑜓 𑜔 𑜕 𑜖 𑜗 𑜘 𑜙 𑜚 𑜼 𑜽 𑜾 𑜿 𑝀 𑝁 𑝂 𑝃 𑝄 𑝅 𑝆</t>
        </is>
      </c>
      <c r="R391" s="43" t="inlineStr"/>
      <c r="S391" s="40" t="n"/>
      <c r="V391" s="14">
        <f>(LEN(O391)+1)/2</f>
        <v/>
      </c>
      <c r="W391" s="14">
        <f>ROUNDDOWN((LEN(P391)+1)/2,0)</f>
        <v/>
      </c>
      <c r="X391" s="14">
        <f>ROUNDDOWN((LEN(Q391)+1)/2,0)</f>
        <v/>
      </c>
      <c r="Y391" s="14">
        <f>ROUNDDOWN((LEN(R391)+1)/2,0)</f>
        <v/>
      </c>
      <c r="Z391" s="14">
        <f>ROUNDDOWN((LEN(S391)+1)/2,0)</f>
        <v/>
      </c>
      <c r="AA391" s="56" t="n">
        <v>46150.558635367</v>
      </c>
    </row>
    <row r="392" ht="25.5" customHeight="1">
      <c r="B392" s="46" t="inlineStr">
        <is>
          <t>U+11800-U+1183B</t>
        </is>
      </c>
      <c r="C392" s="46" t="inlineStr">
        <is>
          <t>Dogra</t>
        </is>
      </c>
      <c r="D392" s="54">
        <f>HEX2DEC(MID(B392,3,FIND("-",E392)-3))</f>
        <v/>
      </c>
      <c r="E392" s="46" t="inlineStr">
        <is>
          <t>U+11800-U+1184F</t>
        </is>
      </c>
      <c r="F392" s="12" t="n">
        <v>4</v>
      </c>
      <c r="J392" s="19">
        <f>ROUNDDOWN(W392,0)/$V392</f>
        <v/>
      </c>
      <c r="K392" s="19">
        <f>ROUNDDOWN(X392,0)/$V392</f>
        <v/>
      </c>
      <c r="L392" s="19">
        <f>ROUNDDOWN(Y392,0)/$V392</f>
        <v/>
      </c>
      <c r="M392" s="19">
        <f>ROUNDDOWN(Z392,0)/$V392</f>
        <v/>
      </c>
      <c r="O392" s="36" t="inlineStr">
        <is>
          <t>𑠀 𑠁 𑠂 𑠃 𑠄 𑠅 𑠆 𑠇 𑠈 𑠉 𑠊 𑠋 𑠌 𑠍 𑠎 𑠏 𑠐 𑠑 𑠒 𑠓 𑠔 𑠕 𑠖 𑠗 𑠘 𑠙 𑠚 𑠛 𑠜 𑠝 𑠞 𑠟 𑠠 𑠡 𑠢 𑠣 𑠤 𑠥 𑠦 𑠧 𑠨 𑠩 𑠪 𑠫 𑠬 𑠭 𑠮 𑠯 𑠰 𑠱 𑠲 𑠳 𑠴 𑠵 𑠶 𑠷 𑠸 𑠹 𑠺 𑠻</t>
        </is>
      </c>
      <c r="P392" s="37" t="inlineStr">
        <is>
          <t>𑠀 𑠁 𑠂 𑠃 𑠄 𑠅 𑠆 𑠇 𑠈 𑠉 𑠊 𑠋 𑠌 𑠍 𑠎 𑠏 𑠐 𑠑 𑠒 𑠓 𑠔 𑠕 𑠖 𑠗 𑠘 𑠙 𑠚 𑠛 𑠜 𑠝 𑠞 𑠟 𑠠 𑠡 𑠢 𑠣 𑠤 𑠥 𑠦 𑠧 𑠨 𑠩 𑠪 𑠫 𑠻</t>
        </is>
      </c>
      <c r="Q392" s="38" t="inlineStr">
        <is>
          <t>𑠀 𑠁 𑠂 𑠃 𑠄 𑠅 𑠆 𑠇 𑠉 𑠊 𑠋 𑠌 𑠍 𑠎 𑠏 𑠐 𑠑 𑠒 𑠓 𑠔 𑠕 𑠖 𑠗 𑠘 𑠙 𑠚 𑠛 𑠜 𑠝 𑠞 𑠟 𑠠 𑠡 𑠢 𑠣 𑠤 𑠥 𑠦 𑠧 𑠨 𑠩 𑠪 𑠫 𑠻</t>
        </is>
      </c>
      <c r="R392" s="43" t="inlineStr"/>
      <c r="S392" s="40" t="n"/>
      <c r="V392" s="14">
        <f>(LEN(O392)+1)/2</f>
        <v/>
      </c>
      <c r="W392" s="14">
        <f>ROUNDDOWN((LEN(P392)+1)/2,0)</f>
        <v/>
      </c>
      <c r="X392" s="14">
        <f>ROUNDDOWN((LEN(Q392)+1)/2,0)</f>
        <v/>
      </c>
      <c r="Y392" s="14">
        <f>ROUNDDOWN((LEN(R392)+1)/2,0)</f>
        <v/>
      </c>
      <c r="Z392" s="14">
        <f>ROUNDDOWN((LEN(S392)+1)/2,0)</f>
        <v/>
      </c>
      <c r="AA392" s="56" t="n">
        <v>46150.55863566948</v>
      </c>
    </row>
    <row r="393" ht="38.25" customHeight="1">
      <c r="B393" s="46" t="inlineStr">
        <is>
          <t>U+118A0-U+118FF</t>
        </is>
      </c>
      <c r="C393" s="46" t="inlineStr">
        <is>
          <t>Warang Citi</t>
        </is>
      </c>
      <c r="D393" s="54">
        <f>HEX2DEC(MID(B393,3,FIND("-",E393)-3))</f>
        <v/>
      </c>
      <c r="E393" s="46" t="inlineStr">
        <is>
          <t>U+118A0-U+118FF</t>
        </is>
      </c>
      <c r="F393" s="12" t="n">
        <v>4</v>
      </c>
      <c r="J393" s="19">
        <f>ROUNDDOWN(W393,0)/$V393</f>
        <v/>
      </c>
      <c r="K393" s="19">
        <f>ROUNDDOWN(X393,0)/$V393</f>
        <v/>
      </c>
      <c r="L393" s="19">
        <f>ROUNDDOWN(Y393,0)/$V393</f>
        <v/>
      </c>
      <c r="M393" s="19">
        <f>ROUNDDOWN(Z393,0)/$V393</f>
        <v/>
      </c>
      <c r="O393" s="36" t="inlineStr">
        <is>
          <t>𑢠 𑢡 𑢢 𑢣 𑢤 𑢥 𑢦 𑢧 𑢨 𑢩 𑢪 𑢫 𑢬 𑢭 𑢮 𑢯 𑢰 𑢱 𑢲 𑢳 𑢴 𑢵 𑢶 𑢷 𑢸 𑢹 𑢺 𑢻 𑢼 𑢽 𑢾 𑢿 𑣀 𑣁 𑣂 𑣃 𑣄 𑣅 𑣆 𑣇 𑣈 𑣉 𑣊 𑣋 𑣌 𑣍 𑣎 𑣏 𑣐 𑣑 𑣒 𑣓 𑣔 𑣕 𑣖 𑣗 𑣘 𑣙 𑣚 𑣛 𑣜 𑣝 𑣞 𑣟 𑣠 𑣡 𑣢 𑣣 𑣤 𑣥 𑣦 𑣧 𑣨 𑣩 𑣪 𑣫 𑣬 𑣭 𑣮 𑣯 𑣰 𑣱 𑣲 𑣿</t>
        </is>
      </c>
      <c r="P393" s="37" t="inlineStr">
        <is>
          <t>𑢠 𑢡 𑢢 𑢣 𑢤 𑢥 𑢦 𑢧 𑢨 𑢩 𑢪 𑢫 𑢬 𑢭 𑢮 𑢯 𑢰 𑢱 𑢲 𑢳 𑢴 𑢵 𑢶 𑢷 𑢸 𑢹 𑢺 𑢻 𑢼 𑢽 𑢾 𑢿 𑣀 𑣁 𑣂 𑣃 𑣄 𑣅 𑣆 𑣇 𑣈 𑣉 𑣊 𑣋 𑣌 𑣍 𑣎 𑣏 𑣐 𑣑 𑣒 𑣓 𑣔 𑣕 𑣖 𑣗 𑣘 𑣙 𑣚 𑣛 𑣜 𑣝 𑣞 𑣟 𑣠 𑣡 𑣢 𑣣 𑣤 𑣥 𑣦 𑣧 𑣨 𑣩 𑣪 𑣫 𑣬 𑣭 𑣮 𑣯 𑣰 𑣱 𑣲 𑣿</t>
        </is>
      </c>
      <c r="Q393" s="38" t="inlineStr">
        <is>
          <t>𑣀 𑣁 𑣂 𑣃 𑣄 𑣅 𑣆 𑣇 𑣈 𑣊 𑣋 𑣌 𑣍 𑣎 𑣏 𑣐 𑣑 𑣒 𑣓 𑣔 𑣕 𑣖 𑣗 𑣘 𑣙 𑣚 𑣛 𑣜 𑣝 𑣞 𑣟 𑣿</t>
        </is>
      </c>
      <c r="R393" s="43" t="inlineStr"/>
      <c r="S393" s="40" t="n"/>
      <c r="V393" s="14">
        <f>(LEN(O393)+1)/2</f>
        <v/>
      </c>
      <c r="W393" s="14">
        <f>ROUNDDOWN((LEN(P393)+1)/2,0)</f>
        <v/>
      </c>
      <c r="X393" s="14">
        <f>ROUNDDOWN((LEN(Q393)+1)/2,0)</f>
        <v/>
      </c>
      <c r="Y393" s="14">
        <f>ROUNDDOWN((LEN(R393)+1)/2,0)</f>
        <v/>
      </c>
      <c r="Z393" s="14">
        <f>ROUNDDOWN((LEN(S393)+1)/2,0)</f>
        <v/>
      </c>
      <c r="AA393" s="56" t="n">
        <v>46150.55863589518</v>
      </c>
    </row>
    <row r="394" ht="38.25" customHeight="1">
      <c r="B394" s="46" t="inlineStr">
        <is>
          <t>U+11900-U+11959</t>
        </is>
      </c>
      <c r="C394" s="46" t="inlineStr">
        <is>
          <t>Dives Akuru</t>
        </is>
      </c>
      <c r="D394" s="54">
        <f>HEX2DEC(MID(B394,3,FIND("-",E394)-3))</f>
        <v/>
      </c>
      <c r="E394" s="46" t="inlineStr">
        <is>
          <t>U+11900-U+1195F</t>
        </is>
      </c>
      <c r="F394" s="12" t="n">
        <v>4</v>
      </c>
      <c r="J394" s="19">
        <f>ROUNDDOWN(W394,0)/$V394</f>
        <v/>
      </c>
      <c r="K394" s="19">
        <f>ROUNDDOWN(X394,0)/$V394</f>
        <v/>
      </c>
      <c r="L394" s="19">
        <f>ROUNDDOWN(Y394,0)/$V394</f>
        <v/>
      </c>
      <c r="M394" s="19">
        <f>ROUNDDOWN(Z394,0)/$V394</f>
        <v/>
      </c>
      <c r="O394" s="36" t="inlineStr">
        <is>
          <t>𑤀 𑤁 𑤂 𑤃 𑤄 𑤅 𑤆 𑤉 𑤌 𑤍 𑤎 𑤏 𑤐 𑤑 𑤒 𑤓 𑤕 𑤖 𑤘 𑤙 𑤚 𑤛 𑤜 𑤝 𑤞 𑤟 𑤠 𑤡 𑤢 𑤣 𑤤 𑤥 𑤦 𑤧 𑤨 𑤩 𑤪 𑤫 𑤬 𑤭 𑤮 𑤯 𑤰 𑤱 𑤲 𑤳 𑤴 𑤵 𑤷 𑤸 𑤻 𑤼 𑤽 𑤾 𑤿 𑥀 𑥁 𑥂 𑥃 𑥄 𑥅 𑥆 𑥐 𑥑 𑥒 𑥓 𑥔 𑥕 𑥖 𑥗 𑥘 𑥙</t>
        </is>
      </c>
      <c r="P394" s="37" t="inlineStr">
        <is>
          <t>𑤀 𑤁 𑤂 𑤃 𑤄 𑤅 𑤆 𑤉 𑤌 𑤍 𑤎 𑤏 𑤐 𑤑 𑤒 𑤓 𑤕 𑤖 𑤘 𑤙 𑤚 𑤛 𑤜 𑤝 𑤞 𑤟 𑤠 𑤡 𑤢 𑤣 𑤤 𑤥 𑤦 𑤧 𑤨 𑤩 𑤪 𑤫 𑤬 𑤭 𑤮 𑤯 𑤿 𑥁 𑥄 𑥅 𑥆 𑥐 𑥑 𑥒 𑥓 𑥔 𑥕 𑥖 𑥗 𑥘 𑥙</t>
        </is>
      </c>
      <c r="Q394" s="38" t="inlineStr">
        <is>
          <t>𑤀 𑤁 𑤂 𑤃 𑤄 𑤅 𑤆 𑤌 𑤍 𑤎 𑤏 𑤐 𑤑 𑤒 𑤓 𑤕 𑤖 𑤘 𑤙 𑤚 𑤛 𑤜 𑤝 𑤞 𑤟 𑤠 𑤡 𑤢 𑤣 𑤤 𑤥 𑤦 𑤧 𑤨 𑤩 𑤪 𑤫 𑤬 𑤭 𑤮 𑤯 𑤿 𑥁 𑥄 𑥅 𑥆</t>
        </is>
      </c>
      <c r="R394" s="43" t="inlineStr"/>
      <c r="S394" s="40" t="n"/>
      <c r="V394" s="14">
        <f>(LEN(O394)+1)/2</f>
        <v/>
      </c>
      <c r="W394" s="14">
        <f>ROUNDDOWN((LEN(P394)+1)/2,0)</f>
        <v/>
      </c>
      <c r="X394" s="14">
        <f>ROUNDDOWN((LEN(Q394)+1)/2,0)</f>
        <v/>
      </c>
      <c r="Y394" s="14">
        <f>ROUNDDOWN((LEN(R394)+1)/2,0)</f>
        <v/>
      </c>
      <c r="Z394" s="14">
        <f>ROUNDDOWN((LEN(S394)+1)/2,0)</f>
        <v/>
      </c>
      <c r="AA394" s="56" t="n">
        <v>46150.55863627978</v>
      </c>
    </row>
    <row r="395" ht="25.5" customHeight="1">
      <c r="B395" s="46" t="inlineStr">
        <is>
          <t>U+119A0-U+119E4</t>
        </is>
      </c>
      <c r="C395" s="46" t="inlineStr">
        <is>
          <t>Nandinagari</t>
        </is>
      </c>
      <c r="D395" s="54">
        <f>HEX2DEC(MID(B395,3,FIND("-",E395)-3))</f>
        <v/>
      </c>
      <c r="E395" s="46" t="inlineStr">
        <is>
          <t>U+119A0-U+119FF</t>
        </is>
      </c>
      <c r="F395" s="12" t="n">
        <v>4</v>
      </c>
      <c r="J395" s="19">
        <f>ROUNDDOWN(W395,0)/$V395</f>
        <v/>
      </c>
      <c r="K395" s="19">
        <f>ROUNDDOWN(X395,0)/$V395</f>
        <v/>
      </c>
      <c r="L395" s="19">
        <f>ROUNDDOWN(Y395,0)/$V395</f>
        <v/>
      </c>
      <c r="M395" s="19">
        <f>ROUNDDOWN(Z395,0)/$V395</f>
        <v/>
      </c>
      <c r="O395" s="36" t="inlineStr">
        <is>
          <t>𑦠 𑦡 𑦢 𑦣 𑦤 𑦥 𑦦 𑦧 𑦪 𑦫 𑦬 𑦭 𑦮 𑦯 𑦰 𑦱 𑦲 𑦳 𑦴 𑦵 𑦶 𑦷 𑦸 𑦹 𑦺 𑦻 𑦼 𑦽 𑦾 𑦿 𑧀 𑧁 𑧂 𑧃 𑧄 𑧅 𑧆 𑧇 𑧈 𑧉 𑧊 𑧋 𑧌 𑧍 𑧎 𑧏 𑧐 𑧑 𑧒 𑧓 𑧔 𑧕 𑧖 𑧗 𑧚 𑧛 𑧜 𑧝 𑧞 𑧟 𑧠 𑧡 𑧢 𑧣 𑧤</t>
        </is>
      </c>
      <c r="P395" s="37" t="inlineStr">
        <is>
          <t>𑦠 𑦡 𑦢 𑦣 𑦤 𑦥 𑦦 𑦧 𑦪 𑦫 𑦬 𑦭 𑦮 𑦯 𑦰 𑦱 𑦲 𑦳 𑦴 𑦵 𑦶 𑦷 𑦸 𑦹 𑦺 𑦻 𑦼 𑦽 𑦾 𑦿 𑧀 𑧁 𑧂 𑧃 𑧄 𑧅 𑧆 𑧇 𑧈 𑧉 𑧊 𑧋 𑧌 𑧍 𑧎 𑧏 𑧐 𑧢 𑧣</t>
        </is>
      </c>
      <c r="Q395" s="38" t="inlineStr">
        <is>
          <t>𑦠 𑦡 𑦢 𑦣 𑦤 𑦥 𑦦 𑦧 𑦪 𑦫 𑦭 𑦮 𑦯 𑦰 𑦱 𑦲 𑦳 𑦴 𑦵 𑦶 𑦷 𑦸 𑦹 𑦺 𑦻 𑦼 𑦽 𑦾 𑦿 𑧀 𑧁 𑧂 𑧃 𑧄 𑧅 𑧆 𑧇 𑧈 𑧉 𑧊 𑧋 𑧌 𑧍 𑧎 𑧏 𑧐 𑧢 𑧣</t>
        </is>
      </c>
      <c r="R395" s="43" t="inlineStr"/>
      <c r="S395" s="40" t="n"/>
      <c r="V395" s="14">
        <f>(LEN(O395)+1)/2</f>
        <v/>
      </c>
      <c r="W395" s="14">
        <f>ROUNDDOWN((LEN(P395)+1)/2,0)</f>
        <v/>
      </c>
      <c r="X395" s="14">
        <f>ROUNDDOWN((LEN(Q395)+1)/2,0)</f>
        <v/>
      </c>
      <c r="Y395" s="14">
        <f>ROUNDDOWN((LEN(R395)+1)/2,0)</f>
        <v/>
      </c>
      <c r="Z395" s="14">
        <f>ROUNDDOWN((LEN(S395)+1)/2,0)</f>
        <v/>
      </c>
      <c r="AA395" s="56" t="n">
        <v>46150.55863660209</v>
      </c>
    </row>
    <row r="396" ht="38.25" customHeight="1">
      <c r="B396" s="46" t="inlineStr">
        <is>
          <t>U+11A00-U+11A47</t>
        </is>
      </c>
      <c r="C396" s="46" t="inlineStr">
        <is>
          <t>Zanabazar Square</t>
        </is>
      </c>
      <c r="D396" s="54">
        <f>HEX2DEC(MID(B396,3,FIND("-",E396)-3))</f>
        <v/>
      </c>
      <c r="E396" s="46" t="inlineStr">
        <is>
          <t>U+11A00-U+11A4F</t>
        </is>
      </c>
      <c r="F396" s="12" t="n">
        <v>4</v>
      </c>
      <c r="J396" s="19">
        <f>ROUNDDOWN(W396,0)/$V396</f>
        <v/>
      </c>
      <c r="K396" s="19">
        <f>ROUNDDOWN(X396,0)/$V396</f>
        <v/>
      </c>
      <c r="L396" s="19">
        <f>ROUNDDOWN(Y396,0)/$V396</f>
        <v/>
      </c>
      <c r="M396" s="19">
        <f>ROUNDDOWN(Z396,0)/$V396</f>
        <v/>
      </c>
      <c r="O396" s="36" t="inlineStr">
        <is>
          <t>𑨀 𑨁 𑨂 𑨃 𑨄 𑨅 𑨆 𑨇 𑨈 𑨉 𑨊 𑨋 𑨌 𑨍 𑨎 𑨏 𑨐 𑨑 𑨒 𑨓 𑨔 𑨕 𑨖 𑨗 𑨘 𑨙 𑨚 𑨛 𑨜 𑨝 𑨞 𑨟 𑨠 𑨡 𑨢 𑨣 𑨤 𑨥 𑨦 𑨧 𑨨 𑨩 𑨪 𑨫 𑨬 𑨭 𑨮 𑨯 𑨰 𑨱 𑨲 𑨳 𑨴 𑨵 𑨶 𑨷 𑨸 𑨹 𑨺 𑨻 𑨼 𑨽 𑨾 𑨿 𑩀 𑩁 𑩂 𑩃 𑩄 𑩅 𑩆 𑩇</t>
        </is>
      </c>
      <c r="P396" s="37" t="inlineStr">
        <is>
          <t>𑨀 𑨋 𑨌 𑨍 𑨎 𑨏 𑨐 𑨑 𑨒 𑨓 𑨔 𑨕 𑨖 𑨗 𑨘 𑨙 𑨚 𑨛 𑨜 𑨝 𑨞 𑨟 𑨠 𑨡 𑨢 𑨣 𑨤 𑨥 𑨦 𑨧 𑨨 𑨩 𑨪 𑨫 𑨬 𑨭 𑨮 𑨯 𑨰 𑨱 𑨲 𑨺 𑨿 𑩀 𑩁 𑩂 𑩃 𑩄 𑩅 𑩆</t>
        </is>
      </c>
      <c r="Q396" s="38" t="inlineStr">
        <is>
          <t>𑨀 𑨋 𑨌 𑨍 𑨎 𑨏 𑨐 𑨑 𑨒 𑨓 𑨔 𑨕 𑨖 𑨗 𑨘 𑨙 𑨚 𑨛 𑨜 𑨝 𑨞 𑨟 𑨠 𑨡 𑨢 𑨣 𑨤 𑨥 𑨦 𑨧 𑨨 𑨩 𑨪 𑨫 𑨬 𑨭 𑨮 𑨯 𑨰 𑨱 𑨲 𑨺 𑨿 𑩀 𑩁 𑩂 𑩃 𑩄 𑩅 𑩆</t>
        </is>
      </c>
      <c r="R396" s="43" t="inlineStr"/>
      <c r="S396" s="40" t="n"/>
      <c r="V396" s="14">
        <f>(LEN(O396)+1)/2</f>
        <v/>
      </c>
      <c r="W396" s="14">
        <f>ROUNDDOWN((LEN(P396)+1)/2,0)</f>
        <v/>
      </c>
      <c r="X396" s="14">
        <f>ROUNDDOWN((LEN(Q396)+1)/2,0)</f>
        <v/>
      </c>
      <c r="Y396" s="14">
        <f>ROUNDDOWN((LEN(R396)+1)/2,0)</f>
        <v/>
      </c>
      <c r="Z396" s="14">
        <f>ROUNDDOWN((LEN(S396)+1)/2,0)</f>
        <v/>
      </c>
      <c r="AA396" s="56" t="n">
        <v>46150.55863693572</v>
      </c>
    </row>
    <row r="397" ht="38.25" customHeight="1">
      <c r="B397" s="46" t="inlineStr">
        <is>
          <t>U+11A50-U+11AA2</t>
        </is>
      </c>
      <c r="C397" s="46" t="inlineStr">
        <is>
          <t>Soyombo</t>
        </is>
      </c>
      <c r="D397" s="54">
        <f>HEX2DEC(MID(B397,3,FIND("-",E397)-3))</f>
        <v/>
      </c>
      <c r="E397" s="46" t="inlineStr">
        <is>
          <t>U+11A50-U+11AAF</t>
        </is>
      </c>
      <c r="F397" s="12" t="n">
        <v>4</v>
      </c>
      <c r="J397" s="19">
        <f>ROUNDDOWN(W397,0)/$V397</f>
        <v/>
      </c>
      <c r="K397" s="19">
        <f>ROUNDDOWN(X397,0)/$V397</f>
        <v/>
      </c>
      <c r="L397" s="19">
        <f>ROUNDDOWN(Y397,0)/$V397</f>
        <v/>
      </c>
      <c r="M397" s="19">
        <f>ROUNDDOWN(Z397,0)/$V397</f>
        <v/>
      </c>
      <c r="O397" s="36" t="inlineStr">
        <is>
          <t>𑩐 𑩑 𑩒 𑩓 𑩔 𑩕 𑩖 𑩗 𑩘 𑩙 𑩚 𑩛 𑩜 𑩝 𑩞 𑩟 𑩠 𑩡 𑩢 𑩣 𑩤 𑩥 𑩦 𑩧 𑩨 𑩩 𑩪 𑩫 𑩬 𑩭 𑩮 𑩯 𑩰 𑩱 𑩲 𑩳 𑩴 𑩵 𑩶 𑩷 𑩸 𑩹 𑩺 𑩻 𑩼 𑩽 𑩾 𑩿 𑪀 𑪁 𑪂 𑪃 𑪄 𑪅 𑪆 𑪇 𑪈 𑪉 𑪊 𑪋 𑪌 𑪍 𑪎 𑪏 𑪐 𑪑 𑪒 𑪓 𑪔 𑪕 𑪖 𑪗 𑪘 𑪙 𑪚 𑪛 𑪜 𑪝 𑪞 𑪟 𑪠 𑪡 𑪢</t>
        </is>
      </c>
      <c r="P397" s="37" t="inlineStr">
        <is>
          <t>𑩐 𑩜 𑩝 𑩞 𑩟 𑩠 𑩡 𑩢 𑩣 𑩤 𑩥 𑩦 𑩧 𑩨 𑩩 𑩪 𑩫 𑩬 𑩭 𑩮 𑩯 𑩰 𑩱 𑩲 𑩳 𑩴 𑩵 𑩶 𑩷 𑩸 𑩹 𑩺 𑩻 𑩼 𑩽 𑩾 𑩿 𑪀 𑪁 𑪂 𑪃 𑪄 𑪅 𑪆 𑪇 𑪈 𑪉 𑪚 𑪛 𑪜 𑪝 𑪞 𑪟 𑪠 𑪡 𑪢</t>
        </is>
      </c>
      <c r="Q397" s="38" t="inlineStr">
        <is>
          <t>𑩐 𑩜 𑩝 𑩞 𑩟 𑩠 𑩡 𑩢 𑩣 𑩤 𑩥 𑩦 𑩧 𑩨 𑩩 𑩪 𑩫 𑩬 𑩭 𑩮 𑩯 𑩰 𑩱 𑩲 𑩳 𑩴 𑩵 𑩶 𑩷 𑩸 𑩹 𑩺 𑩻 𑩼 𑩽 𑩾 𑩿 𑪀 𑪁 𑪂 𑪃 𑪄 𑪅 𑪆 𑪇 𑪈 𑪉 𑪚 𑪛 𑪜 𑪝 𑪡 𑪢</t>
        </is>
      </c>
      <c r="R397" s="43" t="inlineStr"/>
      <c r="S397" s="40" t="n"/>
      <c r="V397" s="14">
        <f>(LEN(O397)+1)/2</f>
        <v/>
      </c>
      <c r="W397" s="14">
        <f>ROUNDDOWN((LEN(P397)+1)/2,0)</f>
        <v/>
      </c>
      <c r="X397" s="14">
        <f>ROUNDDOWN((LEN(Q397)+1)/2,0)</f>
        <v/>
      </c>
      <c r="Y397" s="14">
        <f>ROUNDDOWN((LEN(R397)+1)/2,0)</f>
        <v/>
      </c>
      <c r="Z397" s="14">
        <f>ROUNDDOWN((LEN(S397)+1)/2,0)</f>
        <v/>
      </c>
      <c r="AA397" s="56" t="n">
        <v>46150.55863727575</v>
      </c>
    </row>
    <row r="398" ht="38.25" customHeight="1">
      <c r="B398" s="46" t="inlineStr">
        <is>
          <t>U+11AB0-U+11ABF</t>
        </is>
      </c>
      <c r="C398" s="46" t="inlineStr">
        <is>
          <t>Unified Canadian Aboriginal Syllabics Extended-A</t>
        </is>
      </c>
      <c r="D398" s="54">
        <f>HEX2DEC(MID(B398,3,FIND("-",E398)-3))</f>
        <v/>
      </c>
      <c r="E398" s="46" t="inlineStr">
        <is>
          <t>U+11AB0-U+11ABF</t>
        </is>
      </c>
      <c r="F398" s="12" t="n">
        <v>4</v>
      </c>
      <c r="J398" s="19">
        <f>ROUNDDOWN(W398,0)/$V398</f>
        <v/>
      </c>
      <c r="K398" s="19">
        <f>ROUNDDOWN(X398,0)/$V398</f>
        <v/>
      </c>
      <c r="L398" s="19">
        <f>ROUNDDOWN(Y398,0)/$V398</f>
        <v/>
      </c>
      <c r="M398" s="19">
        <f>ROUNDDOWN(Z398,0)/$V398</f>
        <v/>
      </c>
      <c r="O398" s="36" t="inlineStr">
        <is>
          <t>𑪰 𑪱 𑪲 𑪳 𑪴 𑪵 𑪶 𑪷 𑪸 𑪹 𑪺 𑪻 𑪼 𑪽 𑪾 𑪿</t>
        </is>
      </c>
      <c r="P398" s="37" t="inlineStr">
        <is>
          <t>𑪰 𑪱 𑪲 𑪳 𑪴 𑪵 𑪶 𑪷 𑪸 𑪹 𑪺 𑪻 𑪼 𑪽 𑪾 𑪿</t>
        </is>
      </c>
      <c r="Q398" s="38" t="inlineStr">
        <is>
          <t>𑪰 𑪱 𑪲 𑪳 𑪴 𑪵 𑪶 𑪷 𑪸 𑪹 𑪺 𑪻 𑪼 𑪽 𑪾 𑪿</t>
        </is>
      </c>
      <c r="R398" s="43" t="inlineStr"/>
      <c r="S398" s="40" t="n"/>
      <c r="V398" s="14">
        <f>(LEN(O398)+1)/2</f>
        <v/>
      </c>
      <c r="W398" s="14">
        <f>ROUNDDOWN((LEN(P398)+1)/2,0)</f>
        <v/>
      </c>
      <c r="X398" s="14">
        <f>ROUNDDOWN((LEN(Q398)+1)/2,0)</f>
        <v/>
      </c>
      <c r="Y398" s="14">
        <f>ROUNDDOWN((LEN(R398)+1)/2,0)</f>
        <v/>
      </c>
      <c r="Z398" s="14">
        <f>ROUNDDOWN((LEN(S398)+1)/2,0)</f>
        <v/>
      </c>
      <c r="AA398" s="56" t="n">
        <v>46150.5586374843</v>
      </c>
    </row>
    <row r="399" ht="25.5" customHeight="1">
      <c r="B399" s="46" t="inlineStr">
        <is>
          <t>U+11AC0-U+11AF8</t>
        </is>
      </c>
      <c r="C399" s="46" t="inlineStr">
        <is>
          <t>Pau Cin Hau</t>
        </is>
      </c>
      <c r="D399" s="54">
        <f>HEX2DEC(MID(B399,3,FIND("-",E399)-3))</f>
        <v/>
      </c>
      <c r="E399" s="46" t="inlineStr">
        <is>
          <t>U+11AC0-U+11AFF</t>
        </is>
      </c>
      <c r="F399" s="12" t="n">
        <v>4</v>
      </c>
      <c r="J399" s="19">
        <f>ROUNDDOWN(W399,0)/$V399</f>
        <v/>
      </c>
      <c r="K399" s="19">
        <f>ROUNDDOWN(X399,0)/$V399</f>
        <v/>
      </c>
      <c r="L399" s="19">
        <f>ROUNDDOWN(Y399,0)/$V399</f>
        <v/>
      </c>
      <c r="M399" s="19">
        <f>ROUNDDOWN(Z399,0)/$V399</f>
        <v/>
      </c>
      <c r="O399" s="36" t="inlineStr">
        <is>
          <t>𑫀 𑫁 𑫂 𑫃 𑫄 𑫅 𑫆 𑫇 𑫈 𑫉 𑫊 𑫋 𑫌 𑫍 𑫎 𑫏 𑫐 𑫑 𑫒 𑫓 𑫔 𑫕 𑫖 𑫗 𑫘 𑫙 𑫚 𑫛 𑫜 𑫝 𑫞 𑫟 𑫠 𑫡 𑫢 𑫣 𑫤 𑫥 𑫦 𑫧 𑫨 𑫩 𑫪 𑫫 𑫬 𑫭 𑫮 𑫯 𑫰 𑫱 𑫲 𑫳 𑫴 𑫵 𑫶 𑫷 𑫸</t>
        </is>
      </c>
      <c r="P399" s="37" t="inlineStr">
        <is>
          <t>𑫀 𑫁 𑫂 𑫃 𑫄 𑫅 𑫆 𑫇 𑫈 𑫉 𑫊 𑫋 𑫌 𑫍 𑫎 𑫏 𑫐 𑫑 𑫒 𑫓 𑫔 𑫕 𑫖 𑫗 𑫘 𑫙 𑫚 𑫛 𑫜 𑫝 𑫞 𑫟 𑫠 𑫡 𑫢 𑫣 𑫤 𑫥 𑫦 𑫧 𑫨 𑫩 𑫪 𑫫 𑫬 𑫭 𑫮 𑫯 𑫰 𑫱 𑫲 𑫳 𑫴 𑫵 𑫶 𑫷 𑫸</t>
        </is>
      </c>
      <c r="Q399" s="38" t="inlineStr">
        <is>
          <t>𑫀 𑫁 𑫂 𑫃 𑫄 𑫅 𑫆 𑫇 𑫈 𑫉 𑫊 𑫋 𑫌 𑫍 𑫎 𑫏 𑫐 𑫑 𑫒 𑫓 𑫔 𑫕 𑫖 𑫗 𑫙 𑫚 𑫛 𑫜 𑫝 𑫞 𑫟 𑫠 𑫡 𑫢 𑫣 𑫤 𑫥 𑫦 𑫧 𑫨 𑫩 𑫪 𑫫 𑫬 𑫭 𑫮 𑫯 𑫰 𑫱 𑫲 𑫳 𑫴 𑫵 𑫶 𑫷 𑫸</t>
        </is>
      </c>
      <c r="R399" s="43" t="inlineStr"/>
      <c r="S399" s="40" t="n"/>
      <c r="V399" s="14">
        <f>(LEN(O399)+1)/2</f>
        <v/>
      </c>
      <c r="W399" s="14">
        <f>ROUNDDOWN((LEN(P399)+1)/2,0)</f>
        <v/>
      </c>
      <c r="X399" s="14">
        <f>ROUNDDOWN((LEN(Q399)+1)/2,0)</f>
        <v/>
      </c>
      <c r="Y399" s="14">
        <f>ROUNDDOWN((LEN(R399)+1)/2,0)</f>
        <v/>
      </c>
      <c r="Z399" s="14">
        <f>ROUNDDOWN((LEN(S399)+1)/2,0)</f>
        <v/>
      </c>
      <c r="AA399" s="56" t="n">
        <v>46150.55863783155</v>
      </c>
    </row>
    <row r="400" ht="25.5" customHeight="1">
      <c r="B400" s="46" t="inlineStr">
        <is>
          <t>U+11B00-U+11B09</t>
        </is>
      </c>
      <c r="C400" s="46" t="inlineStr">
        <is>
          <t>Devanagari Extended-A</t>
        </is>
      </c>
      <c r="D400" s="54">
        <f>HEX2DEC(MID(B400,3,FIND("-",E400)-3))</f>
        <v/>
      </c>
      <c r="E400" s="46" t="inlineStr">
        <is>
          <t>U+11B00-U+11B5F</t>
        </is>
      </c>
      <c r="F400" s="12" t="n">
        <v>4</v>
      </c>
      <c r="J400" s="19">
        <f>ROUNDDOWN(W400,0)/$V400</f>
        <v/>
      </c>
      <c r="K400" s="19">
        <f>ROUNDDOWN(X400,0)/$V400</f>
        <v/>
      </c>
      <c r="L400" s="19">
        <f>ROUNDDOWN(Y400,0)/$V400</f>
        <v/>
      </c>
      <c r="M400" s="19">
        <f>ROUNDDOWN(Z400,0)/$V400</f>
        <v/>
      </c>
      <c r="O400" s="36" t="inlineStr">
        <is>
          <t>𑬀 𑬁 𑬂 𑬃 𑬄 𑬅 𑬆 𑬇 𑬈 𑬉</t>
        </is>
      </c>
      <c r="P400" s="37" t="inlineStr">
        <is>
          <t>𑬀 𑬁 𑬂 𑬃 𑬄 𑬅 𑬆 𑬇 𑬈 𑬉</t>
        </is>
      </c>
      <c r="Q400" s="38" t="inlineStr">
        <is>
          <t>𑬀 𑬂 𑬄 𑬆 𑬇 𑬈 𑬉</t>
        </is>
      </c>
      <c r="R400" s="43" t="inlineStr"/>
      <c r="S400" s="40" t="n"/>
      <c r="V400" s="14">
        <f>(LEN(O400)+1)/2</f>
        <v/>
      </c>
      <c r="W400" s="14">
        <f>ROUNDDOWN((LEN(P400)+1)/2,0)</f>
        <v/>
      </c>
      <c r="X400" s="14">
        <f>ROUNDDOWN((LEN(Q400)+1)/2,0)</f>
        <v/>
      </c>
      <c r="Y400" s="14">
        <f>ROUNDDOWN((LEN(R400)+1)/2,0)</f>
        <v/>
      </c>
      <c r="Z400" s="14">
        <f>ROUNDDOWN((LEN(S400)+1)/2,0)</f>
        <v/>
      </c>
      <c r="AA400" s="56" t="n">
        <v>46150.55863801319</v>
      </c>
    </row>
    <row r="401" ht="38.25" customHeight="1">
      <c r="B401" s="46" t="inlineStr">
        <is>
          <t>U+11C00-U+11C6C</t>
        </is>
      </c>
      <c r="C401" s="46" t="inlineStr">
        <is>
          <t>Bhaiksuki</t>
        </is>
      </c>
      <c r="D401" s="54">
        <f>HEX2DEC(MID(B401,3,FIND("-",E401)-3))</f>
        <v/>
      </c>
      <c r="E401" s="46" t="inlineStr">
        <is>
          <t>U+11C00-U+11C6F</t>
        </is>
      </c>
      <c r="F401" s="12" t="n">
        <v>4</v>
      </c>
      <c r="J401" s="19">
        <f>ROUNDDOWN(W401,0)/$V401</f>
        <v/>
      </c>
      <c r="K401" s="19">
        <f>ROUNDDOWN(X401,0)/$V401</f>
        <v/>
      </c>
      <c r="L401" s="19">
        <f>ROUNDDOWN(Y401,0)/$V401</f>
        <v/>
      </c>
      <c r="M401" s="19">
        <f>ROUNDDOWN(Z401,0)/$V401</f>
        <v/>
      </c>
      <c r="O401" s="36" t="inlineStr">
        <is>
          <t>𑰀 𑰁 𑰂 𑰃 𑰄 𑰅 𑰆 𑰇 𑰈 𑰊 𑰋 𑰌 𑰍 𑰎 𑰏 𑰐 𑰑 𑰒 𑰓 𑰔 𑰕 𑰖 𑰗 𑰘 𑰙 𑰚 𑰛 𑰜 𑰝 𑰞 𑰟 𑰠 𑰡 𑰢 𑰣 𑰤 𑰥 𑰦 𑰧 𑰨 𑰩 𑰪 𑰫 𑰬 𑰭 𑰮 𑰯 𑰰 𑰱 𑰲 𑰳 𑰴 𑰵 𑰶 𑰸 𑰹 𑰺 𑰻 𑰼 𑰽 𑰾 𑰿 𑱀 𑱁 𑱂 𑱃 𑱄 𑱅 𑱐 𑱑 𑱒 𑱓 𑱔 𑱕 𑱖 𑱗 𑱘 𑱙 𑱚 𑱛 𑱜 𑱝 𑱞 𑱟 𑱠 𑱡 𑱢 𑱣 𑱤 𑱥 𑱦 𑱧 𑱨 𑱩 𑱪 𑱫 𑱬</t>
        </is>
      </c>
      <c r="P401" s="37" t="inlineStr">
        <is>
          <t>𑰀 𑰁 𑰂 𑰃 𑰄 𑰅 𑰆 𑰇 𑰈 𑰊 𑰋 𑰌 𑰍 𑰎 𑰏 𑰐 𑰑 𑰒 𑰓 𑰔 𑰕 𑰖 𑰗 𑰘 𑰙 𑰚 𑰛 𑰜 𑰝 𑰞 𑰟 𑰠 𑰡 𑰢 𑰣 𑰤 𑰥 𑰦 𑰧 𑰨 𑰩 𑰪 𑰫 𑰬 𑰭 𑰮 𑱁 𑱂 𑱃 𑱄 𑱅 𑱐 𑱑 𑱒 𑱓 𑱔 𑱕 𑱖 𑱗 𑱘 𑱙 𑱚 𑱛 𑱜 𑱝 𑱞 𑱟 𑱠 𑱡 𑱢 𑱣 𑱤 𑱥 𑱦 𑱧 𑱨 𑱩 𑱪 𑱫 𑱬</t>
        </is>
      </c>
      <c r="Q401" s="38" t="inlineStr">
        <is>
          <t>𑰀 𑰁 𑰂 𑰃 𑰄 𑰅 𑰆 𑰇 𑰈 𑰊 𑰋 𑰍 𑰎 𑰏 𑰐 𑰑 𑰒 𑰓 𑰔 𑰕 𑰖 𑰗 𑰘 𑰙 𑰚 𑰛 𑰜 𑰝 𑰞 𑰟 𑰠 𑰡 𑰢 𑰣 𑰤 𑰥 𑰦 𑰧 𑰨 𑰩 𑰪 𑰫 𑰬 𑰭 𑰮 𑱁 𑱂 𑱃 𑱄 𑱅</t>
        </is>
      </c>
      <c r="R401" s="43" t="inlineStr"/>
      <c r="S401" s="40" t="n"/>
      <c r="V401" s="14">
        <f>(LEN(O401)+1)/2</f>
        <v/>
      </c>
      <c r="W401" s="14">
        <f>ROUNDDOWN((LEN(P401)+1)/2,0)</f>
        <v/>
      </c>
      <c r="X401" s="14">
        <f>ROUNDDOWN((LEN(Q401)+1)/2,0)</f>
        <v/>
      </c>
      <c r="Y401" s="14">
        <f>ROUNDDOWN((LEN(R401)+1)/2,0)</f>
        <v/>
      </c>
      <c r="Z401" s="14">
        <f>ROUNDDOWN((LEN(S401)+1)/2,0)</f>
        <v/>
      </c>
      <c r="AA401" s="56" t="n">
        <v>46150.55863834134</v>
      </c>
    </row>
    <row r="402" ht="38.25" customHeight="1">
      <c r="B402" s="46" t="inlineStr">
        <is>
          <t>U+11C70-U+11CB6</t>
        </is>
      </c>
      <c r="C402" s="46" t="inlineStr">
        <is>
          <t>Marchen</t>
        </is>
      </c>
      <c r="D402" s="54">
        <f>HEX2DEC(MID(B402,3,FIND("-",E402)-3))</f>
        <v/>
      </c>
      <c r="E402" s="46" t="inlineStr">
        <is>
          <t>U+11C70-U+11CBF</t>
        </is>
      </c>
      <c r="F402" s="12" t="n">
        <v>4</v>
      </c>
      <c r="J402" s="19">
        <f>ROUNDDOWN(W402,0)/$V402</f>
        <v/>
      </c>
      <c r="K402" s="19">
        <f>ROUNDDOWN(X402,0)/$V402</f>
        <v/>
      </c>
      <c r="L402" s="19">
        <f>ROUNDDOWN(Y402,0)/$V402</f>
        <v/>
      </c>
      <c r="M402" s="19">
        <f>ROUNDDOWN(Z402,0)/$V402</f>
        <v/>
      </c>
      <c r="O402" s="36" t="inlineStr">
        <is>
          <t>𑱰 𑱱 𑱲 𑱳 𑱴 𑱵 𑱶 𑱷 𑱸 𑱹 𑱺 𑱻 𑱼 𑱽 𑱾 𑱿 𑲀 𑲁 𑲂 𑲃 𑲄 𑲅 𑲆 𑲇 𑲈 𑲉 𑲊 𑲋 𑲌 𑲍 𑲎 𑲏 𑲒 𑲓 𑲔 𑲕 𑲖 𑲗 𑲘 𑲙 𑲚 𑲛 𑲜 𑲝 𑲞 𑲟 𑲠 𑲡 𑲢 𑲣 𑲤 𑲥 𑲦 𑲧 𑲩 𑲪 𑲫 𑲬 𑲭 𑲮 𑲯 𑲰 𑲱 𑲲 𑲳 𑲴 𑲵 𑲶</t>
        </is>
      </c>
      <c r="P402" s="37" t="inlineStr">
        <is>
          <t>𑱰 𑱱 𑱲 𑱳 𑱴 𑱵 𑱶 𑱷 𑱸 𑱹 𑱺 𑱻 𑱼 𑱽 𑱾 𑱿 𑲀 𑲁 𑲂 𑲃 𑲄 𑲅 𑲆 𑲇 𑲈 𑲉 𑲊 𑲋 𑲌 𑲍 𑲎 𑲏</t>
        </is>
      </c>
      <c r="Q402" s="38" t="inlineStr">
        <is>
          <t>𑱰 𑱱 𑱲 𑱳 𑱴 𑱵 𑱶 𑱷 𑱸 𑱹 𑱺 𑱻 𑱼 𑱽 𑱾 𑱿 𑲀 𑲁 𑲂 𑲃 𑲄 𑲅 𑲆 𑲇 𑲈 𑲉 𑲊 𑲋 𑲌 𑲍 𑲎 𑲏</t>
        </is>
      </c>
      <c r="R402" s="43" t="inlineStr"/>
      <c r="S402" s="40" t="n"/>
      <c r="V402" s="14">
        <f>(LEN(O402)+1)/2</f>
        <v/>
      </c>
      <c r="W402" s="14">
        <f>ROUNDDOWN((LEN(P402)+1)/2,0)</f>
        <v/>
      </c>
      <c r="X402" s="14">
        <f>ROUNDDOWN((LEN(Q402)+1)/2,0)</f>
        <v/>
      </c>
      <c r="Y402" s="14">
        <f>ROUNDDOWN((LEN(R402)+1)/2,0)</f>
        <v/>
      </c>
      <c r="Z402" s="14">
        <f>ROUNDDOWN((LEN(S402)+1)/2,0)</f>
        <v/>
      </c>
      <c r="AA402" s="56" t="n">
        <v>46150.55863860423</v>
      </c>
    </row>
    <row r="403" ht="38.25" customHeight="1">
      <c r="B403" s="46" t="inlineStr">
        <is>
          <t>U+11D00-U+11D59</t>
        </is>
      </c>
      <c r="C403" s="46" t="inlineStr">
        <is>
          <t>Masaram Gondi</t>
        </is>
      </c>
      <c r="D403" s="54">
        <f>HEX2DEC(MID(B403,3,FIND("-",E403)-3))</f>
        <v/>
      </c>
      <c r="E403" s="46" t="inlineStr">
        <is>
          <t>U+11D00-U+11D5F</t>
        </is>
      </c>
      <c r="F403" s="12" t="n">
        <v>4</v>
      </c>
      <c r="J403" s="19">
        <f>ROUNDDOWN(W403,0)/$V403</f>
        <v/>
      </c>
      <c r="K403" s="19">
        <f>ROUNDDOWN(X403,0)/$V403</f>
        <v/>
      </c>
      <c r="L403" s="19">
        <f>ROUNDDOWN(Y403,0)/$V403</f>
        <v/>
      </c>
      <c r="M403" s="19">
        <f>ROUNDDOWN(Z403,0)/$V403</f>
        <v/>
      </c>
      <c r="O403" s="36" t="inlineStr">
        <is>
          <t>𑴀 𑴁 𑴂 𑴃 𑴄 𑴅 𑴆 𑴈 𑴉 𑴋 𑴌 𑴍 𑴎 𑴏 𑴐 𑴑 𑴒 𑴓 𑴔 𑴕 𑴖 𑴗 𑴘 𑴙 𑴚 𑴛 𑴜 𑴝 𑴞 𑴟 𑴠 𑴡 𑴢 𑴣 𑴤 𑴥 𑴦 𑴧 𑴨 𑴩 𑴪 𑴫 𑴬 𑴭 𑴮 𑴯 𑴰 𑴱 𑴲 𑴳 𑴴 𑴵 𑴶 𑴺 𑴼 𑴽 𑴿 𑵀 𑵁 𑵂 𑵃 𑵄 𑵅 𑵆 𑵇 𑵐 𑵑 𑵒 𑵓 𑵔 𑵕 𑵖 𑵗 𑵘 𑵙</t>
        </is>
      </c>
      <c r="P403" s="37" t="inlineStr">
        <is>
          <t>𑴀 𑴁 𑴂 𑴃 𑴄 𑴅 𑴆 𑴈 𑴉 𑴋 𑴌 𑴍 𑴎 𑴏 𑴐 𑴑 𑴒 𑴓 𑴔 𑴕 𑴖 𑴗 𑴘 𑴙 𑴚 𑴛 𑴜 𑴝 𑴞 𑴟 𑴠 𑴡 𑴢 𑴣 𑴤 𑴥 𑴦 𑴧 𑴨 𑴩 𑴪 𑴫 𑴬 𑴭 𑴮 𑴯 𑴰 𑵐 𑵑 𑵒 𑵓 𑵔 𑵕 𑵖 𑵗 𑵘 𑵙</t>
        </is>
      </c>
      <c r="Q403" s="38" t="inlineStr">
        <is>
          <t>𑴀 𑴁 𑴂 𑴃 𑴄 𑴅 𑴆 𑴈 𑴋 𑴌 𑴍 𑴎 𑴏 𑴐 𑴑 𑴒 𑴓 𑴔 𑴕 𑴖 𑴗 𑴘 𑴙 𑴚 𑴛 𑴜 𑴝 𑴞 𑴟 𑴠 𑴡 𑴢 𑴣 𑴤 𑴥 𑴦 𑴧 𑴨 𑴩 𑴪 𑴫 𑴬 𑴭 𑴮 𑴯 𑴰</t>
        </is>
      </c>
      <c r="R403" s="43" t="inlineStr"/>
      <c r="S403" s="40" t="n"/>
      <c r="V403" s="14">
        <f>(LEN(O403)+1)/2</f>
        <v/>
      </c>
      <c r="W403" s="14">
        <f>ROUNDDOWN((LEN(P403)+1)/2,0)</f>
        <v/>
      </c>
      <c r="X403" s="14">
        <f>ROUNDDOWN((LEN(Q403)+1)/2,0)</f>
        <v/>
      </c>
      <c r="Y403" s="14">
        <f>ROUNDDOWN((LEN(R403)+1)/2,0)</f>
        <v/>
      </c>
      <c r="Z403" s="14">
        <f>ROUNDDOWN((LEN(S403)+1)/2,0)</f>
        <v/>
      </c>
      <c r="AA403" s="56" t="n">
        <v>46150.55863891867</v>
      </c>
    </row>
    <row r="404" ht="25.5" customHeight="1">
      <c r="B404" s="46" t="inlineStr">
        <is>
          <t>U+11D60-U+11DA9</t>
        </is>
      </c>
      <c r="C404" s="46" t="inlineStr">
        <is>
          <t>Gunjala Gondi</t>
        </is>
      </c>
      <c r="D404" s="54">
        <f>HEX2DEC(MID(B404,3,FIND("-",E404)-3))</f>
        <v/>
      </c>
      <c r="E404" s="46" t="inlineStr">
        <is>
          <t>U+11D60-U+11DAF</t>
        </is>
      </c>
      <c r="F404" s="12" t="n">
        <v>4</v>
      </c>
      <c r="J404" s="19">
        <f>ROUNDDOWN(W404,0)/$V404</f>
        <v/>
      </c>
      <c r="K404" s="19">
        <f>ROUNDDOWN(X404,0)/$V404</f>
        <v/>
      </c>
      <c r="L404" s="19">
        <f>ROUNDDOWN(Y404,0)/$V404</f>
        <v/>
      </c>
      <c r="M404" s="19">
        <f>ROUNDDOWN(Z404,0)/$V404</f>
        <v/>
      </c>
      <c r="O404" s="36" t="inlineStr">
        <is>
          <t>𑵠 𑵡 𑵢 𑵣 𑵤 𑵥 𑵧 𑵨 𑵪 𑵫 𑵬 𑵭 𑵮 𑵯 𑵰 𑵱 𑵲 𑵳 𑵴 𑵵 𑵶 𑵷 𑵸 𑵹 𑵺 𑵻 𑵼 𑵽 𑵾 𑵿 𑶀 𑶁 𑶂 𑶃 𑶄 𑶅 𑶆 𑶇 𑶈 𑶉 𑶊 𑶋 𑶌 𑶍 𑶎 𑶐 𑶑 𑶓 𑶔 𑶕 𑶖 𑶗 𑶘 𑶠 𑶡 𑶢 𑶣 𑶤 𑶥 𑶦 𑶧 𑶨 𑶩</t>
        </is>
      </c>
      <c r="P404" s="37" t="inlineStr">
        <is>
          <t>𑵠 𑵡 𑵢 𑵣 𑵤 𑵥 𑵧 𑵨 𑵪 𑵫 𑵬 𑵭 𑵮 𑵯 𑵰 𑵱 𑵲 𑵳 𑵴 𑵵 𑵶 𑵷 𑵸 𑵹 𑵺 𑵻 𑵼 𑵽 𑵾 𑵿 𑶀 𑶁 𑶂 𑶃 𑶄 𑶅 𑶆 𑶇 𑶈 𑶉 𑶘 𑶠 𑶡 𑶢 𑶣 𑶤 𑶥 𑶦 𑶧 𑶨 𑶩</t>
        </is>
      </c>
      <c r="Q404" s="38" t="inlineStr">
        <is>
          <t>𑵠 𑵡 𑵢 𑵣 𑵤 𑵥 𑵧 𑵨 𑵪 𑵫 𑵬 𑵭 𑵮 𑵯 𑵰 𑵱 𑵲 𑵳 𑵴 𑵵 𑵶 𑵷 𑵸 𑵹 𑵺 𑵻 𑵼 𑵽 𑵾 𑵿 𑶀 𑶁 𑶂 𑶃 𑶄 𑶅 𑶆 𑶇 𑶈 𑶉 𑶘</t>
        </is>
      </c>
      <c r="R404" s="43" t="inlineStr"/>
      <c r="S404" s="40" t="n"/>
      <c r="V404" s="14">
        <f>(LEN(O404)+1)/2</f>
        <v/>
      </c>
      <c r="W404" s="14">
        <f>ROUNDDOWN((LEN(P404)+1)/2,0)</f>
        <v/>
      </c>
      <c r="X404" s="14">
        <f>ROUNDDOWN((LEN(Q404)+1)/2,0)</f>
        <v/>
      </c>
      <c r="Y404" s="14">
        <f>ROUNDDOWN((LEN(R404)+1)/2,0)</f>
        <v/>
      </c>
      <c r="Z404" s="14">
        <f>ROUNDDOWN((LEN(S404)+1)/2,0)</f>
        <v/>
      </c>
      <c r="AA404" s="56" t="n">
        <v>46150.55863921462</v>
      </c>
    </row>
    <row r="405" ht="25.5" customHeight="1">
      <c r="B405" s="46" t="inlineStr">
        <is>
          <t>U+11EE0-U+11EF8</t>
        </is>
      </c>
      <c r="C405" s="46" t="inlineStr">
        <is>
          <t>Makasar</t>
        </is>
      </c>
      <c r="D405" s="54">
        <f>HEX2DEC(MID(B405,3,FIND("-",E405)-3))</f>
        <v/>
      </c>
      <c r="E405" s="46" t="inlineStr">
        <is>
          <t>U+11EE0-U+11EFF</t>
        </is>
      </c>
      <c r="F405" s="12" t="n">
        <v>4</v>
      </c>
      <c r="J405" s="19">
        <f>ROUNDDOWN(W405,0)/$V405</f>
        <v/>
      </c>
      <c r="K405" s="19">
        <f>ROUNDDOWN(X405,0)/$V405</f>
        <v/>
      </c>
      <c r="L405" s="19">
        <f>ROUNDDOWN(Y405,0)/$V405</f>
        <v/>
      </c>
      <c r="M405" s="19">
        <f>ROUNDDOWN(Z405,0)/$V405</f>
        <v/>
      </c>
      <c r="O405" s="36" t="inlineStr">
        <is>
          <t>𑻠 𑻡 𑻢 𑻣 𑻤 𑻥 𑻦 𑻧 𑻨 𑻩 𑻪 𑻫 𑻬 𑻭 𑻮 𑻯 𑻰 𑻱 𑻲 𑻳 𑻴 𑻵 𑻶 𑻷 𑻸</t>
        </is>
      </c>
      <c r="P405" s="37" t="inlineStr">
        <is>
          <t>𑻠 𑻡 𑻢 𑻣 𑻤 𑻥 𑻦 𑻧 𑻨 𑻩 𑻪 𑻫 𑻬 𑻭 𑻮 𑻯 𑻰 𑻱 𑻲 𑻷 𑻸</t>
        </is>
      </c>
      <c r="Q405" s="38" t="inlineStr">
        <is>
          <t>𑻠 𑻡 𑻢 𑻣 𑻤 𑻥 𑻦 𑻧 𑻨 𑻩 𑻪 𑻫 𑻬 𑻭 𑻮 𑻯 𑻰 𑻱 𑻲 𑻷 𑻸</t>
        </is>
      </c>
      <c r="R405" s="43" t="inlineStr"/>
      <c r="S405" s="40" t="n"/>
      <c r="V405" s="14">
        <f>(LEN(O405)+1)/2</f>
        <v/>
      </c>
      <c r="W405" s="14">
        <f>ROUNDDOWN((LEN(P405)+1)/2,0)</f>
        <v/>
      </c>
      <c r="X405" s="14">
        <f>ROUNDDOWN((LEN(Q405)+1)/2,0)</f>
        <v/>
      </c>
      <c r="Y405" s="14">
        <f>ROUNDDOWN((LEN(R405)+1)/2,0)</f>
        <v/>
      </c>
      <c r="Z405" s="14">
        <f>ROUNDDOWN((LEN(S405)+1)/2,0)</f>
        <v/>
      </c>
      <c r="AA405" s="56" t="n">
        <v>46150.55863943847</v>
      </c>
    </row>
    <row r="406" ht="38.25" customHeight="1">
      <c r="B406" s="46" t="inlineStr">
        <is>
          <t>U+11F00-U+11F59</t>
        </is>
      </c>
      <c r="C406" s="46" t="inlineStr">
        <is>
          <t>Kawi</t>
        </is>
      </c>
      <c r="D406" s="54">
        <f>HEX2DEC(MID(B406,3,FIND("-",E406)-3))</f>
        <v/>
      </c>
      <c r="E406" s="46" t="inlineStr">
        <is>
          <t>U+11F00-U+11F5F</t>
        </is>
      </c>
      <c r="F406" s="12" t="n">
        <v>4</v>
      </c>
      <c r="J406" s="19">
        <f>ROUNDDOWN(W406,0)/$V406</f>
        <v/>
      </c>
      <c r="K406" s="19">
        <f>ROUNDDOWN(X406,0)/$V406</f>
        <v/>
      </c>
      <c r="L406" s="19">
        <f>ROUNDDOWN(Y406,0)/$V406</f>
        <v/>
      </c>
      <c r="M406" s="19">
        <f>ROUNDDOWN(Z406,0)/$V406</f>
        <v/>
      </c>
      <c r="O406" s="36" t="inlineStr">
        <is>
          <t>𑼀 𑼁 𑼂 𑼃 𑼄 𑼅 𑼆 𑼇 𑼈 𑼉 𑼊 𑼋 𑼌 𑼍 𑼎 𑼏 𑼐 𑼒 𑼓 𑼔 𑼕 𑼖 𑼗 𑼘 𑼙 𑼚 𑼛 𑼜 𑼝 𑼞 𑼟 𑼠 𑼡 𑼢 𑼣 𑼤 𑼥 𑼦 𑼧 𑼨 𑼩 𑼪 𑼫 𑼬 𑼭 𑼮 𑼯 𑼰 𑼱 𑼲 𑼳 𑼴 𑼵 𑼶 𑼷 𑼸 𑼹 𑼺 𑼾 𑼿 𑽀 𑽁 𑽂 𑽃 𑽄 𑽅 𑽆 𑽇 𑽈 𑽉 𑽊 𑽋 𑽌 𑽍 𑽎 𑽏 𑽐 𑽑 𑽒 𑽓 𑽔 𑽕 𑽖 𑽗 𑽘 𑽙</t>
        </is>
      </c>
      <c r="P406" s="37" t="inlineStr">
        <is>
          <t>𑼄 𑼅 𑼆 𑼇 𑼈 𑼉 𑼊 𑼋 𑼌 𑼍 𑼎 𑼏 𑼐 𑼒 𑼓 𑼔 𑼕 𑼖 𑼗 𑼘 𑼙 𑼚 𑼛 𑼜 𑼝 𑼞 𑼟 𑼠 𑼡 𑼢 𑼣 𑼤 𑼥 𑼦 𑼧 𑼨 𑼩 𑼪 𑼫 𑼬 𑼭 𑼮 𑼯 𑼰 𑼱 𑼲 𑼳 𑽃 𑽄 𑽅 𑽆 𑽇 𑽈 𑽉 𑽊 𑽋 𑽌 𑽍 𑽎 𑽏 𑽐 𑽑 𑽒 𑽓 𑽔 𑽕 𑽖 𑽗 𑽘 𑽙</t>
        </is>
      </c>
      <c r="Q406" s="38" t="inlineStr">
        <is>
          <t>𑼄 𑼅 𑼆 𑼇 𑼈 𑼉 𑼊 𑼋 𑼌 𑼍 𑼎 𑼏 𑼒 𑼓 𑼔 𑼕 𑼖 𑼗 𑼘 𑼙 𑼚 𑼛 𑼜 𑼝 𑼞 𑼟 𑼠 𑼡 𑼢 𑼣 𑼤 𑼥 𑼦 𑼧 𑼨 𑼩 𑼪 𑼫 𑼬 𑼭 𑼮 𑼯 𑼰 𑼱 𑼲 𑼳 𑽃 𑽄 𑽅 𑽆 𑽇 𑽈 𑽉 𑽊 𑽌 𑽍 𑽎 𑽏</t>
        </is>
      </c>
      <c r="R406" s="43" t="inlineStr"/>
      <c r="S406" s="40" t="n"/>
      <c r="V406" s="14">
        <f>(LEN(O406)+1)/2</f>
        <v/>
      </c>
      <c r="W406" s="14">
        <f>ROUNDDOWN((LEN(P406)+1)/2,0)</f>
        <v/>
      </c>
      <c r="X406" s="14">
        <f>ROUNDDOWN((LEN(Q406)+1)/2,0)</f>
        <v/>
      </c>
      <c r="Y406" s="14">
        <f>ROUNDDOWN((LEN(R406)+1)/2,0)</f>
        <v/>
      </c>
      <c r="Z406" s="14">
        <f>ROUNDDOWN((LEN(S406)+1)/2,0)</f>
        <v/>
      </c>
      <c r="AA406" s="56" t="n">
        <v>46150.55863980552</v>
      </c>
    </row>
    <row r="407" ht="25.5" customHeight="1">
      <c r="B407" s="46" t="inlineStr">
        <is>
          <t>U+11FB0-U+11FB0</t>
        </is>
      </c>
      <c r="C407" s="46" t="inlineStr">
        <is>
          <t>Lisu Supplement</t>
        </is>
      </c>
      <c r="D407" s="54">
        <f>HEX2DEC(MID(B407,3,FIND("-",E407)-3))</f>
        <v/>
      </c>
      <c r="E407" s="46" t="inlineStr">
        <is>
          <t>U+11FB0-U+11FBF</t>
        </is>
      </c>
      <c r="F407" s="12" t="n">
        <v>4</v>
      </c>
      <c r="J407" s="19">
        <f>ROUNDDOWN(W407,0)/$V407</f>
        <v/>
      </c>
      <c r="K407" s="19">
        <f>ROUNDDOWN(X407,0)/$V407</f>
        <v/>
      </c>
      <c r="L407" s="19">
        <f>ROUNDDOWN(Y407,0)/$V407</f>
        <v/>
      </c>
      <c r="M407" s="19">
        <f>ROUNDDOWN(Z407,0)/$V407</f>
        <v/>
      </c>
      <c r="O407" s="36" t="inlineStr">
        <is>
          <t>𑾰</t>
        </is>
      </c>
      <c r="P407" s="37" t="inlineStr">
        <is>
          <t>𑾰</t>
        </is>
      </c>
      <c r="Q407" s="38" t="inlineStr">
        <is>
          <t>𑾰</t>
        </is>
      </c>
      <c r="R407" s="43" t="inlineStr"/>
      <c r="S407" s="40" t="n"/>
      <c r="V407" s="14">
        <f>(LEN(O407)+1)/2</f>
        <v/>
      </c>
      <c r="W407" s="14">
        <f>ROUNDDOWN((LEN(P407)+1)/2,0)</f>
        <v/>
      </c>
      <c r="X407" s="14">
        <f>ROUNDDOWN((LEN(Q407)+1)/2,0)</f>
        <v/>
      </c>
      <c r="Y407" s="14">
        <f>ROUNDDOWN((LEN(R407)+1)/2,0)</f>
        <v/>
      </c>
      <c r="Z407" s="14">
        <f>ROUNDDOWN((LEN(S407)+1)/2,0)</f>
        <v/>
      </c>
      <c r="AA407" s="56" t="n">
        <v>46150.5586399637</v>
      </c>
    </row>
    <row r="408" ht="25.5" customHeight="1">
      <c r="B408" s="46" t="inlineStr">
        <is>
          <t>U+11FC0-U+11FFF</t>
        </is>
      </c>
      <c r="C408" s="46" t="inlineStr">
        <is>
          <t>Tamil Supplement</t>
        </is>
      </c>
      <c r="D408" s="54">
        <f>HEX2DEC(MID(B408,3,FIND("-",E408)-3))</f>
        <v/>
      </c>
      <c r="E408" s="46" t="inlineStr">
        <is>
          <t>U+11FC0-U+11FFF</t>
        </is>
      </c>
      <c r="F408" s="12" t="n">
        <v>4</v>
      </c>
      <c r="J408" s="19">
        <f>ROUNDDOWN(W408,0)/$V408</f>
        <v/>
      </c>
      <c r="K408" s="19">
        <f>ROUNDDOWN(X408,0)/$V408</f>
        <v/>
      </c>
      <c r="L408" s="19">
        <f>ROUNDDOWN(Y408,0)/$V408</f>
        <v/>
      </c>
      <c r="M408" s="19">
        <f>ROUNDDOWN(Z408,0)/$V408</f>
        <v/>
      </c>
      <c r="O408" s="36" t="inlineStr">
        <is>
          <t>𑿀 𑿁 𑿂 𑿃 𑿄 𑿅 𑿆 𑿇 𑿈 𑿉 𑿊 𑿋 𑿌 𑿍 𑿎 𑿏 𑿐 𑿑 𑿒 𑿓 𑿔 𑿕 𑿖 𑿗 𑿘 𑿙 𑿚 𑿛 𑿜 𑿝 𑿞 𑿟 𑿠 𑿡 𑿢 𑿣 𑿤 𑿥 𑿦 𑿧 𑿨 𑿩 𑿪 𑿫 𑿬 𑿭 𑿮 𑿯 𑿰 𑿱 𑿿</t>
        </is>
      </c>
      <c r="P408" s="37" t="inlineStr">
        <is>
          <t>𑿀 𑿁 𑿂 𑿃 𑿄 𑿅 𑿆 𑿇 𑿈 𑿉 𑿊 𑿋 𑿌 𑿍 𑿎 𑿏 𑿐 𑿑 𑿒 𑿓 𑿔 𑿕 𑿖 𑿗 𑿘 𑿙 𑿚 𑿛 𑿜 𑿝 𑿞 𑿟 𑿠 𑿡 𑿢 𑿣 𑿤 𑿥 𑿦 𑿧 𑿨 𑿩 𑿪 𑿫 𑿬 𑿭 𑿮 𑿯 𑿰 𑿱 𑿿</t>
        </is>
      </c>
      <c r="Q408" s="38" t="inlineStr">
        <is>
          <t>𑿕 𑿖 𑿗 𑿘 𑿙 𑿚 𑿛 𑿜 𑿝 𑿞 𑿟 𑿠 𑿡 𑿢 𑿣 𑿤 𑿥 𑿦 𑿧 𑿨 𑿪 𑿫 𑿬 𑿭 𑿮 𑿯 𑿰 𑿱 𑿿</t>
        </is>
      </c>
      <c r="R408" s="43" t="inlineStr"/>
      <c r="S408" s="40" t="n"/>
      <c r="V408" s="14">
        <f>(LEN(O408)+1)/2</f>
        <v/>
      </c>
      <c r="W408" s="14">
        <f>ROUNDDOWN((LEN(P408)+1)/2,0)</f>
        <v/>
      </c>
      <c r="X408" s="14">
        <f>ROUNDDOWN((LEN(Q408)+1)/2,0)</f>
        <v/>
      </c>
      <c r="Y408" s="14">
        <f>ROUNDDOWN((LEN(R408)+1)/2,0)</f>
        <v/>
      </c>
      <c r="Z408" s="14">
        <f>ROUNDDOWN((LEN(S408)+1)/2,0)</f>
        <v/>
      </c>
      <c r="AA408" s="56" t="n">
        <v>46150.55864022446</v>
      </c>
    </row>
    <row r="409" ht="89.25" customHeight="1">
      <c r="B409" s="46" t="inlineStr">
        <is>
          <t>U+12000-U+120E6</t>
        </is>
      </c>
      <c r="C409" s="46" t="inlineStr">
        <is>
          <t>Cuneiform</t>
        </is>
      </c>
      <c r="D409" s="54">
        <f>HEX2DEC(MID(B409,3,FIND("-",E409)-3))</f>
        <v/>
      </c>
      <c r="E409" s="46" t="inlineStr">
        <is>
          <t>U+12000-U+123FF</t>
        </is>
      </c>
      <c r="F409" s="12" t="n">
        <v>4</v>
      </c>
      <c r="J409" s="19">
        <f>ROUNDDOWN(W409,0)/$V409</f>
        <v/>
      </c>
      <c r="K409" s="19">
        <f>ROUNDDOWN(X409,0)/$V409</f>
        <v/>
      </c>
      <c r="L409" s="19">
        <f>ROUNDDOWN(Y409,0)/$V409</f>
        <v/>
      </c>
      <c r="M409" s="19">
        <f>ROUNDDOWN(Z409,0)/$V409</f>
        <v/>
      </c>
      <c r="O409" s="36" t="inlineStr">
        <is>
          <t>𒀀 𒀁 𒀂 𒀃 𒀄 𒀅 𒀆 𒀇 𒀈 𒀉 𒀊 𒀋 𒀌 𒀍 𒀎 𒀏 𒀐 𒀑 𒀒 𒀓 𒀔 𒀕 𒀖 𒀗 𒀘 𒀙 𒀚 𒀛 𒀜 𒀝 𒀞 𒀟 𒀠 𒀡 𒀢 𒀣 𒀤 𒀥 𒀦 𒀧 𒀨 𒀩 𒀪 𒀫 𒀬 𒀭 𒀮 𒀯 𒀰 𒀱 𒀲 𒀳 𒀴 𒀵 𒀶 𒀷 𒀸 𒀹 𒀺 𒀻 𒀼 𒀽 𒀾 𒀿 𒁀 𒁁 𒁂 𒁃 𒁄 𒁅 𒁆 𒁇 𒁈 𒁉 𒁊 𒁋 𒁌 𒁍 𒁎 𒁏 𒁐 𒁑 𒁒 𒁓 𒁔 𒁕 𒁖 𒁗 𒁘 𒁙 𒁚 𒁛 𒁜 𒁝 𒁞 𒁟 𒁠 𒁡 𒁢 𒁣 𒁤 𒁥 𒁦 𒁧 𒁨 𒁩 𒁪 𒁫 𒁬 𒁭 𒁮 𒁯 𒁰 𒁱 𒁲 𒁳 𒁴 𒁵 𒁶 𒁷 𒁸 𒁹 𒁺 𒁻 𒁼 𒁽 𒁾 𒁿 𒂀 𒂁 𒂂 𒂃 𒂄 𒂅 𒂆 𒂇 𒂈 𒂉 𒂊 𒂋 𒂌 𒂍 𒂎 𒂏 𒂐 𒂑 𒂒 𒂓 𒂔 𒂕 𒂖 𒂗 𒂘 𒂙 𒂚 𒂛 𒂜 𒂝 𒂞 𒂟 𒂠 𒂡 𒂢 𒂣 𒂤 𒂥 𒂦 𒂧 𒂨 𒂩 𒂪 𒂫 𒂬 𒂭 𒂮 𒂯 𒂰 𒂱 𒂲 𒂳 𒂴 𒂵 𒂶 𒂷 𒂸 𒂹 𒂺 𒂻 𒂼 𒂽 𒂾 𒂿 𒃀 𒃁 𒃂 𒃃 𒃄 𒃅 𒃆 𒃇 𒃈 𒃉 𒃊 𒃋 𒃌 𒃍 𒃎 𒃏 𒃐 𒃑 𒃒 𒃓 𒃔 𒃕 𒃖 𒃗 𒃘 𒃙 𒃚 𒃛 𒃜 𒃝 𒃞 𒃟 𒃠 𒃡 𒃢 𒃣 𒃤 𒃥 𒃦</t>
        </is>
      </c>
      <c r="P409" s="37" t="inlineStr">
        <is>
          <t>𒀀 𒀁 𒀂 𒀃 𒀄 𒀅 𒀆 𒀇 𒀈 𒀉 𒀊 𒀋 𒀌 𒀍 𒀎 𒀏 𒀐 𒀑 𒀒 𒀓 𒀔 𒀕 𒀖 𒀗 𒀘 𒀙 𒀚 𒀛 𒀜 𒀝 𒀞 𒀟 𒀠 𒀡 𒀢 𒀣 𒀤 𒀥 𒀦 𒀧 𒀨 𒀩 𒀪 𒀫 𒀬 𒀭 𒀮 𒀯 𒀰 𒀱 𒀲 𒀳 𒀴 𒀵 𒀶 𒀷 𒀸 𒀹 𒀺 𒀻 𒀼 𒀽 𒀾 𒀿 𒁀 𒁁 𒁂 𒁃 𒁄 𒁅 𒁆 𒁇 𒁈 𒁉 𒁊 𒁋 𒁌 𒁍 𒁎 𒁏 𒁐 𒁑 𒁒 𒁓 𒁔 𒁕 𒁖 𒁗 𒁘 𒁙 𒁚 𒁛 𒁜 𒁝 𒁞 𒁟 𒁠 𒁡 𒁢 𒁣 𒁤 𒁥 𒁦 𒁧 𒁨 𒁩 𒁪 𒁫 𒁬 𒁭 𒁮 𒁯 𒁰 𒁱 𒁲 𒁳 𒁴 𒁵 𒁶 𒁷 𒁸 𒁹 𒁺 𒁻 𒁼 𒁽 𒁾 𒁿 𒂀 𒂁 𒂂 𒂃 𒂄 𒂅 𒂆 𒂇 𒂈 𒂉 𒂊 𒂋 𒂌 𒂍 𒂎 𒂏 𒂐 𒂑 𒂒 𒂓 𒂔 𒂕 𒂖 𒂗 𒂘 𒂙 𒂚 𒂛 𒂜 𒂝 𒂞 𒂟 𒂠 𒂡 𒂢 𒂣 𒂤 𒂥 𒂦 𒂧 𒂨 𒂩 𒂪 𒂫 𒂬 𒂭 𒂮 𒂯 𒂰 𒂱 𒂲 𒂳 𒂴 𒂵 𒂶 𒂷 𒂸 𒂹 𒂺 𒂻 𒂼 𒂽 𒂾 𒂿 𒃀 𒃁 𒃂 𒃃 𒃄 𒃅 𒃆 𒃇 𒃈 𒃉 𒃊 𒃋 𒃌 𒃍 𒃎 𒃏 𒃐 𒃑 𒃒 𒃓 𒃔 𒃕 𒃖 𒃗 𒃘 𒃙 𒃚 𒃛 𒃜 𒃝 𒃞 𒃟 𒃠 𒃡 𒃢 𒃣 𒃤 𒃥 𒃦</t>
        </is>
      </c>
      <c r="Q409" s="38" t="inlineStr">
        <is>
          <t>𒀀 𒀁 𒀂 𒀃 𒀄 𒀅 𒀆 𒀇 𒀈 𒀉 𒀊 𒀋 𒀌 𒀍 𒀎 𒀏 𒀐 𒀑 𒀒 𒀓 𒀔 𒀕 𒀖 𒀗 𒀘 𒀙 𒀚 𒀛 𒀜 𒀝 𒀞 𒀟 𒀠 𒀡 𒀢 𒀣 𒀤 𒀥 𒀦 𒀧 𒀨 𒀩 𒀪 𒀫 𒀬 𒀭 𒀮 𒀯 𒀰 𒀱 𒀲 𒀳 𒀴 𒀵 𒀶 𒀷 𒀸 𒀹 𒀺 𒀻 𒀼 𒀽 𒀾 𒀿 𒁀 𒁁 𒁂 𒁃 𒁄 𒁅 𒁆 𒁇 𒁈 𒁉 𒁊 𒁋 𒁌 𒁍 𒁎 𒁏 𒁐 𒁑 𒁒 𒁓 𒁔 𒁕 𒁖 𒁗 𒁘 𒁙 𒁚 𒁛 𒁜 𒁝 𒁞 𒁟 𒁠 𒁡 𒁢 𒁣 𒁤 𒁥 𒁦 𒁧 𒁨 𒁩 𒁪 𒁫 𒁬 𒁭 𒁮 𒁯 𒁰 𒁱 𒁲 𒁳 𒁴 𒁵 𒁶 𒁷 𒁸 𒁹 𒁺 𒁻 𒁼 𒁽 𒁾 𒁿 𒂀 𒂁 𒂂 𒂃 𒂄 𒂅 𒂆 𒂇 𒂈 𒂉 𒂊 𒂋 𒂌 𒂍 𒂎 𒂏 𒂐 𒂑 𒂒 𒂓 𒂔 𒂕 𒂖 𒂗 𒂘 𒂙 𒂚 𒂛 𒂜 𒂝 𒂞 𒂟 𒂠 𒂡 𒂢 𒂣 𒂤 𒂥 𒂦 𒂧 𒂨 𒂩 𒂪 𒂫 𒂬 𒂭 𒂮 𒂯 𒂰 𒂱 𒂲 𒂳 𒂴 𒂵 𒂶 𒂷 𒂸 𒂹 𒂺 𒂻 𒂼 𒂽 𒂾 𒂿 𒃀 𒃁 𒃂 𒃃 𒃄 𒃅 𒃆 𒃇 𒃈 𒃉 𒃊 𒃋 𒃌 𒃍 𒃎 𒃏 𒃐 𒃑 𒃒 𒃓 𒃔 𒃕 𒃖 𒃗 𒃘 𒃙 𒃚 𒃛 𒃜 𒃝 𒃞 𒃟 𒃠 𒃡 𒃢 𒃣 𒃤 𒃥 𒃦</t>
        </is>
      </c>
      <c r="R409" s="43" t="inlineStr"/>
      <c r="S409" s="40" t="n"/>
      <c r="V409" s="14">
        <f>(LEN(O409)+1)/2</f>
        <v/>
      </c>
      <c r="W409" s="14">
        <f>ROUNDDOWN((LEN(P409)+1)/2,0)</f>
        <v/>
      </c>
      <c r="X409" s="14">
        <f>ROUNDDOWN((LEN(Q409)+1)/2,0)</f>
        <v/>
      </c>
      <c r="Y409" s="14">
        <f>ROUNDDOWN((LEN(R409)+1)/2,0)</f>
        <v/>
      </c>
      <c r="Z409" s="14">
        <f>ROUNDDOWN((LEN(S409)+1)/2,0)</f>
        <v/>
      </c>
      <c r="AA409" s="56" t="n">
        <v>46150.55864120802</v>
      </c>
    </row>
    <row r="410" ht="89.25" customHeight="1">
      <c r="B410" s="46" t="inlineStr">
        <is>
          <t>U+120E7-U+121CD</t>
        </is>
      </c>
      <c r="C410" s="46" t="inlineStr">
        <is>
          <t>Cuneiform</t>
        </is>
      </c>
      <c r="D410" s="54">
        <f>HEX2DEC(MID(B410,3,FIND("-",E410)-3))</f>
        <v/>
      </c>
      <c r="E410" s="46" t="inlineStr">
        <is>
          <t>U+12000-U+123FF</t>
        </is>
      </c>
      <c r="F410" s="12" t="n">
        <v>4</v>
      </c>
      <c r="J410" s="19">
        <f>ROUNDDOWN(W410,0)/$V410</f>
        <v/>
      </c>
      <c r="K410" s="19">
        <f>ROUNDDOWN(X410,0)/$V410</f>
        <v/>
      </c>
      <c r="L410" s="19">
        <f>ROUNDDOWN(Y410,0)/$V410</f>
        <v/>
      </c>
      <c r="M410" s="19">
        <f>ROUNDDOWN(Z410,0)/$V410</f>
        <v/>
      </c>
      <c r="O410" s="36" t="inlineStr">
        <is>
          <t>𒃧 𒃨 𒃩 𒃪 𒃫 𒃬 𒃭 𒃮 𒃯 𒃰 𒃱 𒃲 𒃳 𒃴 𒃵 𒃶 𒃷 𒃸 𒃹 𒃺 𒃻 𒃼 𒃽 𒃾 𒃿 𒄀 𒄁 𒄂 𒄃 𒄄 𒄅 𒄆 𒄇 𒄈 𒄉 𒄊 𒄋 𒄌 𒄍 𒄎 𒄏 𒄐 𒄑 𒄒 𒄓 𒄔 𒄕 𒄖 𒄗 𒄘 𒄙 𒄚 𒄛 𒄜 𒄝 𒄞 𒄟 𒄠 𒄡 𒄢 𒄣 𒄤 𒄥 𒄦 𒄧 𒄨 𒄩 𒄪 𒄫 𒄬 𒄭 𒄮 𒄯 𒄰 𒄱 𒄲 𒄳 𒄴 𒄵 𒄶 𒄷 𒄸 𒄹 𒄺 𒄻 𒄼 𒄽 𒄾 𒄿 𒅀 𒅁 𒅂 𒅃 𒅄 𒅅 𒅆 𒅇 𒅈 𒅉 𒅊 𒅋 𒅌 𒅍 𒅎 𒅏 𒅐 𒅑 𒅒 𒅓 𒅔 𒅕 𒅖 𒅗 𒅘 𒅙 𒅚 𒅛 𒅜 𒅝 𒅞 𒅟 𒅠 𒅡 𒅢 𒅣 𒅤 𒅥 𒅦 𒅧 𒅨 𒅩 𒅪 𒅫 𒅬 𒅭 𒅮 𒅯 𒅰 𒅱 𒅲 𒅳 𒅴 𒅵 𒅶 𒅷 𒅸 𒅹 𒅺 𒅻 𒅼 𒅽 𒅾 𒅿 𒆀 𒆁 𒆂 𒆃 𒆄 𒆅 𒆆 𒆇 𒆈 𒆉 𒆊 𒆋 𒆌 𒆍 𒆎 𒆏 𒆐 𒆑 𒆒 𒆓 𒆔 𒆕 𒆖 𒆗 𒆘 𒆙 𒆚 𒆛 𒆜 𒆝 𒆞 𒆟 𒆠 𒆡 𒆢 𒆣 𒆤 𒆥 𒆦 𒆧 𒆨 𒆩 𒆪 𒆫 𒆬 𒆭 𒆮 𒆯 𒆰 𒆱 𒆲 𒆳 𒆴 𒆵 𒆶 𒆷 𒆸 𒆹 𒆺 𒆻 𒆼 𒆽 𒆾 𒆿 𒇀 𒇁 𒇂 𒇃 𒇄 𒇅 𒇆 𒇇 𒇈 𒇉 𒇊 𒇋 𒇌 𒇍</t>
        </is>
      </c>
      <c r="P410" s="37" t="inlineStr">
        <is>
          <t>𒃧 𒃨 𒃩 𒃪 𒃫 𒃬 𒃭 𒃮 𒃯 𒃰 𒃱 𒃲 𒃳 𒃴 𒃵 𒃶 𒃷 𒃸 𒃹 𒃺 𒃻 𒃼 𒃽 𒃾 𒃿 𒄀 𒄁 𒄂 𒄃 𒄄 𒄅 𒄆 𒄇 𒄈 𒄉 𒄊 𒄋 𒄌 𒄍 𒄎 𒄏 𒄐 𒄑 𒄒 𒄓 𒄔 𒄕 𒄖 𒄗 𒄘 𒄙 𒄚 𒄛 𒄜 𒄝 𒄞 𒄟 𒄠 𒄡 𒄢 𒄣 𒄤 𒄥 𒄦 𒄧 𒄨 𒄩 𒄪 𒄫 𒄬 𒄭 𒄮 𒄯 𒄰 𒄱 𒄲 𒄳 𒄴 𒄵 𒄶 𒄷 𒄸 𒄹 𒄺 𒄻 𒄼 𒄽 𒄾 𒄿 𒅀 𒅁 𒅂 𒅃 𒅄 𒅅 𒅆 𒅇 𒅈 𒅉 𒅊 𒅋 𒅌 𒅍 𒅎 𒅏 𒅐 𒅑 𒅒 𒅓 𒅔 𒅕 𒅖 𒅗 𒅘 𒅙 𒅚 𒅛 𒅜 𒅝 𒅞 𒅟 𒅠 𒅡 𒅢 𒅣 𒅤 𒅥 𒅦 𒅧 𒅨 𒅩 𒅪 𒅫 𒅬 𒅭 𒅮 𒅯 𒅰 𒅱 𒅲 𒅳 𒅴 𒅵 𒅶 𒅷 𒅸 𒅹 𒅺 𒅻 𒅼 𒅽 𒅾 𒅿 𒆀 𒆁 𒆂 𒆃 𒆄 𒆅 𒆆 𒆇 𒆈 𒆉 𒆊 𒆋 𒆌 𒆍 𒆎 𒆏 𒆐 𒆑 𒆒 𒆓 𒆔 𒆕 𒆖 𒆗 𒆘 𒆙 𒆚 𒆛 𒆜 𒆝 𒆞 𒆟 𒆠 𒆡 𒆢 𒆣 𒆤 𒆥 𒆦 𒆧 𒆨 𒆩 𒆪 𒆫 𒆬 𒆭 𒆮 𒆯 𒆰 𒆱 𒆲 𒆳 𒆴 𒆵 𒆶 𒆷 𒆸 𒆹 𒆺 𒆻 𒆼 𒆽 𒆾 𒆿 𒇀 𒇁 𒇂 𒇃 𒇄 𒇅 𒇆 𒇇 𒇈 𒇉 𒇊 𒇋 𒇌 𒇍</t>
        </is>
      </c>
      <c r="Q410" s="38" t="inlineStr">
        <is>
          <t>𒃧 𒃨 𒃩 𒃪 𒃫 𒃬 𒃭 𒃮 𒃯 𒃰 𒃱 𒃲 𒃳 𒃴 𒃵 𒃶 𒃷 𒃸 𒃹 𒃺 𒃻 𒃼 𒃽 𒃾 𒃿 𒄀 𒄁 𒄂 𒄃 𒄄 𒄅 𒄆 𒄇 𒄈 𒄉 𒄊 𒄋 𒄌 𒄍 𒄎 𒄏 𒄐 𒄑 𒄒 𒄓 𒄔 𒄕 𒄖 𒄗 𒄘 𒄙 𒄚 𒄛 𒄜 𒄝 𒄞 𒄟 𒄠 𒄡 𒄢 𒄣 𒄤 𒄥 𒄦 𒄧 𒄨 𒄩 𒄪 𒄫 𒄬 𒄭 𒄮 𒄯 𒄰 𒄱 𒄲 𒄳 𒄴 𒄵 𒄶 𒄷 𒄸 𒄹 𒄺 𒄻 𒄼 𒄽 𒄾 𒄿 𒅀 𒅁 𒅂 𒅃 𒅄 𒅅 𒅆 𒅇 𒅈 𒅉 𒅊 𒅋 𒅌 𒅍 𒅎 𒅏 𒅐 𒅑 𒅒 𒅓 𒅔 𒅕 𒅖 𒅗 𒅘 𒅙 𒅚 𒅛 𒅜 𒅝 𒅞 𒅟 𒅠 𒅡 𒅢 𒅣 𒅤 𒅥 𒅦 𒅧 𒅨 𒅩 𒅪 𒅫 𒅬 𒅭 𒅮 𒅯 𒅰 𒅱 𒅲 𒅳 𒅴 𒅵 𒅶 𒅷 𒅸 𒅹 𒅺 𒅻 𒅼 𒅽 𒅾 𒅿 𒆀 𒆁 𒆂 𒆃 𒆄 𒆅 𒆆 𒆇 𒆈 𒆉 𒆊 𒆋 𒆌 𒆍 𒆎 𒆏 𒆐 𒆑 𒆒 𒆓 𒆔 𒆕 𒆖 𒆗 𒆘 𒆙 𒆚 𒆛 𒆜 𒆝 𒆞 𒆟 𒆠 𒆡 𒆢 𒆣 𒆤 𒆥 𒆦 𒆧 𒆨 𒆩 𒆪 𒆫 𒆬 𒆭 𒆮 𒆯 𒆰 𒆱 𒆲 𒆳 𒆴 𒆵 𒆶 𒆷 𒆸 𒆹 𒆺 𒆻 𒆼 𒆽 𒆾 𒆿 𒇀 𒇁 𒇂 𒇃 𒇄 𒇅 𒇆 𒇇 𒇈 𒇉 𒇊 𒇋 𒇌 𒇍</t>
        </is>
      </c>
      <c r="R410" s="43" t="inlineStr"/>
      <c r="S410" s="40" t="n"/>
      <c r="V410" s="14">
        <f>(LEN(O410)+1)/2</f>
        <v/>
      </c>
      <c r="W410" s="14">
        <f>ROUNDDOWN((LEN(P410)+1)/2,0)</f>
        <v/>
      </c>
      <c r="X410" s="14">
        <f>ROUNDDOWN((LEN(Q410)+1)/2,0)</f>
        <v/>
      </c>
      <c r="Y410" s="14">
        <f>ROUNDDOWN((LEN(R410)+1)/2,0)</f>
        <v/>
      </c>
      <c r="Z410" s="14">
        <f>ROUNDDOWN((LEN(S410)+1)/2,0)</f>
        <v/>
      </c>
      <c r="AA410" s="56" t="n">
        <v>46150.55864219341</v>
      </c>
    </row>
    <row r="411" ht="89.25" customHeight="1">
      <c r="B411" s="46" t="inlineStr">
        <is>
          <t>U+121CE-U+122B3</t>
        </is>
      </c>
      <c r="C411" s="46" t="inlineStr">
        <is>
          <t>Cuneiform</t>
        </is>
      </c>
      <c r="D411" s="54">
        <f>HEX2DEC(MID(B411,3,FIND("-",E411)-3))</f>
        <v/>
      </c>
      <c r="E411" s="46" t="inlineStr">
        <is>
          <t>U+12000-U+123FF</t>
        </is>
      </c>
      <c r="F411" s="12" t="n">
        <v>4</v>
      </c>
      <c r="J411" s="19">
        <f>ROUNDDOWN(W411,0)/$V411</f>
        <v/>
      </c>
      <c r="K411" s="19">
        <f>ROUNDDOWN(X411,0)/$V411</f>
        <v/>
      </c>
      <c r="L411" s="19">
        <f>ROUNDDOWN(Y411,0)/$V411</f>
        <v/>
      </c>
      <c r="M411" s="19">
        <f>ROUNDDOWN(Z411,0)/$V411</f>
        <v/>
      </c>
      <c r="O411" s="36" t="inlineStr">
        <is>
          <t>𒇎 𒇏 𒇐 𒇑 𒇒 𒇓 𒇔 𒇕 𒇖 𒇗 𒇘 𒇙 𒇚 𒇛 𒇜 𒇝 𒇞 𒇟 𒇠 𒇡 𒇢 𒇣 𒇤 𒇥 𒇦 𒇧 𒇨 𒇩 𒇪 𒇫 𒇬 𒇭 𒇮 𒇯 𒇰 𒇱 𒇲 𒇳 𒇴 𒇵 𒇶 𒇷 𒇸 𒇹 𒇺 𒇻 𒇼 𒇽 𒇾 𒇿 𒈀 𒈁 𒈂 𒈃 𒈄 𒈅 𒈆 𒈇 𒈈 𒈉 𒈊 𒈋 𒈌 𒈍 𒈎 𒈏 𒈐 𒈑 𒈒 𒈓 𒈔 𒈕 𒈖 𒈗 𒈘 𒈙 𒈚 𒈛 𒈜 𒈝 𒈞 𒈟 𒈠 𒈡 𒈢 𒈣 𒈤 𒈥 𒈦 𒈧 𒈨 𒈩 𒈪 𒈫 𒈬 𒈭 𒈮 𒈯 𒈰 𒈱 𒈲 𒈳 𒈴 𒈵 𒈶 𒈷 𒈸 𒈹 𒈺 𒈻 𒈼 𒈽 𒈾 𒈿 𒉀 𒉁 𒉂 𒉃 𒉄 𒉅 𒉆 𒉇 𒉈 𒉉 𒉊 𒉋 𒉌 𒉍 𒉎 𒉏 𒉐 𒉑 𒉒 𒉓 𒉔 𒉕 𒉖 𒉗 𒉘 𒉙 𒉚 𒉛 𒉜 𒉝 𒉞 𒉟 𒉠 𒉡 𒉢 𒉣 𒉤 𒉥 𒉦 𒉧 𒉨 𒉩 𒉪 𒉫 𒉬 𒉭 𒉮 𒉯 𒉰 𒉱 𒉲 𒉳 𒉴 𒉵 𒉶 𒉷 𒉸 𒉹 𒉺 𒉻 𒉼 𒉽 𒉾 𒉿 𒊀 𒊁 𒊂 𒊃 𒊄 𒊅 𒊆 𒊇 𒊈 𒊉 𒊊 𒊋 𒊌 𒊍 𒊎 𒊏 𒊐 𒊑 𒊒 𒊓 𒊔 𒊕 𒊖 𒊗 𒊘 𒊙 𒊚 𒊛 𒊜 𒊝 𒊞 𒊟 𒊠 𒊡 𒊢 𒊣 𒊤 𒊥 𒊦 𒊧 𒊨 𒊩 𒊪 𒊫 𒊬 𒊭 𒊮 𒊯 𒊰 𒊱 𒊲 𒊳</t>
        </is>
      </c>
      <c r="P411" s="37" t="inlineStr">
        <is>
          <t>𒇎 𒇏 𒇐 𒇑 𒇒 𒇓 𒇔 𒇕 𒇖 𒇗 𒇘 𒇙 𒇚 𒇛 𒇜 𒇝 𒇞 𒇟 𒇠 𒇡 𒇢 𒇣 𒇤 𒇥 𒇦 𒇧 𒇨 𒇩 𒇪 𒇫 𒇬 𒇭 𒇮 𒇯 𒇰 𒇱 𒇲 𒇳 𒇴 𒇵 𒇶 𒇷 𒇸 𒇹 𒇺 𒇻 𒇼 𒇽 𒇾 𒇿 𒈀 𒈁 𒈂 𒈃 𒈄 𒈅 𒈆 𒈇 𒈈 𒈉 𒈊 𒈋 𒈌 𒈍 𒈎 𒈏 𒈐 𒈑 𒈒 𒈓 𒈔 𒈕 𒈖 𒈗 𒈘 𒈙 𒈚 𒈛 𒈜 𒈝 𒈞 𒈟 𒈠 𒈡 𒈢 𒈣 𒈤 𒈥 𒈦 𒈧 𒈨 𒈩 𒈪 𒈫 𒈬 𒈭 𒈮 𒈯 𒈰 𒈱 𒈲 𒈳 𒈴 𒈵 𒈶 𒈷 𒈸 𒈹 𒈺 𒈻 𒈼 𒈽 𒈾 𒈿 𒉀 𒉁 𒉂 𒉃 𒉄 𒉅 𒉆 𒉇 𒉈 𒉉 𒉊 𒉋 𒉌 𒉍 𒉎 𒉏 𒉐 𒉑 𒉒 𒉓 𒉔 𒉕 𒉖 𒉗 𒉘 𒉙 𒉚 𒉛 𒉜 𒉝 𒉞 𒉟 𒉠 𒉡 𒉢 𒉣 𒉤 𒉥 𒉦 𒉧 𒉨 𒉩 𒉪 𒉫 𒉬 𒉭 𒉮 𒉯 𒉰 𒉱 𒉲 𒉳 𒉴 𒉵 𒉶 𒉷 𒉸 𒉹 𒉺 𒉻 𒉼 𒉽 𒉾 𒉿 𒊀 𒊁 𒊂 𒊃 𒊄 𒊅 𒊆 𒊇 𒊈 𒊉 𒊊 𒊋 𒊌 𒊍 𒊎 𒊏 𒊐 𒊑 𒊒 𒊓 𒊔 𒊕 𒊖 𒊗 𒊘 𒊙 𒊚 𒊛 𒊜 𒊝 𒊞 𒊟 𒊠 𒊡 𒊢 𒊣 𒊤 𒊥 𒊦 𒊧 𒊨 𒊩 𒊪 𒊫 𒊬 𒊭 𒊮 𒊯 𒊰 𒊱 𒊲 𒊳</t>
        </is>
      </c>
      <c r="Q411" s="38" t="inlineStr">
        <is>
          <t>𒇎 𒇏 𒇐 𒇑 𒇒 𒇓 𒇔 𒇕 𒇖 𒇗 𒇘 𒇙 𒇚 𒇛 𒇜 𒇝 𒇞 𒇟 𒇠 𒇡 𒇢 𒇣 𒇤 𒇥 𒇦 𒇧 𒇨 𒇩 𒇪 𒇫 𒇬 𒇭 𒇮 𒇯 𒇰 𒇱 𒇲 𒇳 𒇴 𒇵 𒇶 𒇷 𒇸 𒇹 𒇺 𒇻 𒇼 𒇽 𒇾 𒇿 𒈀 𒈁 𒈂 𒈃 𒈄 𒈅 𒈆 𒈇 𒈈 𒈉 𒈊 𒈋 𒈌 𒈍 𒈎 𒈏 𒈐 𒈑 𒈒 𒈓 𒈔 𒈕 𒈖 𒈗 𒈘 𒈙 𒈚 𒈛 𒈜 𒈝 𒈞 𒈟 𒈠 𒈡 𒈢 𒈣 𒈤 𒈥 𒈦 𒈧 𒈨 𒈩 𒈪 𒈫 𒈬 𒈭 𒈮 𒈯 𒈰 𒈱 𒈲 𒈳 𒈴 𒈵 𒈶 𒈷 𒈸 𒈹 𒈺 𒈻 𒈼 𒈽 𒈾 𒈿 𒉀 𒉁 𒉂 𒉃 𒉄 𒉅 𒉆 𒉇 𒉈 𒉉 𒉊 𒉋 𒉌 𒉍 𒉎 𒉏 𒉐 𒉑 𒉒 𒉓 𒉔 𒉕 𒉖 𒉗 𒉘 𒉙 𒉚 𒉛 𒉜 𒉝 𒉞 𒉟 𒉠 𒉡 𒉢 𒉣 𒉤 𒉥 𒉦 𒉧 𒉨 𒉩 𒉪 𒉫 𒉬 𒉭 𒉮 𒉯 𒉰 𒉱 𒉲 𒉳 𒉴 𒉵 𒉶 𒉷 𒉸 𒉹 𒉺 𒉻 𒉼 𒉽 𒉾 𒉿 𒊀 𒊁 𒊂 𒊃 𒊄 𒊅 𒊆 𒊇 𒊈 𒊉 𒊊 𒊋 𒊌 𒊍 𒊎 𒊏 𒊐 𒊑 𒊒 𒊓 𒊔 𒊕 𒊖 𒊗 𒊘 𒊙 𒊚 𒊛 𒊜 𒊝 𒊞 𒊟 𒊠 𒊡 𒊢 𒊣 𒊤 𒊥 𒊦 𒊧 𒊨 𒊩 𒊪 𒊫 𒊬 𒊭 𒊮 𒊯 𒊰 𒊱 𒊲 𒊳</t>
        </is>
      </c>
      <c r="R411" s="43" t="inlineStr"/>
      <c r="S411" s="40" t="n"/>
      <c r="V411" s="14">
        <f>(LEN(O411)+1)/2</f>
        <v/>
      </c>
      <c r="W411" s="14">
        <f>ROUNDDOWN((LEN(P411)+1)/2,0)</f>
        <v/>
      </c>
      <c r="X411" s="14">
        <f>ROUNDDOWN((LEN(Q411)+1)/2,0)</f>
        <v/>
      </c>
      <c r="Y411" s="14">
        <f>ROUNDDOWN((LEN(R411)+1)/2,0)</f>
        <v/>
      </c>
      <c r="Z411" s="14">
        <f>ROUNDDOWN((LEN(S411)+1)/2,0)</f>
        <v/>
      </c>
      <c r="AA411" s="56" t="n">
        <v>46150.55864317143</v>
      </c>
    </row>
    <row r="412" ht="89.25" customHeight="1">
      <c r="B412" s="46" t="inlineStr">
        <is>
          <t>U+122B4-U+12399</t>
        </is>
      </c>
      <c r="C412" s="46" t="inlineStr">
        <is>
          <t>Cuneiform</t>
        </is>
      </c>
      <c r="D412" s="54">
        <f>HEX2DEC(MID(B412,3,FIND("-",E412)-3))</f>
        <v/>
      </c>
      <c r="E412" s="46" t="inlineStr">
        <is>
          <t>U+12000-U+123FF</t>
        </is>
      </c>
      <c r="F412" s="12" t="n">
        <v>4</v>
      </c>
      <c r="J412" s="19">
        <f>ROUNDDOWN(W412,0)/$V412</f>
        <v/>
      </c>
      <c r="K412" s="19">
        <f>ROUNDDOWN(X412,0)/$V412</f>
        <v/>
      </c>
      <c r="L412" s="19">
        <f>ROUNDDOWN(Y412,0)/$V412</f>
        <v/>
      </c>
      <c r="M412" s="19">
        <f>ROUNDDOWN(Z412,0)/$V412</f>
        <v/>
      </c>
      <c r="O412" s="36" t="inlineStr">
        <is>
          <t>𒊴 𒊵 𒊶 𒊷 𒊸 𒊹 𒊺 𒊻 𒊼 𒊽 𒊾 𒊿 𒋀 𒋁 𒋂 𒋃 𒋄 𒋅 𒋆 𒋇 𒋈 𒋉 𒋊 𒋋 𒋌 𒋍 𒋎 𒋏 𒋐 𒋑 𒋒 𒋓 𒋔 𒋕 𒋖 𒋗 𒋘 𒋙 𒋚 𒋛 𒋜 𒋝 𒋞 𒋟 𒋠 𒋡 𒋢 𒋣 𒋤 𒋥 𒋦 𒋧 𒋨 𒋩 𒋪 𒋫 𒋬 𒋭 𒋮 𒋯 𒋰 𒋱 𒋲 𒋳 𒋴 𒋵 𒋶 𒋷 𒋸 𒋹 𒋺 𒋻 𒋼 𒋽 𒋾 𒋿 𒌀 𒌁 𒌂 𒌃 𒌄 𒌅 𒌆 𒌇 𒌈 𒌉 𒌊 𒌋 𒌌 𒌍 𒌎 𒌏 𒌐 𒌑 𒌒 𒌓 𒌔 𒌕 𒌖 𒌗 𒌘 𒌙 𒌚 𒌛 𒌜 𒌝 𒌞 𒌟 𒌠 𒌡 𒌢 𒌣 𒌤 𒌥 𒌦 𒌧 𒌨 𒌩 𒌪 𒌫 𒌬 𒌭 𒌮 𒌯 𒌰 𒌱 𒌲 𒌳 𒌴 𒌵 𒌶 𒌷 𒌸 𒌹 𒌺 𒌻 𒌼 𒌽 𒌾 𒌿 𒍀 𒍁 𒍂 𒍃 𒍄 𒍅 𒍆 𒍇 𒍈 𒍉 𒍊 𒍋 𒍌 𒍍 𒍎 𒍏 𒍐 𒍑 𒍒 𒍓 𒍔 𒍕 𒍖 𒍗 𒍘 𒍙 𒍚 𒍛 𒍜 𒍝 𒍞 𒍟 𒍠 𒍡 𒍢 𒍣 𒍤 𒍥 𒍦 𒍧 𒍨 𒍩 𒍪 𒍫 𒍬 𒍭 𒍮 𒍯 𒍰 𒍱 𒍲 𒍳 𒍴 𒍵 𒍶 𒍷 𒍸 𒍹 𒍺 𒍻 𒍼 𒍽 𒍾 𒍿 𒎀 𒎁 𒎂 𒎃 𒎄 𒎅 𒎆 𒎇 𒎈 𒎉 𒎊 𒎋 𒎌 𒎍 𒎎 𒎏 𒎐 𒎑 𒎒 𒎓 𒎔 𒎕 𒎖 𒎗 𒎘 𒎙</t>
        </is>
      </c>
      <c r="P412" s="37" t="inlineStr">
        <is>
          <t>𒊴 𒊵 𒊶 𒊷 𒊸 𒊹 𒊺 𒊻 𒊼 𒊽 𒊾 𒊿 𒋀 𒋁 𒋂 𒋃 𒋄 𒋅 𒋆 𒋇 𒋈 𒋉 𒋊 𒋋 𒋌 𒋍 𒋎 𒋏 𒋐 𒋑 𒋒 𒋓 𒋔 𒋕 𒋖 𒋗 𒋘 𒋙 𒋚 𒋛 𒋜 𒋝 𒋞 𒋟 𒋠 𒋡 𒋢 𒋣 𒋤 𒋥 𒋦 𒋧 𒋨 𒋩 𒋪 𒋫 𒋬 𒋭 𒋮 𒋯 𒋰 𒋱 𒋲 𒋳 𒋴 𒋵 𒋶 𒋷 𒋸 𒋹 𒋺 𒋻 𒋼 𒋽 𒋾 𒋿 𒌀 𒌁 𒌂 𒌃 𒌄 𒌅 𒌆 𒌇 𒌈 𒌉 𒌊 𒌋 𒌌 𒌍 𒌎 𒌏 𒌐 𒌑 𒌒 𒌓 𒌔 𒌕 𒌖 𒌗 𒌘 𒌙 𒌚 𒌛 𒌜 𒌝 𒌞 𒌟 𒌠 𒌡 𒌢 𒌣 𒌤 𒌥 𒌦 𒌧 𒌨 𒌩 𒌪 𒌫 𒌬 𒌭 𒌮 𒌯 𒌰 𒌱 𒌲 𒌳 𒌴 𒌵 𒌶 𒌷 𒌸 𒌹 𒌺 𒌻 𒌼 𒌽 𒌾 𒌿 𒍀 𒍁 𒍂 𒍃 𒍄 𒍅 𒍆 𒍇 𒍈 𒍉 𒍊 𒍋 𒍌 𒍍 𒍎 𒍏 𒍐 𒍑 𒍒 𒍓 𒍔 𒍕 𒍖 𒍗 𒍘 𒍙 𒍚 𒍛 𒍜 𒍝 𒍞 𒍟 𒍠 𒍡 𒍢 𒍣 𒍤 𒍥 𒍦 𒍧 𒍨 𒍩 𒍪 𒍫 𒍬 𒍭 𒍮 𒍯 𒍰 𒍱 𒍲 𒍳 𒍴 𒍵 𒍶 𒍷 𒍸 𒍹 𒍺 𒍻 𒍼 𒍽 𒍾 𒍿 𒎀 𒎁 𒎂 𒎃 𒎄 𒎅 𒎆 𒎇 𒎈 𒎉 𒎊 𒎋 𒎌 𒎍 𒎎 𒎏 𒎐 𒎑 𒎒 𒎓 𒎔 𒎕 𒎖 𒎗 𒎘 𒎙</t>
        </is>
      </c>
      <c r="Q412" s="38" t="inlineStr">
        <is>
          <t>𒊴 𒊵 𒊶 𒊷 𒊸 𒊹 𒊺 𒊻 𒊼 𒊽 𒊾 𒊿 𒋀 𒋁 𒋂 𒋃 𒋄 𒋅 𒋆 𒋇 𒋈 𒋉 𒋊 𒋋 𒋌 𒋍 𒋎 𒋏 𒋐 𒋑 𒋒 𒋓 𒋔 𒋕 𒋖 𒋗 𒋘 𒋙 𒋚 𒋛 𒋜 𒋝 𒋞 𒋟 𒋠 𒋡 𒋢 𒋣 𒋤 𒋥 𒋦 𒋧 𒋨 𒋩 𒋪 𒋫 𒋬 𒋭 𒋮 𒋯 𒋰 𒋱 𒋲 𒋳 𒋴 𒋵 𒋶 𒋷 𒋸 𒋹 𒋺 𒋻 𒋼 𒋽 𒋾 𒋿 𒌀 𒌁 𒌂 𒌃 𒌄 𒌅 𒌆 𒌇 𒌈 𒌉 𒌊 𒌋 𒌌 𒌍 𒌎 𒌏 𒌐 𒌑 𒌒 𒌓 𒌔 𒌕 𒌖 𒌗 𒌘 𒌙 𒌚 𒌛 𒌜 𒌝 𒌞 𒌟 𒌠 𒌡 𒌢 𒌣 𒌤 𒌥 𒌦 𒌧 𒌨 𒌩 𒌪 𒌫 𒌬 𒌭 𒌮 𒌯 𒌰 𒌱 𒌲 𒌳 𒌴 𒌵 𒌶 𒌷 𒌸 𒌹 𒌺 𒌻 𒌼 𒌽 𒌾 𒌿 𒍀 𒍁 𒍂 𒍃 𒍄 𒍅 𒍆 𒍇 𒍈 𒍉 𒍊 𒍋 𒍌 𒍍 𒍎 𒍏 𒍐 𒍑 𒍒 𒍓 𒍔 𒍕 𒍖 𒍗 𒍘 𒍙 𒍚 𒍛 𒍜 𒍝 𒍞 𒍟 𒍠 𒍡 𒍢 𒍣 𒍤 𒍥 𒍦 𒍧 𒍨 𒍩 𒍪 𒍫 𒍬 𒍭 𒍮 𒍯 𒍰 𒍱 𒍲 𒍳 𒍴 𒍵 𒍶 𒍷 𒍸 𒍹 𒍺 𒍻 𒍼 𒍽 𒍾 𒍿 𒎀 𒎁 𒎂 𒎃 𒎄 𒎅 𒎆 𒎇 𒎈 𒎉 𒎊 𒎋 𒎌 𒎍 𒎎 𒎏 𒎐 𒎑 𒎒 𒎓 𒎔 𒎕 𒎖 𒎗 𒎘 𒎙</t>
        </is>
      </c>
      <c r="R412" s="43" t="inlineStr"/>
      <c r="S412" s="40" t="n"/>
      <c r="V412" s="14">
        <f>(LEN(O412)+1)/2</f>
        <v/>
      </c>
      <c r="W412" s="14">
        <f>ROUNDDOWN((LEN(P412)+1)/2,0)</f>
        <v/>
      </c>
      <c r="X412" s="14">
        <f>ROUNDDOWN((LEN(Q412)+1)/2,0)</f>
        <v/>
      </c>
      <c r="Y412" s="14">
        <f>ROUNDDOWN((LEN(R412)+1)/2,0)</f>
        <v/>
      </c>
      <c r="Z412" s="14">
        <f>ROUNDDOWN((LEN(S412)+1)/2,0)</f>
        <v/>
      </c>
      <c r="AA412" s="56" t="n">
        <v>46150.5586441554</v>
      </c>
    </row>
    <row r="413" ht="51" customHeight="1">
      <c r="B413" s="46" t="inlineStr">
        <is>
          <t>U+12400-U+12474</t>
        </is>
      </c>
      <c r="C413" s="46" t="inlineStr">
        <is>
          <t>Cuneiform Numbers and Punctuation</t>
        </is>
      </c>
      <c r="D413" s="54">
        <f>HEX2DEC(MID(B413,3,FIND("-",E413)-3))</f>
        <v/>
      </c>
      <c r="E413" s="46" t="inlineStr">
        <is>
          <t>U+12400-U+1247F</t>
        </is>
      </c>
      <c r="F413" s="12" t="n">
        <v>4</v>
      </c>
      <c r="J413" s="19">
        <f>ROUNDDOWN(W413,0)/$V413</f>
        <v/>
      </c>
      <c r="K413" s="19">
        <f>ROUNDDOWN(X413,0)/$V413</f>
        <v/>
      </c>
      <c r="L413" s="19">
        <f>ROUNDDOWN(Y413,0)/$V413</f>
        <v/>
      </c>
      <c r="M413" s="19">
        <f>ROUNDDOWN(Z413,0)/$V413</f>
        <v/>
      </c>
      <c r="O413" s="36" t="inlineStr">
        <is>
          <t>𒐀 𒐁 𒐂 𒐃 𒐄 𒐅 𒐆 𒐇 𒐈 𒐉 𒐊 𒐋 𒐌 𒐍 𒐎 𒐏 𒐐 𒐑 𒐒 𒐓 𒐔 𒐕 𒐖 𒐗 𒐘 𒐙 𒐚 𒐛 𒐜 𒐝 𒐞 𒐟 𒐠 𒐡 𒐢 𒐣 𒐤 𒐥 𒐦 𒐧 𒐨 𒐩 𒐪 𒐫 𒐬 𒐭 𒐮 𒐯 𒐰 𒐱 𒐲 𒐳 𒐴 𒐵 𒐶 𒐷 𒐸 𒐹 𒐺 𒐻 𒐼 𒐽 𒐾 𒐿 𒑀 𒑁 𒑂 𒑃 𒑄 𒑅 𒑆 𒑇 𒑈 𒑉 𒑊 𒑋 𒑌 𒑍 𒑎 𒑏 𒑐 𒑑 𒑒 𒑓 𒑔 𒑕 𒑖 𒑗 𒑘 𒑙 𒑚 𒑛 𒑜 𒑝 𒑞 𒑟 𒑠 𒑡 𒑢 𒑣 𒑤 𒑥 𒑦 𒑧 𒑨 𒑩 𒑪 𒑫 𒑬 𒑭 𒑮 𒑰 𒑱 𒑲 𒑳 𒑴</t>
        </is>
      </c>
      <c r="P413" s="37" t="inlineStr">
        <is>
          <t>𒐀 𒐁 𒐂 𒐃 𒐄 𒐅 𒐆 𒐇 𒐈 𒐉 𒐊 𒐋 𒐌 𒐍 𒐎 𒐏 𒐐 𒐑 𒐒 𒐓 𒐔 𒐕 𒐖 𒐗 𒐘 𒐙 𒐚 𒐛 𒐜 𒐝 𒐞 𒐟 𒐠 𒐡 𒐢 𒐣 𒐤 𒐥 𒐦 𒐧 𒐨 𒐩 𒐪 𒐫 𒐬 𒐭 𒐮 𒐯 𒐰 𒐱 𒐲 𒐳 𒐴 𒐵 𒐶 𒐷 𒐸 𒐹 𒐺 𒐻 𒐼 𒐽 𒐾 𒐿 𒑀 𒑁 𒑂 𒑃 𒑄 𒑅 𒑆 𒑇 𒑈 𒑉 𒑊 𒑋 𒑌 𒑍 𒑎 𒑏 𒑐 𒑑 𒑒 𒑓 𒑔 𒑕 𒑖 𒑗 𒑘 𒑙 𒑚 𒑛 𒑜 𒑝 𒑞 𒑟 𒑠 𒑡 𒑢 𒑣 𒑤 𒑥 𒑦 𒑧 𒑨 𒑩 𒑪 𒑫 𒑬 𒑭 𒑮 𒑰 𒑱 𒑲 𒑳 𒑴</t>
        </is>
      </c>
      <c r="Q413" s="38" t="inlineStr">
        <is>
          <t>𒐀 𒐁 𒐂 𒐃 𒐄 𒐅 𒐆 𒐇 𒐈 𒐉 𒐊 𒐋 𒐌 𒐍 𒐎 𒐏 𒐐 𒐑 𒐒 𒐓 𒐔 𒐕 𒐖 𒐗 𒐘 𒐙 𒐚 𒐛 𒐜 𒐝 𒐞 𒐟 𒐠 𒐡 𒐢 𒐣 𒐤 𒐥 𒐦 𒐧 𒐨 𒐩 𒐪 𒐫 𒐬 𒐭 𒐮 𒐯 𒐰 𒐱 𒐲 𒐳 𒐴 𒐵 𒐶 𒐷 𒐸 𒐹 𒐺 𒐻 𒐼 𒐽 𒐾 𒐿 𒑀 𒑁 𒑂 𒑃 𒑄 𒑅 𒑆 𒑇 𒑈 𒑉 𒑊 𒑋 𒑌 𒑍 𒑎 𒑏 𒑐 𒑑 𒑒 𒑓 𒑔 𒑕 𒑖 𒑗 𒑘 𒑙 𒑚 𒑛 𒑜 𒑝 𒑞 𒑟 𒑠 𒑡 𒑢 𒑣 𒑤 𒑥 𒑦 𒑧 𒑨 𒑩 𒑪 𒑫 𒑬 𒑭 𒑮 𒑰 𒑱 𒑲 𒑳 𒑴</t>
        </is>
      </c>
      <c r="R413" s="43" t="inlineStr"/>
      <c r="S413" s="40" t="n"/>
      <c r="V413" s="14">
        <f>(LEN(O413)+1)/2</f>
        <v/>
      </c>
      <c r="W413" s="14">
        <f>ROUNDDOWN((LEN(P413)+1)/2,0)</f>
        <v/>
      </c>
      <c r="X413" s="14">
        <f>ROUNDDOWN((LEN(Q413)+1)/2,0)</f>
        <v/>
      </c>
      <c r="Y413" s="14">
        <f>ROUNDDOWN((LEN(R413)+1)/2,0)</f>
        <v/>
      </c>
      <c r="Z413" s="14">
        <f>ROUNDDOWN((LEN(S413)+1)/2,0)</f>
        <v/>
      </c>
      <c r="AA413" s="56" t="n">
        <v>46150.55864473543</v>
      </c>
    </row>
    <row r="414" ht="76.5" customHeight="1">
      <c r="B414" s="46" t="inlineStr">
        <is>
          <t>U+12480-U+12543</t>
        </is>
      </c>
      <c r="C414" s="46" t="inlineStr">
        <is>
          <t>Early Dynastic Cuneiform</t>
        </is>
      </c>
      <c r="D414" s="54">
        <f>HEX2DEC(MID(B414,3,FIND("-",E414)-3))</f>
        <v/>
      </c>
      <c r="E414" s="46" t="inlineStr">
        <is>
          <t>U+12480-U+1254F</t>
        </is>
      </c>
      <c r="F414" s="12" t="n">
        <v>4</v>
      </c>
      <c r="J414" s="19">
        <f>ROUNDDOWN(W414,0)/$V414</f>
        <v/>
      </c>
      <c r="K414" s="19">
        <f>ROUNDDOWN(X414,0)/$V414</f>
        <v/>
      </c>
      <c r="L414" s="19">
        <f>ROUNDDOWN(Y414,0)/$V414</f>
        <v/>
      </c>
      <c r="M414" s="19">
        <f>ROUNDDOWN(Z414,0)/$V414</f>
        <v/>
      </c>
      <c r="O414" s="36" t="inlineStr">
        <is>
          <t>𒒀 𒒁 𒒂 𒒃 𒒄 𒒅 𒒆 𒒇 𒒈 𒒉 𒒊 𒒋 𒒌 𒒍 𒒎 𒒏 𒒐 𒒑 𒒒 𒒓 𒒔 𒒕 𒒖 𒒗 𒒘 𒒙 𒒚 𒒛 𒒜 𒒝 𒒞 𒒟 𒒠 𒒡 𒒢 𒒣 𒒤 𒒥 𒒦 𒒧 𒒨 𒒩 𒒪 𒒫 𒒬 𒒭 𒒮 𒒯 𒒰 𒒱 𒒲 𒒳 𒒴 𒒵 𒒶 𒒷 𒒸 𒒹 𒒺 𒒻 𒒼 𒒽 𒒾 𒒿 𒓀 𒓁 𒓂 𒓃 𒓄 𒓅 𒓆 𒓇 𒓈 𒓉 𒓊 𒓋 𒓌 𒓍 𒓎 𒓏 𒓐 𒓑 𒓒 𒓓 𒓔 𒓕 𒓖 𒓗 𒓘 𒓙 𒓚 𒓛 𒓜 𒓝 𒓞 𒓟 𒓠 𒓡 𒓢 𒓣 𒓤 𒓥 𒓦 𒓧 𒓨 𒓩 𒓪 𒓫 𒓬 𒓭 𒓮 𒓯 𒓰 𒓱 𒓲 𒓳 𒓴 𒓵 𒓶 𒓷 𒓸 𒓹 𒓺 𒓻 𒓼 𒓽 𒓾 𒓿 𒔀 𒔁 𒔂 𒔃 𒔄 𒔅 𒔆 𒔇 𒔈 𒔉 𒔊 𒔋 𒔌 𒔍 𒔎 𒔏 𒔐 𒔑 𒔒 𒔓 𒔔 𒔕 𒔖 𒔗 𒔘 𒔙 𒔚 𒔛 𒔜 𒔝 𒔞 𒔟 𒔠 𒔡 𒔢 𒔣 𒔤 𒔥 𒔦 𒔧 𒔨 𒔩 𒔪 𒔫 𒔬 𒔭 𒔮 𒔯 𒔰 𒔱 𒔲 𒔳 𒔴 𒔵 𒔶 𒔷 𒔸 𒔹 𒔺 𒔻 𒔼 𒔽 𒔾 𒔿 𒕀 𒕁 𒕂 𒕃</t>
        </is>
      </c>
      <c r="P414" s="37" t="inlineStr">
        <is>
          <t>𒒀 𒒁 𒒂 𒒃 𒒄 𒒅 𒒆 𒒇 𒒈 𒒉 𒒊 𒒋 𒒌 𒒍 𒒎 𒒏 𒒐 𒒑 𒒒 𒒓 𒒔 𒒕 𒒖 𒒗 𒒘 𒒙 𒒚 𒒛 𒒜 𒒝 𒒞 𒒟 𒒠 𒒡 𒒢 𒒣 𒒤 𒒥 𒒦 𒒧 𒒨 𒒩 𒒪 𒒫 𒒬 𒒭 𒒮 𒒯 𒒰 𒒱 𒒲 𒒳 𒒴 𒒵 𒒶 𒒷 𒒸 𒒹 𒒺 𒒻 𒒼 𒒽 𒒾 𒒿 𒓀 𒓁 𒓂 𒓃 𒓄 𒓅 𒓆 𒓇 𒓈 𒓉 𒓊 𒓋 𒓌 𒓍 𒓎 𒓏 𒓐 𒓑 𒓒 𒓓 𒓔 𒓕 𒓖 𒓗 𒓘 𒓙 𒓚 𒓛 𒓜 𒓝 𒓞 𒓟 𒓠 𒓡 𒓢 𒓣 𒓤 𒓥 𒓦 𒓧 𒓨 𒓩 𒓪 𒓫 𒓬 𒓭 𒓮 𒓯 𒓰 𒓱 𒓲 𒓳 𒓴 𒓵 𒓶 𒓷 𒓸 𒓹 𒓺 𒓻 𒓼 𒓽 𒓾 𒓿 𒔀 𒔁 𒔂 𒔃 𒔄 𒔅 𒔆 𒔇 𒔈 𒔉 𒔊 𒔋 𒔌 𒔍 𒔎 𒔏 𒔐 𒔑 𒔒 𒔓 𒔔 𒔕 𒔖 𒔗 𒔘 𒔙 𒔚 𒔛 𒔜 𒔝 𒔞 𒔟 𒔠 𒔡 𒔢 𒔣 𒔤 𒔥 𒔦 𒔧 𒔨 𒔩 𒔪 𒔫 𒔬 𒔭 𒔮 𒔯 𒔰 𒔱 𒔲 𒔳 𒔴 𒔵 𒔶 𒔷 𒔸 𒔹 𒔺 𒔻 𒔼 𒔽 𒔾 𒔿 𒕀 𒕁 𒕂 𒕃</t>
        </is>
      </c>
      <c r="Q414" s="38" t="inlineStr">
        <is>
          <t>𒒀 𒒁 𒒂 𒒃 𒒄 𒒅 𒒆 𒒇 𒒈 𒒉 𒒊 𒒋 𒒌 𒒍 𒒎 𒒏 𒒐 𒒑 𒒒 𒒓 𒒔 𒒕 𒒖 𒒗 𒒘 𒒙 𒒚 𒒛 𒒜 𒒝 𒒞 𒒟 𒒠 𒒡 𒒢 𒒣 𒒤 𒒥 𒒦 𒒧 𒒨 𒒩 𒒪 𒒫 𒒬 𒒭 𒒮 𒒯 𒒰 𒒱 𒒲 𒒳 𒒴 𒒵 𒒶 𒒷 𒒸 𒒹 𒒺 𒒻 𒒼 𒒽 𒒾 𒒿 𒓀 𒓁 𒓂 𒓃 𒓄 𒓅 𒓆 𒓇 𒓈 𒓉 𒓊 𒓋 𒓌 𒓍 𒓎 𒓏 𒓐 𒓑 𒓒 𒓓 𒓔 𒓕 𒓖 𒓗 𒓘 𒓙 𒓚 𒓛 𒓜 𒓝 𒓞 𒓟 𒓠 𒓡 𒓢 𒓣 𒓤 𒓥 𒓦 𒓧 𒓨 𒓩 𒓪 𒓫 𒓬 𒓭 𒓮 𒓯 𒓰 𒓱 𒓲 𒓳 𒓴 𒓵 𒓶 𒓷 𒓸 𒓹 𒓺 𒓻 𒓼 𒓽 𒓾 𒓿 𒔀 𒔁 𒔂 𒔃 𒔄 𒔅 𒔆 𒔇 𒔈 𒔉 𒔊 𒔋 𒔌 𒔍 𒔎 𒔏 𒔐 𒔑 𒔒 𒔓 𒔔 𒔕 𒔖 𒔗 𒔘 𒔙 𒔚 𒔛 𒔜 𒔝 𒔞 𒔟 𒔠 𒔡 𒔢 𒔣 𒔤 𒔥 𒔦 𒔧 𒔨 𒔩 𒔪 𒔫 𒔬 𒔭 𒔮 𒔯 𒔰 𒔱 𒔲 𒔳 𒔴 𒔵 𒔶 𒔷 𒔸 𒔹 𒔺 𒔻 𒔼 𒔽 𒔾 𒔿 𒕀 𒕁 𒕂 𒕃</t>
        </is>
      </c>
      <c r="R414" s="43" t="inlineStr"/>
      <c r="S414" s="40" t="n"/>
      <c r="V414" s="14">
        <f>(LEN(O414)+1)/2</f>
        <v/>
      </c>
      <c r="W414" s="14">
        <f>ROUNDDOWN((LEN(P414)+1)/2,0)</f>
        <v/>
      </c>
      <c r="X414" s="14">
        <f>ROUNDDOWN((LEN(Q414)+1)/2,0)</f>
        <v/>
      </c>
      <c r="Y414" s="14">
        <f>ROUNDDOWN((LEN(R414)+1)/2,0)</f>
        <v/>
      </c>
      <c r="Z414" s="14">
        <f>ROUNDDOWN((LEN(S414)+1)/2,0)</f>
        <v/>
      </c>
      <c r="AA414" s="56" t="n">
        <v>46150.55864561161</v>
      </c>
    </row>
    <row r="415" ht="38.25" customHeight="1">
      <c r="B415" s="46" t="inlineStr">
        <is>
          <t>U+12F90-U+12FF2</t>
        </is>
      </c>
      <c r="C415" s="46" t="inlineStr">
        <is>
          <t>Cypro-Minoan</t>
        </is>
      </c>
      <c r="D415" s="54">
        <f>HEX2DEC(MID(B415,3,FIND("-",E415)-3))</f>
        <v/>
      </c>
      <c r="E415" s="46" t="inlineStr">
        <is>
          <t>U+12F90-U+12FFF</t>
        </is>
      </c>
      <c r="F415" s="12" t="n">
        <v>4</v>
      </c>
      <c r="J415" s="19">
        <f>ROUNDDOWN(W415,0)/$V415</f>
        <v/>
      </c>
      <c r="K415" s="19">
        <f>ROUNDDOWN(X415,0)/$V415</f>
        <v/>
      </c>
      <c r="L415" s="19">
        <f>ROUNDDOWN(Y415,0)/$V415</f>
        <v/>
      </c>
      <c r="M415" s="19">
        <f>ROUNDDOWN(Z415,0)/$V415</f>
        <v/>
      </c>
      <c r="O415" s="36" t="inlineStr">
        <is>
          <t>𒾐 𒾑 𒾒 𒾓 𒾔 𒾕 𒾖 𒾗 𒾘 𒾙 𒾚 𒾛 𒾜 𒾝 𒾞 𒾟 𒾠 𒾡 𒾢 𒾣 𒾤 𒾥 𒾦 𒾧 𒾨 𒾩 𒾪 𒾫 𒾬 𒾭 𒾮 𒾯 𒾰 𒾱 𒾲 𒾳 𒾴 𒾵 𒾶 𒾷 𒾸 𒾹 𒾺 𒾻 𒾼 𒾽 𒾾 𒾿 𒿀 𒿁 𒿂 𒿃 𒿄 𒿅 𒿆 𒿇 𒿈 𒿉 𒿊 𒿋 𒿌 𒿍 𒿎 𒿏 𒿐 𒿑 𒿒 𒿓 𒿔 𒿕 𒿖 𒿗 𒿘 𒿙 𒿚 𒿛 𒿜 𒿝 𒿞 𒿟 𒿠 𒿡 𒿢 𒿣 𒿤 𒿥 𒿦 𒿧 𒿨 𒿩 𒿪 𒿫 𒿬 𒿭 𒿮 𒿯 𒿰 𒿱 𒿲</t>
        </is>
      </c>
      <c r="P415" s="37" t="inlineStr">
        <is>
          <t>𒾐 𒾑 𒾒 𒾓 𒾔 𒾕 𒾖 𒾗 𒾘 𒾙 𒾚 𒾛 𒾜 𒾝 𒾞 𒾟 𒾠 𒾡 𒾢 𒾣 𒾤 𒾥 𒾦 𒾧 𒾨 𒾩 𒾪 𒾫 𒾬 𒾭 𒾮 𒾯 𒾰 𒾱 𒾲 𒾳 𒾴 𒾵 𒾶 𒾷 𒾸 𒾹 𒾺 𒾻 𒾼 𒾽 𒾾 𒾿 𒿀 𒿁 𒿂 𒿃 𒿄 𒿅 𒿆 𒿇 𒿈 𒿉 𒿊 𒿋 𒿌 𒿍 𒿎 𒿏 𒿐 𒿑 𒿒 𒿓 𒿔 𒿕 𒿖 𒿗 𒿘 𒿙 𒿚 𒿛 𒿜 𒿝 𒿞 𒿟 𒿠 𒿡 𒿢 𒿣 𒿤 𒿥 𒿦 𒿧 𒿨 𒿩 𒿪 𒿫 𒿬 𒿭 𒿮 𒿯 𒿰 𒿱 𒿲</t>
        </is>
      </c>
      <c r="Q415" s="38" t="inlineStr">
        <is>
          <t>𒾐 𒾑 𒾒 𒾓 𒾔 𒾕 𒾖 𒾗 𒾘 𒾙 𒾚 𒾛 𒾜 𒾝 𒾞 𒾟 𒾠 𒾡 𒾢 𒾣 𒾤 𒾥 𒾦 𒾧 𒾨 𒾩 𒾪 𒾫 𒾬 𒾭 𒾮 𒾯 𒾰 𒾱 𒾲 𒾳 𒾴 𒾵 𒾶 𒾷 𒾸 𒾹 𒾺 𒾻 𒾼 𒾽 𒾾 𒾿 𒿀 𒿁 𒿂 𒿃 𒿄 𒿅 𒿆 𒿇 𒿈 𒿉 𒿊 𒿋 𒿌 𒿍 𒿎 𒿏 𒿐 𒿑 𒿒 𒿓 𒿔 𒿕 𒿖 𒿗 𒿘 𒿙 𒿚 𒿛 𒿜 𒿝 𒿞 𒿟 𒿠 𒿡 𒿢 𒿣 𒿤 𒿥 𒿦 𒿧 𒿨 𒿩 𒿪 𒿫 𒿬 𒿭 𒿮 𒿯 𒿰 𒿱 𒿲</t>
        </is>
      </c>
      <c r="R415" s="43" t="inlineStr"/>
      <c r="S415" s="40" t="n"/>
      <c r="V415" s="14">
        <f>(LEN(O415)+1)/2</f>
        <v/>
      </c>
      <c r="W415" s="14">
        <f>ROUNDDOWN((LEN(P415)+1)/2,0)</f>
        <v/>
      </c>
      <c r="X415" s="14">
        <f>ROUNDDOWN((LEN(Q415)+1)/2,0)</f>
        <v/>
      </c>
      <c r="Y415" s="14">
        <f>ROUNDDOWN((LEN(R415)+1)/2,0)</f>
        <v/>
      </c>
      <c r="Z415" s="14">
        <f>ROUNDDOWN((LEN(S415)+1)/2,0)</f>
        <v/>
      </c>
      <c r="AA415" s="56" t="n">
        <v>46150.55864612381</v>
      </c>
    </row>
    <row r="416" ht="89.25" customHeight="1">
      <c r="B416" s="46" t="inlineStr">
        <is>
          <t>U+13000-U+130D6</t>
        </is>
      </c>
      <c r="C416" s="46" t="inlineStr">
        <is>
          <t>Egyptian Hieroglyphs</t>
        </is>
      </c>
      <c r="D416" s="54">
        <f>HEX2DEC(MID(B416,3,FIND("-",E416)-3))</f>
        <v/>
      </c>
      <c r="E416" s="46" t="inlineStr">
        <is>
          <t>U+13000-U+1342F</t>
        </is>
      </c>
      <c r="F416" s="12" t="n">
        <v>4</v>
      </c>
      <c r="J416" s="19">
        <f>ROUNDDOWN(W416,0)/$V416</f>
        <v/>
      </c>
      <c r="K416" s="19">
        <f>ROUNDDOWN(X416,0)/$V416</f>
        <v/>
      </c>
      <c r="L416" s="19">
        <f>ROUNDDOWN(Y416,0)/$V416</f>
        <v/>
      </c>
      <c r="M416" s="19">
        <f>ROUNDDOWN(Z416,0)/$V416</f>
        <v/>
      </c>
      <c r="O416" s="36" t="inlineStr">
        <is>
          <t>𓀀 𓀁 𓀂 𓀃 𓀄 𓀅 𓀆 𓀇 𓀈 𓀉 𓀊 𓀋 𓀌 𓀍 𓀎 𓀏 𓀐 𓀑 𓀒 𓀓 𓀔 𓀕 𓀖 𓀗 𓀘 𓀙 𓀚 𓀛 𓀜 𓀝 𓀞 𓀟 𓀠 𓀡 𓀢 𓀣 𓀤 𓀥 𓀦 𓀧 𓀨 𓀩 𓀪 𓀫 𓀬 𓀭 𓀮 𓀯 𓀰 𓀱 𓀲 𓀳 𓀴 𓀵 𓀶 𓀷 𓀸 𓀹 𓀺 𓀻 𓀼 𓀽 𓀾 𓀿 𓁀 𓁁 𓁂 𓁃 𓁄 𓁅 𓁆 𓁇 𓁈 𓁉 𓁊 𓁋 𓁌 𓁍 𓁎 𓁏 𓁐 𓁑 𓁒 𓁓 𓁔 𓁕 𓁖 𓁗 𓁘 𓁙 𓁚 𓁛 𓁜 𓁝 𓁞 𓁟 𓁠 𓁡 𓁢 𓁣 𓁤 𓁥 𓁦 𓁧 𓁨 𓁩 𓁪 𓁫 𓁬 𓁭 𓁮 𓁯 𓁰 𓁱 𓁲 𓁳 𓁴 𓁵 𓁶 𓁷 𓁸 𓁹 𓁺 𓁻 𓁼 𓁽 𓁾 𓁿 𓂀 𓂁 𓂂 𓂃 𓂄 𓂅 𓂆 𓂇 𓂈 𓂉 𓂊 𓂋 𓂌 𓂍 𓂎 𓂏 𓂐 𓂑 𓂒 𓂓 𓂔 𓂕 𓂖 𓂗 𓂘 𓂙 𓂚 𓂛 𓂜 𓂝 𓂞 𓂟 𓂠 𓂡 𓂢 𓂣 𓂤 𓂥 𓂦 𓂧 𓂨 𓂩 𓂪 𓂫 𓂬 𓂭 𓂮 𓂯 𓂰 𓂱 𓂲 𓂳 𓂴 𓂵 𓂶 𓂷 𓂸 𓂹 𓂺 𓂻 𓂼 𓂽 𓂾 𓂿 𓃀 𓃁 𓃂 𓃃 𓃄 𓃅 𓃆 𓃇 𓃈 𓃉 𓃊 𓃋 𓃌 𓃍 𓃎 𓃏 𓃐 𓃑 𓃒 𓃓 𓃔 𓃕 𓃖</t>
        </is>
      </c>
      <c r="P416" s="37" t="inlineStr">
        <is>
          <t>𓀀 𓀁 𓀂 𓀃 𓀄 𓀅 𓀆 𓀇 𓀈 𓀉 𓀊 𓀋 𓀌 𓀍 𓀎 𓀏 𓀐 𓀑 𓀒 𓀓 𓀔 𓀕 𓀖 𓀗 𓀘 𓀙 𓀚 𓀛 𓀜 𓀝 𓀞 𓀟 𓀠 𓀡 𓀢 𓀣 𓀤 𓀥 𓀦 𓀧 𓀨 𓀩 𓀪 𓀫 𓀬 𓀭 𓀮 𓀯 𓀰 𓀱 𓀲 𓀳 𓀴 𓀵 𓀶 𓀷 𓀸 𓀹 𓀺 𓀻 𓀼 𓀽 𓀾 𓀿 𓁀 𓁁 𓁂 𓁃 𓁄 𓁅 𓁆 𓁇 𓁈 𓁉 𓁊 𓁋 𓁌 𓁍 𓁎 𓁏 𓁐 𓁑 𓁒 𓁓 𓁔 𓁕 𓁖 𓁗 𓁘 𓁙 𓁚 𓁛 𓁜 𓁝 𓁞 𓁟 𓁠 𓁡 𓁢 𓁣 𓁤 𓁥 𓁦 𓁧 𓁨 𓁩 𓁪 𓁫 𓁬 𓁭 𓁮 𓁯 𓁰 𓁱 𓁲 𓁳 𓁴 𓁵 𓁶 𓁷 𓁸 𓁹 𓁺 𓁻 𓁼 𓁽 𓁾 𓁿 𓂀 𓂁 𓂂 𓂃 𓂄 𓂅 𓂆 𓂇 𓂈 𓂉 𓂊 𓂋 𓂌 𓂍 𓂎 𓂏 𓂐 𓂑 𓂒 𓂓 𓂔 𓂕 𓂖 𓂗 𓂘 𓂙 𓂚 𓂛 𓂜 𓂝 𓂞 𓂟 𓂠 𓂡 𓂢 𓂣 𓂤 𓂥 𓂦 𓂧 𓂨 𓂩 𓂪 𓂫 𓂬 𓂭 𓂮 𓂯 𓂰 𓂱 𓂲 𓂳 𓂴 𓂵 𓂶 𓂷 𓂸 𓂹 𓂺 𓂻 𓂼 𓂽 𓂾 𓂿 𓃀 𓃁 𓃂 𓃃 𓃄 𓃅 𓃆 𓃇 𓃈 𓃉 𓃊 𓃋 𓃌 𓃍 𓃎 𓃏 𓃐 𓃑 𓃒 𓃓 𓃔 𓃕 𓃖</t>
        </is>
      </c>
      <c r="Q416" s="38" t="inlineStr">
        <is>
          <t>𓀀 𓀁 𓀂 𓀃 𓀄 𓀅 𓀆 𓀇 𓀈 𓀉 𓀊 𓀋 𓀌 𓀍 𓀎 𓀏 𓀐 𓀑 𓀒 𓀓 𓀔 𓀕 𓀖 𓀗 𓀘 𓀙 𓀚 𓀛 𓀜 𓀝 𓀞 𓀟 𓀠 𓀡 𓀢 𓀣 𓀤 𓀥 𓀦 𓀧 𓀨 𓀩 𓀪 𓀫 𓀬 𓀭 𓀮 𓀯 𓀰 𓀱 𓀲 𓀳 𓀴 𓀵 𓀶 𓀷 𓀸 𓀹 𓀺 𓀻 𓀼 𓀽 𓀾 𓀿 𓁀 𓁁 𓁂 𓁃 𓁄 𓁅 𓁆 𓁇 𓁈 𓁉 𓁊 𓁋 𓁌 𓁍 𓁎 𓁏 𓁐 𓁑 𓁒 𓁓 𓁔 𓁕 𓁖 𓁗 𓁘 𓁙 𓁚 𓁛 𓁜 𓁝 𓁞 𓁟 𓁠 𓁡 𓁢 𓁣 𓁤 𓁥 𓁦 𓁧 𓁨 𓁩 𓁪 𓁫 𓁬 𓁭 𓁮 𓁯 𓁰 𓁱 𓁲 𓁳 𓁴 𓁵 𓁶 𓁷 𓁸 𓁹 𓁺 𓁻 𓁼 𓁽 𓁾 𓁿 𓂀 𓂁 𓂂 𓂃 𓂄 𓂅 𓂆 𓂇 𓂈 𓂉 𓂊 𓂋 𓂌 𓂍 𓂎 𓂏 𓂐 𓂑 𓂒 𓂓 𓂔 𓂕 𓂖 𓂗 𓂘 𓂙 𓂚 𓂛 𓂜 𓂝 𓂞 𓂟 𓂠 𓂡 𓂢 𓂣 𓂤 𓂥 𓂦 𓂧 𓂨 𓂩 𓂪 𓂫 𓂬 𓂭 𓂮 𓂯 𓂰 𓂱 𓂲 𓂳 𓂴 𓂵 𓂶 𓂷 𓂸 𓂹 𓂺 𓂻 𓂼 𓂽 𓂾 𓂿 𓃀 𓃁 𓃂 𓃃 𓃄 𓃅 𓃆 𓃇 𓃈 𓃉 𓃊 𓃋 𓃌 𓃍 𓃎 𓃏 𓃐 𓃑 𓃒 𓃓 𓃔 𓃕 𓃖</t>
        </is>
      </c>
      <c r="R416" s="43" t="inlineStr"/>
      <c r="S416" s="40" t="n"/>
      <c r="V416" s="14">
        <f>(LEN(O416)+1)/2</f>
        <v/>
      </c>
      <c r="W416" s="14">
        <f>ROUNDDOWN((LEN(P416)+1)/2,0)</f>
        <v/>
      </c>
      <c r="X416" s="14">
        <f>ROUNDDOWN((LEN(Q416)+1)/2,0)</f>
        <v/>
      </c>
      <c r="Y416" s="14">
        <f>ROUNDDOWN((LEN(R416)+1)/2,0)</f>
        <v/>
      </c>
      <c r="Z416" s="14">
        <f>ROUNDDOWN((LEN(S416)+1)/2,0)</f>
        <v/>
      </c>
      <c r="AA416" s="56" t="n">
        <v>46150.55864704929</v>
      </c>
    </row>
    <row r="417" ht="89.25" customHeight="1">
      <c r="B417" s="46" t="inlineStr">
        <is>
          <t>U+130D7-U+131AD</t>
        </is>
      </c>
      <c r="C417" s="46" t="inlineStr">
        <is>
          <t>Egyptian Hieroglyphs</t>
        </is>
      </c>
      <c r="D417" s="54">
        <f>HEX2DEC(MID(B417,3,FIND("-",E417)-3))</f>
        <v/>
      </c>
      <c r="E417" s="46" t="inlineStr">
        <is>
          <t>U+13000-U+1342F</t>
        </is>
      </c>
      <c r="F417" s="12" t="n">
        <v>4</v>
      </c>
      <c r="J417" s="19">
        <f>ROUNDDOWN(W417,0)/$V417</f>
        <v/>
      </c>
      <c r="K417" s="19">
        <f>ROUNDDOWN(X417,0)/$V417</f>
        <v/>
      </c>
      <c r="L417" s="19">
        <f>ROUNDDOWN(Y417,0)/$V417</f>
        <v/>
      </c>
      <c r="M417" s="19">
        <f>ROUNDDOWN(Z417,0)/$V417</f>
        <v/>
      </c>
      <c r="O417" s="36" t="inlineStr">
        <is>
          <t>𓃗 𓃘 𓃙 𓃚 𓃛 𓃜 𓃝 𓃞 𓃟 𓃠 𓃡 𓃢 𓃣 𓃤 𓃥 𓃦 𓃧 𓃨 𓃩 𓃪 𓃫 𓃬 𓃭 𓃮 𓃯 𓃰 𓃱 𓃲 𓃳 𓃴 𓃵 𓃶 𓃷 𓃸 𓃹 𓃺 𓃻 𓃼 𓃽 𓃾 𓃿 𓄀 𓄁 𓄂 𓄃 𓄄 𓄅 𓄆 𓄇 𓄈 𓄉 𓄊 𓄋 𓄌 𓄍 𓄎 𓄏 𓄐 𓄑 𓄒 𓄓 𓄔 𓄕 𓄖 𓄗 𓄘 𓄙 𓄚 𓄛 𓄜 𓄝 𓄞 𓄟 𓄠 𓄡 𓄢 𓄣 𓄤 𓄥 𓄦 𓄧 𓄨 𓄩 𓄪 𓄫 𓄬 𓄭 𓄮 𓄯 𓄰 𓄱 𓄲 𓄳 𓄴 𓄵 𓄶 𓄷 𓄸 𓄹 𓄺 𓄻 𓄼 𓄽 𓄾 𓄿 𓅀 𓅁 𓅂 𓅃 𓅄 𓅅 𓅆 𓅇 𓅈 𓅉 𓅊 𓅋 𓅌 𓅍 𓅎 𓅏 𓅐 𓅑 𓅒 𓅓 𓅔 𓅕 𓅖 𓅗 𓅘 𓅙 𓅚 𓅛 𓅜 𓅝 𓅞 𓅟 𓅠 𓅡 𓅢 𓅣 𓅤 𓅥 𓅦 𓅧 𓅨 𓅩 𓅪 𓅫 𓅬 𓅭 𓅮 𓅯 𓅰 𓅱 𓅲 𓅳 𓅴 𓅵 𓅶 𓅷 𓅸 𓅹 𓅺 𓅻 𓅼 𓅽 𓅾 𓅿 𓆀 𓆁 𓆂 𓆃 𓆄 𓆅 𓆆 𓆇 𓆈 𓆉 𓆊 𓆋 𓆌 𓆍 𓆎 𓆏 𓆐 𓆑 𓆒 𓆓 𓆔 𓆕 𓆖 𓆗 𓆘 𓆙 𓆚 𓆛 𓆜 𓆝 𓆞 𓆟 𓆠 𓆡 𓆢 𓆣 𓆤 𓆥 𓆦 𓆧 𓆨 𓆩 𓆪 𓆫 𓆬 𓆭</t>
        </is>
      </c>
      <c r="P417" s="37" t="inlineStr">
        <is>
          <t>𓃗 𓃘 𓃙 𓃚 𓃛 𓃜 𓃝 𓃞 𓃟 𓃠 𓃡 𓃢 𓃣 𓃤 𓃥 𓃦 𓃧 𓃨 𓃩 𓃪 𓃫 𓃬 𓃭 𓃮 𓃯 𓃰 𓃱 𓃲 𓃳 𓃴 𓃵 𓃶 𓃷 𓃸 𓃹 𓃺 𓃻 𓃼 𓃽 𓃾 𓃿 𓄀 𓄁 𓄂 𓄃 𓄄 𓄅 𓄆 𓄇 𓄈 𓄉 𓄊 𓄋 𓄌 𓄍 𓄎 𓄏 𓄐 𓄑 𓄒 𓄓 𓄔 𓄕 𓄖 𓄗 𓄘 𓄙 𓄚 𓄛 𓄜 𓄝 𓄞 𓄟 𓄠 𓄡 𓄢 𓄣 𓄤 𓄥 𓄦 𓄧 𓄨 𓄩 𓄪 𓄫 𓄬 𓄭 𓄮 𓄯 𓄰 𓄱 𓄲 𓄳 𓄴 𓄵 𓄶 𓄷 𓄸 𓄹 𓄺 𓄻 𓄼 𓄽 𓄾 𓄿 𓅀 𓅁 𓅂 𓅃 𓅄 𓅅 𓅆 𓅇 𓅈 𓅉 𓅊 𓅋 𓅌 𓅍 𓅎 𓅏 𓅐 𓅑 𓅒 𓅓 𓅔 𓅕 𓅖 𓅗 𓅘 𓅙 𓅚 𓅛 𓅜 𓅝 𓅞 𓅟 𓅠 𓅡 𓅢 𓅣 𓅤 𓅥 𓅦 𓅧 𓅨 𓅩 𓅪 𓅫 𓅬 𓅭 𓅮 𓅯 𓅰 𓅱 𓅲 𓅳 𓅴 𓅵 𓅶 𓅷 𓅸 𓅹 𓅺 𓅻 𓅼 𓅽 𓅾 𓅿 𓆀 𓆁 𓆂 𓆃 𓆄 𓆅 𓆆 𓆇 𓆈 𓆉 𓆊 𓆋 𓆌 𓆍 𓆎 𓆏 𓆐 𓆑 𓆒 𓆓 𓆔 𓆕 𓆖 𓆗 𓆘 𓆙 𓆚 𓆛 𓆜 𓆝 𓆞 𓆟 𓆠 𓆡 𓆢 𓆣 𓆤 𓆥 𓆦 𓆧 𓆨 𓆩 𓆪 𓆫 𓆬 𓆭</t>
        </is>
      </c>
      <c r="Q417" s="38" t="inlineStr">
        <is>
          <t>𓃗 𓃘 𓃙 𓃚 𓃛 𓃜 𓃝 𓃞 𓃟 𓃠 𓃡 𓃢 𓃣 𓃤 𓃥 𓃦 𓃧 𓃨 𓃩 𓃪 𓃫 𓃬 𓃭 𓃮 𓃯 𓃰 𓃱 𓃲 𓃳 𓃴 𓃵 𓃶 𓃷 𓃸 𓃹 𓃺 𓃻 𓃼 𓃽 𓃾 𓃿 𓄀 𓄁 𓄂 𓄃 𓄄 𓄅 𓄆 𓄇 𓄈 𓄉 𓄊 𓄋 𓄌 𓄍 𓄎 𓄏 𓄐 𓄑 𓄒 𓄓 𓄔 𓄕 𓄖 𓄗 𓄘 𓄙 𓄚 𓄛 𓄜 𓄝 𓄞 𓄟 𓄠 𓄡 𓄢 𓄣 𓄤 𓄥 𓄦 𓄧 𓄨 𓄩 𓄪 𓄫 𓄬 𓄭 𓄮 𓄯 𓄰 𓄱 𓄲 𓄳 𓄴 𓄵 𓄶 𓄷 𓄸 𓄹 𓄺 𓄻 𓄼 𓄽 𓄾 𓄿 𓅀 𓅁 𓅂 𓅃 𓅄 𓅅 𓅆 𓅇 𓅈 𓅉 𓅊 𓅋 𓅌 𓅍 𓅎 𓅏 𓅐 𓅑 𓅒 𓅓 𓅔 𓅕 𓅖 𓅗 𓅘 𓅙 𓅚 𓅛 𓅜 𓅝 𓅞 𓅟 𓅠 𓅡 𓅢 𓅣 𓅤 𓅥 𓅦 𓅧 𓅨 𓅩 𓅪 𓅫 𓅬 𓅭 𓅮 𓅯 𓅰 𓅱 𓅲 𓅳 𓅴 𓅵 𓅶 𓅷 𓅸 𓅹 𓅺 𓅻 𓅼 𓅽 𓅾 𓅿 𓆀 𓆁 𓆂 𓆃 𓆄 𓆅 𓆆 𓆇 𓆈 𓆉 𓆊 𓆋 𓆌 𓆍 𓆎 𓆏 𓆐 𓆑 𓆒 𓆓 𓆔 𓆕 𓆖 𓆗 𓆘 𓆙 𓆚 𓆛 𓆜 𓆝 𓆞 𓆟 𓆠 𓆡 𓆢 𓆣 𓆤 𓆥 𓆦 𓆧 𓆨 𓆩 𓆪 𓆫 𓆬 𓆭</t>
        </is>
      </c>
      <c r="R417" s="43" t="inlineStr"/>
      <c r="S417" s="40" t="n"/>
      <c r="V417" s="14">
        <f>(LEN(O417)+1)/2</f>
        <v/>
      </c>
      <c r="W417" s="14">
        <f>ROUNDDOWN((LEN(P417)+1)/2,0)</f>
        <v/>
      </c>
      <c r="X417" s="14">
        <f>ROUNDDOWN((LEN(Q417)+1)/2,0)</f>
        <v/>
      </c>
      <c r="Y417" s="14">
        <f>ROUNDDOWN((LEN(R417)+1)/2,0)</f>
        <v/>
      </c>
      <c r="Z417" s="14">
        <f>ROUNDDOWN((LEN(S417)+1)/2,0)</f>
        <v/>
      </c>
      <c r="AA417" s="56" t="n">
        <v>46150.55864797229</v>
      </c>
    </row>
    <row r="418" ht="89.25" customHeight="1">
      <c r="B418" s="46" t="inlineStr">
        <is>
          <t>U+131AE-U+13283</t>
        </is>
      </c>
      <c r="C418" s="46" t="inlineStr">
        <is>
          <t>Egyptian Hieroglyphs</t>
        </is>
      </c>
      <c r="D418" s="54">
        <f>HEX2DEC(MID(B418,3,FIND("-",E418)-3))</f>
        <v/>
      </c>
      <c r="E418" s="46" t="inlineStr">
        <is>
          <t>U+13000-U+1342F</t>
        </is>
      </c>
      <c r="F418" s="12" t="n">
        <v>4</v>
      </c>
      <c r="J418" s="19">
        <f>ROUNDDOWN(W418,0)/$V418</f>
        <v/>
      </c>
      <c r="K418" s="19">
        <f>ROUNDDOWN(X418,0)/$V418</f>
        <v/>
      </c>
      <c r="L418" s="19">
        <f>ROUNDDOWN(Y418,0)/$V418</f>
        <v/>
      </c>
      <c r="M418" s="19">
        <f>ROUNDDOWN(Z418,0)/$V418</f>
        <v/>
      </c>
      <c r="O418" s="36" t="inlineStr">
        <is>
          <t>𓆮 𓆯 𓆰 𓆱 𓆲 𓆳 𓆴 𓆵 𓆶 𓆷 𓆸 𓆹 𓆺 𓆻 𓆼 𓆽 𓆾 𓆿 𓇀 𓇁 𓇂 𓇃 𓇄 𓇅 𓇆 𓇇 𓇈 𓇉 𓇊 𓇋 𓇌 𓇍 𓇎 𓇏 𓇐 𓇑 𓇒 𓇓 𓇔 𓇕 𓇖 𓇗 𓇘 𓇙 𓇚 𓇛 𓇜 𓇝 𓇞 𓇟 𓇠 𓇡 𓇢 𓇣 𓇤 𓇥 𓇦 𓇧 𓇨 𓇩 𓇪 𓇫 𓇬 𓇭 𓇮 𓇯 𓇰 𓇱 𓇲 𓇳 𓇴 𓇵 𓇶 𓇷 𓇸 𓇹 𓇺 𓇻 𓇼 𓇽 𓇾 𓇿 𓈀 𓈁 𓈂 𓈃 𓈄 𓈅 𓈆 𓈇 𓈈 𓈉 𓈊 𓈋 𓈌 𓈍 𓈎 𓈏 𓈐 𓈑 𓈒 𓈓 𓈔 𓈕 𓈖 𓈗 𓈘 𓈙 𓈚 𓈛 𓈜 𓈝 𓈞 𓈟 𓈠 𓈡 𓈢 𓈣 𓈤 𓈥 𓈦 𓈧 𓈨 𓈩 𓈪 𓈫 𓈬 𓈭 𓈮 𓈯 𓈰 𓈱 𓈲 𓈳 𓈴 𓈵 𓈶 𓈷 𓈸 𓈹 𓈺 𓈻 𓈼 𓈽 𓈾 𓈿 𓉀 𓉁 𓉂 𓉃 𓉄 𓉅 𓉆 𓉇 𓉈 𓉉 𓉊 𓉋 𓉌 𓉍 𓉎 𓉏 𓉐 𓉑 𓉒 𓉓 𓉔 𓉕 𓉖 𓉗 𓉘 𓉙 𓉚 𓉛 𓉜 𓉝 𓉞 𓉟 𓉠 𓉡 𓉢 𓉣 𓉤 𓉥 𓉦 𓉧 𓉨 𓉩 𓉪 𓉫 𓉬 𓉭 𓉮 𓉯 𓉰 𓉱 𓉲 𓉳 𓉴 𓉵 𓉶 𓉷 𓉸 𓉹 𓉺 𓉻 𓉼 𓉽 𓉾 𓉿 𓊀 𓊁 𓊂 𓊃</t>
        </is>
      </c>
      <c r="P418" s="37" t="inlineStr">
        <is>
          <t>𓆮 𓆯 𓆰 𓆱 𓆲 𓆳 𓆴 𓆵 𓆶 𓆷 𓆸 𓆹 𓆺 𓆻 𓆼 𓆽 𓆾 𓆿 𓇀 𓇁 𓇂 𓇃 𓇄 𓇅 𓇆 𓇇 𓇈 𓇉 𓇊 𓇋 𓇌 𓇍 𓇎 𓇏 𓇐 𓇑 𓇒 𓇓 𓇔 𓇕 𓇖 𓇗 𓇘 𓇙 𓇚 𓇛 𓇜 𓇝 𓇞 𓇟 𓇠 𓇡 𓇢 𓇣 𓇤 𓇥 𓇦 𓇧 𓇨 𓇩 𓇪 𓇫 𓇬 𓇭 𓇮 𓇯 𓇰 𓇱 𓇲 𓇳 𓇴 𓇵 𓇶 𓇷 𓇸 𓇹 𓇺 𓇻 𓇼 𓇽 𓇾 𓇿 𓈀 𓈁 𓈂 𓈃 𓈄 𓈅 𓈆 𓈇 𓈈 𓈉 𓈊 𓈋 𓈌 𓈍 𓈎 𓈏 𓈐 𓈑 𓈒 𓈓 𓈔 𓈕 𓈖 𓈗 𓈘 𓈙 𓈚 𓈛 𓈜 𓈝 𓈞 𓈟 𓈠 𓈡 𓈢 𓈣 𓈤 𓈥 𓈦 𓈧 𓈨 𓈩 𓈪 𓈫 𓈬 𓈭 𓈮 𓈯 𓈰 𓈱 𓈲 𓈳 𓈴 𓈵 𓈶 𓈷 𓈸 𓈹 𓈺 𓈻 𓈼 𓈽 𓈾 𓈿 𓉀 𓉁 𓉂 𓉃 𓉄 𓉅 𓉆 𓉇 𓉈 𓉉 𓉊 𓉋 𓉌 𓉍 𓉎 𓉏 𓉐 𓉑 𓉒 𓉓 𓉔 𓉕 𓉖 𓉗 𓉘 𓉙 𓉚 𓉛 𓉜 𓉝 𓉞 𓉟 𓉠 𓉡 𓉢 𓉣 𓉤 𓉥 𓉦 𓉧 𓉨 𓉩 𓉪 𓉫 𓉬 𓉭 𓉮 𓉯 𓉰 𓉱 𓉲 𓉳 𓉴 𓉵 𓉶 𓉷 𓉸 𓉹 𓉺 𓉻 𓉼 𓉽 𓉾 𓉿 𓊀 𓊁 𓊂 𓊃</t>
        </is>
      </c>
      <c r="Q418" s="38" t="inlineStr">
        <is>
          <t>𓆮 𓆯 𓆰 𓆱 𓆲 𓆳 𓆴 𓆵 𓆶 𓆷 𓆸 𓆹 𓆺 𓆻 𓆼 𓆽 𓆾 𓆿 𓇀 𓇁 𓇂 𓇃 𓇄 𓇅 𓇆 𓇇 𓇈 𓇉 𓇊 𓇋 𓇌 𓇍 𓇎 𓇏 𓇐 𓇑 𓇒 𓇓 𓇔 𓇕 𓇖 𓇗 𓇘 𓇙 𓇚 𓇛 𓇜 𓇝 𓇞 𓇟 𓇠 𓇡 𓇢 𓇣 𓇤 𓇥 𓇦 𓇧 𓇨 𓇩 𓇪 𓇫 𓇬 𓇭 𓇮 𓇯 𓇰 𓇱 𓇲 𓇳 𓇴 𓇵 𓇶 𓇷 𓇸 𓇹 𓇺 𓇻 𓇼 𓇽 𓇾 𓇿 𓈀 𓈁 𓈂 𓈃 𓈄 𓈅 𓈆 𓈇 𓈈 𓈉 𓈊 𓈋 𓈌 𓈍 𓈎 𓈏 𓈐 𓈑 𓈒 𓈓 𓈔 𓈕 𓈖 𓈗 𓈘 𓈙 𓈚 𓈛 𓈜 𓈝 𓈞 𓈟 𓈠 𓈡 𓈢 𓈣 𓈤 𓈥 𓈦 𓈧 𓈨 𓈩 𓈪 𓈫 𓈬 𓈭 𓈮 𓈯 𓈰 𓈱 𓈲 𓈳 𓈴 𓈵 𓈶 𓈷 𓈸 𓈹 𓈺 𓈻 𓈼 𓈽 𓈾 𓈿 𓉀 𓉁 𓉂 𓉃 𓉄 𓉅 𓉆 𓉇 𓉈 𓉉 𓉊 𓉋 𓉌 𓉍 𓉎 𓉏 𓉐 𓉑 𓉒 𓉓 𓉔 𓉕 𓉖 𓉗 𓉘 𓉙 𓉚 𓉛 𓉜 𓉝 𓉞 𓉟 𓉠 𓉡 𓉢 𓉣 𓉤 𓉥 𓉦 𓉧 𓉨 𓉩 𓉪 𓉫 𓉬 𓉭 𓉮 𓉯 𓉰 𓉱 𓉲 𓉳 𓉴 𓉵 𓉶 𓉷 𓉸 𓉹 𓉺 𓉻 𓉼 𓉽 𓉾 𓉿 𓊀 𓊁 𓊂 𓊃</t>
        </is>
      </c>
      <c r="R418" s="43" t="inlineStr"/>
      <c r="S418" s="40" t="n"/>
      <c r="V418" s="14">
        <f>(LEN(O418)+1)/2</f>
        <v/>
      </c>
      <c r="W418" s="14">
        <f>ROUNDDOWN((LEN(P418)+1)/2,0)</f>
        <v/>
      </c>
      <c r="X418" s="14">
        <f>ROUNDDOWN((LEN(Q418)+1)/2,0)</f>
        <v/>
      </c>
      <c r="Y418" s="14">
        <f>ROUNDDOWN((LEN(R418)+1)/2,0)</f>
        <v/>
      </c>
      <c r="Z418" s="14">
        <f>ROUNDDOWN((LEN(S418)+1)/2,0)</f>
        <v/>
      </c>
      <c r="AA418" s="56" t="n">
        <v>46150.55864889182</v>
      </c>
    </row>
    <row r="419" ht="89.25" customHeight="1">
      <c r="B419" s="46" t="inlineStr">
        <is>
          <t>U+13284-U+13359</t>
        </is>
      </c>
      <c r="C419" s="46" t="inlineStr">
        <is>
          <t>Egyptian Hieroglyphs</t>
        </is>
      </c>
      <c r="D419" s="54">
        <f>HEX2DEC(MID(B419,3,FIND("-",E419)-3))</f>
        <v/>
      </c>
      <c r="E419" s="46" t="inlineStr">
        <is>
          <t>U+13000-U+1342F</t>
        </is>
      </c>
      <c r="F419" s="12" t="n">
        <v>4</v>
      </c>
      <c r="J419" s="19">
        <f>ROUNDDOWN(W419,0)/$V419</f>
        <v/>
      </c>
      <c r="K419" s="19">
        <f>ROUNDDOWN(X419,0)/$V419</f>
        <v/>
      </c>
      <c r="L419" s="19">
        <f>ROUNDDOWN(Y419,0)/$V419</f>
        <v/>
      </c>
      <c r="M419" s="19">
        <f>ROUNDDOWN(Z419,0)/$V419</f>
        <v/>
      </c>
      <c r="O419" s="36" t="inlineStr">
        <is>
          <t>𓊄 𓊅 𓊆 𓊇 𓊈 𓊉 𓊊 𓊋 𓊌 𓊍 𓊎 𓊏 𓊐 𓊑 𓊒 𓊓 𓊔 𓊕 𓊖 𓊗 𓊘 𓊙 𓊚 𓊛 𓊜 𓊝 𓊞 𓊟 𓊠 𓊡 𓊢 𓊣 𓊤 𓊥 𓊦 𓊧 𓊨 𓊩 𓊪 𓊫 𓊬 𓊭 𓊮 𓊯 𓊰 𓊱 𓊲 𓊳 𓊴 𓊵 𓊶 𓊷 𓊸 𓊹 𓊺 𓊻 𓊼 𓊽 𓊾 𓊿 𓋀 𓋁 𓋂 𓋃 𓋄 𓋅 𓋆 𓋇 𓋈 𓋉 𓋊 𓋋 𓋌 𓋍 𓋎 𓋏 𓋐 𓋑 𓋒 𓋓 𓋔 𓋕 𓋖 𓋗 𓋘 𓋙 𓋚 𓋛 𓋜 𓋝 𓋞 𓋟 𓋠 𓋡 𓋢 𓋣 𓋤 𓋥 𓋦 𓋧 𓋨 𓋩 𓋪 𓋫 𓋬 𓋭 𓋮 𓋯 𓋰 𓋱 𓋲 𓋳 𓋴 𓋵 𓋶 𓋷 𓋸 𓋹 𓋺 𓋻 𓋼 𓋽 𓋾 𓋿 𓌀 𓌁 𓌂 𓌃 𓌄 𓌅 𓌆 𓌇 𓌈 𓌉 𓌊 𓌋 𓌌 𓌍 𓌎 𓌏 𓌐 𓌑 𓌒 𓌓 𓌔 𓌕 𓌖 𓌗 𓌘 𓌙 𓌚 𓌛 𓌜 𓌝 𓌞 𓌟 𓌠 𓌡 𓌢 𓌣 𓌤 𓌥 𓌦 𓌧 𓌨 𓌩 𓌪 𓌫 𓌬 𓌭 𓌮 𓌯 𓌰 𓌱 𓌲 𓌳 𓌴 𓌵 𓌶 𓌷 𓌸 𓌹 𓌺 𓌻 𓌼 𓌽 𓌾 𓌿 𓍀 𓍁 𓍂 𓍃 𓍄 𓍅 𓍆 𓍇 𓍈 𓍉 𓍊 𓍋 𓍌 𓍍 𓍎 𓍏 𓍐 𓍑 𓍒 𓍓 𓍔 𓍕 𓍖 𓍗 𓍘 𓍙</t>
        </is>
      </c>
      <c r="P419" s="37" t="inlineStr">
        <is>
          <t>𓊄 𓊅 𓊆 𓊇 𓊈 𓊉 𓊊 𓊋 𓊌 𓊍 𓊎 𓊏 𓊐 𓊑 𓊒 𓊓 𓊔 𓊕 𓊖 𓊗 𓊘 𓊙 𓊚 𓊛 𓊜 𓊝 𓊞 𓊟 𓊠 𓊡 𓊢 𓊣 𓊤 𓊥 𓊦 𓊧 𓊨 𓊩 𓊪 𓊫 𓊬 𓊭 𓊮 𓊯 𓊰 𓊱 𓊲 𓊳 𓊴 𓊵 𓊶 𓊷 𓊸 𓊹 𓊺 𓊻 𓊼 𓊽 𓊾 𓊿 𓋀 𓋁 𓋂 𓋃 𓋄 𓋅 𓋆 𓋇 𓋈 𓋉 𓋊 𓋋 𓋌 𓋍 𓋎 𓋏 𓋐 𓋑 𓋒 𓋓 𓋔 𓋕 𓋖 𓋗 𓋘 𓋙 𓋚 𓋛 𓋜 𓋝 𓋞 𓋟 𓋠 𓋡 𓋢 𓋣 𓋤 𓋥 𓋦 𓋧 𓋨 𓋩 𓋪 𓋫 𓋬 𓋭 𓋮 𓋯 𓋰 𓋱 𓋲 𓋳 𓋴 𓋵 𓋶 𓋷 𓋸 𓋹 𓋺 𓋻 𓋼 𓋽 𓋾 𓋿 𓌀 𓌁 𓌂 𓌃 𓌄 𓌅 𓌆 𓌇 𓌈 𓌉 𓌊 𓌋 𓌌 𓌍 𓌎 𓌏 𓌐 𓌑 𓌒 𓌓 𓌔 𓌕 𓌖 𓌗 𓌘 𓌙 𓌚 𓌛 𓌜 𓌝 𓌞 𓌟 𓌠 𓌡 𓌢 𓌣 𓌤 𓌥 𓌦 𓌧 𓌨 𓌩 𓌪 𓌫 𓌬 𓌭 𓌮 𓌯 𓌰 𓌱 𓌲 𓌳 𓌴 𓌵 𓌶 𓌷 𓌸 𓌹 𓌺 𓌻 𓌼 𓌽 𓌾 𓌿 𓍀 𓍁 𓍂 𓍃 𓍄 𓍅 𓍆 𓍇 𓍈 𓍉 𓍊 𓍋 𓍌 𓍍 𓍎 𓍏 𓍐 𓍑 𓍒 𓍓 𓍔 𓍕 𓍖 𓍗 𓍘 𓍙</t>
        </is>
      </c>
      <c r="Q419" s="38" t="inlineStr">
        <is>
          <t>𓊄 𓊅 𓊆 𓊇 𓊈 𓊉 𓊊 𓊋 𓊌 𓊍 𓊎 𓊏 𓊐 𓊑 𓊒 𓊓 𓊔 𓊕 𓊖 𓊗 𓊘 𓊙 𓊚 𓊛 𓊜 𓊝 𓊞 𓊟 𓊠 𓊡 𓊢 𓊣 𓊤 𓊥 𓊦 𓊧 𓊨 𓊩 𓊪 𓊫 𓊬 𓊭 𓊮 𓊯 𓊰 𓊱 𓊲 𓊳 𓊴 𓊵 𓊶 𓊷 𓊸 𓊹 𓊺 𓊻 𓊼 𓊽 𓊾 𓊿 𓋀 𓋁 𓋂 𓋃 𓋄 𓋅 𓋆 𓋇 𓋈 𓋉 𓋊 𓋋 𓋌 𓋍 𓋎 𓋏 𓋐 𓋑 𓋒 𓋓 𓋔 𓋕 𓋖 𓋗 𓋘 𓋙 𓋚 𓋛 𓋜 𓋝 𓋞 𓋟 𓋠 𓋡 𓋢 𓋣 𓋤 𓋥 𓋦 𓋧 𓋨 𓋩 𓋪 𓋫 𓋬 𓋭 𓋮 𓋯 𓋰 𓋱 𓋲 𓋳 𓋴 𓋵 𓋶 𓋷 𓋸 𓋹 𓋺 𓋻 𓋼 𓋽 𓋾 𓋿 𓌀 𓌁 𓌂 𓌃 𓌄 𓌅 𓌆 𓌇 𓌈 𓌉 𓌊 𓌋 𓌌 𓌍 𓌎 𓌏 𓌐 𓌑 𓌒 𓌓 𓌔 𓌕 𓌖 𓌗 𓌘 𓌙 𓌚 𓌛 𓌜 𓌝 𓌞 𓌟 𓌠 𓌡 𓌢 𓌣 𓌤 𓌥 𓌦 𓌧 𓌨 𓌩 𓌪 𓌫 𓌬 𓌭 𓌮 𓌯 𓌰 𓌱 𓌲 𓌳 𓌴 𓌵 𓌶 𓌷 𓌸 𓌹 𓌺 𓌻 𓌼 𓌽 𓌾 𓌿 𓍀 𓍁 𓍂 𓍃 𓍄 𓍅 𓍆 𓍇 𓍈 𓍉 𓍊 𓍋 𓍌 𓍍 𓍎 𓍏 𓍐 𓍑 𓍒 𓍓 𓍔 𓍕 𓍖 𓍗 𓍘 𓍙</t>
        </is>
      </c>
      <c r="R419" s="43" t="inlineStr"/>
      <c r="S419" s="40" t="n"/>
      <c r="V419" s="14">
        <f>(LEN(O419)+1)/2</f>
        <v/>
      </c>
      <c r="W419" s="14">
        <f>ROUNDDOWN((LEN(P419)+1)/2,0)</f>
        <v/>
      </c>
      <c r="X419" s="14">
        <f>ROUNDDOWN((LEN(Q419)+1)/2,0)</f>
        <v/>
      </c>
      <c r="Y419" s="14">
        <f>ROUNDDOWN((LEN(R419)+1)/2,0)</f>
        <v/>
      </c>
      <c r="Z419" s="14">
        <f>ROUNDDOWN((LEN(S419)+1)/2,0)</f>
        <v/>
      </c>
      <c r="AA419" s="56" t="n">
        <v>46150.55864981082</v>
      </c>
    </row>
    <row r="420" ht="89.25" customHeight="1">
      <c r="B420" s="46" t="inlineStr">
        <is>
          <t>U+1335A-U+1342F</t>
        </is>
      </c>
      <c r="C420" s="46" t="inlineStr">
        <is>
          <t>Egyptian Hieroglyphs</t>
        </is>
      </c>
      <c r="D420" s="54">
        <f>HEX2DEC(MID(B420,3,FIND("-",E420)-3))</f>
        <v/>
      </c>
      <c r="E420" s="46" t="inlineStr">
        <is>
          <t>U+13000-U+1342F</t>
        </is>
      </c>
      <c r="F420" s="12" t="n">
        <v>4</v>
      </c>
      <c r="J420" s="19">
        <f>ROUNDDOWN(W420,0)/$V420</f>
        <v/>
      </c>
      <c r="K420" s="19">
        <f>ROUNDDOWN(X420,0)/$V420</f>
        <v/>
      </c>
      <c r="L420" s="19">
        <f>ROUNDDOWN(Y420,0)/$V420</f>
        <v/>
      </c>
      <c r="M420" s="19">
        <f>ROUNDDOWN(Z420,0)/$V420</f>
        <v/>
      </c>
      <c r="O420" s="36" t="inlineStr">
        <is>
          <t>𓍚 𓍛 𓍜 𓍝 𓍞 𓍟 𓍠 𓍡 𓍢 𓍣 𓍤 𓍥 𓍦 𓍧 𓍨 𓍩 𓍪 𓍫 𓍬 𓍭 𓍮 𓍯 𓍰 𓍱 𓍲 𓍳 𓍴 𓍵 𓍶 𓍷 𓍸 𓍹 𓍺 𓍻 𓍼 𓍽 𓍾 𓍿 𓎀 𓎁 𓎂 𓎃 𓎄 𓎅 𓎆 𓎇 𓎈 𓎉 𓎊 𓎋 𓎌 𓎍 𓎎 𓎏 𓎐 𓎑 𓎒 𓎓 𓎔 𓎕 𓎖 𓎗 𓎘 𓎙 𓎚 𓎛 𓎜 𓎝 𓎞 𓎟 𓎠 𓎡 𓎢 𓎣 𓎤 𓎥 𓎦 𓎧 𓎨 𓎩 𓎪 𓎫 𓎬 𓎭 𓎮 𓎯 𓎰 𓎱 𓎲 𓎳 𓎴 𓎵 𓎶 𓎷 𓎸 𓎹 𓎺 𓎻 𓎼 𓎽 𓎾 𓎿 𓏀 𓏁 𓏂 𓏃 𓏄 𓏅 𓏆 𓏇 𓏈 𓏉 𓏊 𓏋 𓏌 𓏍 𓏎 𓏏 𓏐 𓏑 𓏒 𓏓 𓏔 𓏕 𓏖 𓏗 𓏘 𓏙 𓏚 𓏛 𓏜 𓏝 𓏞 𓏟 𓏠 𓏡 𓏢 𓏣 𓏤 𓏥 𓏦 𓏧 𓏨 𓏩 𓏪 𓏫 𓏬 𓏭 𓏮 𓏯 𓏰 𓏱 𓏲 𓏳 𓏴 𓏵 𓏶 𓏷 𓏸 𓏹 𓏺 𓏻 𓏼 𓏽 𓏾 𓏿 𓐀 𓐁 𓐂 𓐃 𓐄 𓐅 𓐆 𓐇 𓐈 𓐉 𓐊 𓐋 𓐌 𓐍 𓐎 𓐏 𓐐 𓐑 𓐒 𓐓 𓐔 𓐕 𓐖 𓐗 𓐘 𓐙 𓐚 𓐛 𓐜 𓐝 𓐞 𓐟 𓐠 𓐡 𓐢 𓐣 𓐤 𓐥 𓐦 𓐧 𓐨 𓐩 𓐪 𓐫 𓐬 𓐭 𓐮 𓐯</t>
        </is>
      </c>
      <c r="P420" s="37" t="inlineStr">
        <is>
          <t>𓍚 𓍛 𓍜 𓍝 𓍞 𓍟 𓍠 𓍡 𓍢 𓍣 𓍤 𓍥 𓍦 𓍧 𓍨 𓍩 𓍪 𓍫 𓍬 𓍭 𓍮 𓍯 𓍰 𓍱 𓍲 𓍳 𓍴 𓍵 𓍶 𓍷 𓍸 𓍹 𓍺 𓍻 𓍼 𓍽 𓍾 𓍿 𓎀 𓎁 𓎂 𓎃 𓎄 𓎅 𓎆 𓎇 𓎈 𓎉 𓎊 𓎋 𓎌 𓎍 𓎎 𓎏 𓎐 𓎑 𓎒 𓎓 𓎔 𓎕 𓎖 𓎗 𓎘 𓎙 𓎚 𓎛 𓎜 𓎝 𓎞 𓎟 𓎠 𓎡 𓎢 𓎣 𓎤 𓎥 𓎦 𓎧 𓎨 𓎩 𓎪 𓎫 𓎬 𓎭 𓎮 𓎯 𓎰 𓎱 𓎲 𓎳 𓎴 𓎵 𓎶 𓎷 𓎸 𓎹 𓎺 𓎻 𓎼 𓎽 𓎾 𓎿 𓏀 𓏁 𓏂 𓏃 𓏄 𓏅 𓏆 𓏇 𓏈 𓏉 𓏊 𓏋 𓏌 𓏍 𓏎 𓏏 𓏐 𓏑 𓏒 𓏓 𓏔 𓏕 𓏖 𓏗 𓏘 𓏙 𓏚 𓏛 𓏜 𓏝 𓏞 𓏟 𓏠 𓏡 𓏢 𓏣 𓏤 𓏥 𓏦 𓏧 𓏨 𓏩 𓏪 𓏫 𓏬 𓏭 𓏮 𓏯 𓏰 𓏱 𓏲 𓏳 𓏴 𓏵 𓏶 𓏷 𓏸 𓏹 𓏺 𓏻 𓏼 𓏽 𓏾 𓏿 𓐀 𓐁 𓐂 𓐃 𓐄 𓐅 𓐆 𓐇 𓐈 𓐉 𓐊 𓐋 𓐌 𓐍 𓐎 𓐏 𓐐 𓐑 𓐒 𓐓 𓐔 𓐕 𓐖 𓐗 𓐘 𓐙 𓐚 𓐛 𓐜 𓐝 𓐞 𓐟 𓐠 𓐡 𓐢 𓐣 𓐤 𓐥 𓐦 𓐧 𓐨 𓐩 𓐪 𓐫 𓐬 𓐭 𓐮 𓐯</t>
        </is>
      </c>
      <c r="Q420" s="38" t="inlineStr">
        <is>
          <t>𓍚 𓍛 𓍜 𓍝 𓍞 𓍟 𓍠 𓍡 𓍢 𓍣 𓍤 𓍥 𓍦 𓍧 𓍨 𓍩 𓍪 𓍫 𓍬 𓍭 𓍮 𓍯 𓍰 𓍱 𓍲 𓍳 𓍴 𓍵 𓍶 𓍷 𓍸 𓍹 𓍺 𓍻 𓍼 𓍽 𓍾 𓍿 𓎀 𓎁 𓎂 𓎃 𓎄 𓎅 𓎆 𓎇 𓎈 𓎉 𓎊 𓎋 𓎌 𓎍 𓎎 𓎏 𓎐 𓎑 𓎒 𓎓 𓎔 𓎕 𓎖 𓎗 𓎘 𓎙 𓎚 𓎛 𓎜 𓎝 𓎞 𓎟 𓎠 𓎡 𓎢 𓎣 𓎤 𓎥 𓎦 𓎧 𓎨 𓎩 𓎪 𓎫 𓎬 𓎭 𓎮 𓎯 𓎰 𓎱 𓎲 𓎳 𓎴 𓎵 𓎶 𓎷 𓎸 𓎹 𓎺 𓎻 𓎼 𓎽 𓎾 𓎿 𓏀 𓏁 𓏂 𓏃 𓏄 𓏅 𓏆 𓏇 𓏈 𓏉 𓏊 𓏋 𓏌 𓏍 𓏎 𓏏 𓏐 𓏑 𓏒 𓏓 𓏔 𓏕 𓏖 𓏗 𓏘 𓏙 𓏚 𓏛 𓏜 𓏝 𓏞 𓏟 𓏠 𓏡 𓏢 𓏣 𓏤 𓏥 𓏦 𓏧 𓏨 𓏩 𓏪 𓏫 𓏬 𓏭 𓏮 𓏯 𓏰 𓏱 𓏲 𓏳 𓏴 𓏵 𓏶 𓏷 𓏸 𓏹 𓏺 𓏻 𓏼 𓏽 𓏾 𓏿 𓐀 𓐁 𓐂 𓐃 𓐄 𓐅 𓐆 𓐇 𓐈 𓐉 𓐊 𓐋 𓐌 𓐍 𓐎 𓐏 𓐐 𓐑 𓐒 𓐓 𓐔 𓐕 𓐖 𓐗 𓐘 𓐙 𓐚 𓐛 𓐜 𓐝 𓐞 𓐟 𓐠 𓐡 𓐢 𓐣 𓐤 𓐥 𓐦 𓐧 𓐨 𓐩 𓐪 𓐫 𓐬 𓐭 𓐮 𓐯</t>
        </is>
      </c>
      <c r="R420" s="43" t="inlineStr"/>
      <c r="S420" s="40" t="n"/>
      <c r="V420" s="14">
        <f>(LEN(O420)+1)/2</f>
        <v/>
      </c>
      <c r="W420" s="14">
        <f>ROUNDDOWN((LEN(P420)+1)/2,0)</f>
        <v/>
      </c>
      <c r="X420" s="14">
        <f>ROUNDDOWN((LEN(Q420)+1)/2,0)</f>
        <v/>
      </c>
      <c r="Y420" s="14">
        <f>ROUNDDOWN((LEN(R420)+1)/2,0)</f>
        <v/>
      </c>
      <c r="Z420" s="14">
        <f>ROUNDDOWN((LEN(S420)+1)/2,0)</f>
        <v/>
      </c>
      <c r="AA420" s="56" t="n">
        <v>46150.55865072816</v>
      </c>
    </row>
    <row r="421" ht="25.5" customHeight="1">
      <c r="B421" s="46" t="inlineStr">
        <is>
          <t>U+13440-U+13455</t>
        </is>
      </c>
      <c r="C421" s="46" t="inlineStr">
        <is>
          <t>Egyptian Hieroglyph Format Controls</t>
        </is>
      </c>
      <c r="D421" s="54">
        <f>HEX2DEC(MID(B421,3,FIND("-",E421)-3))</f>
        <v/>
      </c>
      <c r="E421" s="46" t="inlineStr">
        <is>
          <t>U+13430-U+1345F</t>
        </is>
      </c>
      <c r="F421" s="12" t="n">
        <v>4</v>
      </c>
      <c r="J421" s="19">
        <f>ROUNDDOWN(W421,0)/$V421</f>
        <v/>
      </c>
      <c r="K421" s="19">
        <f>ROUNDDOWN(X421,0)/$V421</f>
        <v/>
      </c>
      <c r="L421" s="19">
        <f>ROUNDDOWN(Y421,0)/$V421</f>
        <v/>
      </c>
      <c r="M421" s="19">
        <f>ROUNDDOWN(Z421,0)/$V421</f>
        <v/>
      </c>
      <c r="O421" s="36" t="inlineStr">
        <is>
          <t>𓑀 𓑁 𓑂 𓑃 𓑄 𓑅 𓑆 𓑇 𓑈 𓑉 𓑊 𓑋 𓑌 𓑍 𓑎 𓑏 𓑐 𓑑 𓑒 𓑓 𓑔 𓑕</t>
        </is>
      </c>
      <c r="P421" s="37" t="inlineStr">
        <is>
          <t>𓑁 𓑂 𓑃 𓑄 𓑅 𓑆</t>
        </is>
      </c>
      <c r="Q421" s="38" t="inlineStr">
        <is>
          <t>𓑁 𓑂 𓑃 𓑄 𓑅</t>
        </is>
      </c>
      <c r="R421" s="43" t="inlineStr"/>
      <c r="S421" s="40" t="n"/>
      <c r="V421" s="14">
        <f>(LEN(O421)+1)/2</f>
        <v/>
      </c>
      <c r="W421" s="14">
        <f>ROUNDDOWN((LEN(P421)+1)/2,0)</f>
        <v/>
      </c>
      <c r="X421" s="14">
        <f>ROUNDDOWN((LEN(Q421)+1)/2,0)</f>
        <v/>
      </c>
      <c r="Y421" s="14">
        <f>ROUNDDOWN((LEN(R421)+1)/2,0)</f>
        <v/>
      </c>
      <c r="Z421" s="14">
        <f>ROUNDDOWN((LEN(S421)+1)/2,0)</f>
        <v/>
      </c>
      <c r="AA421" s="56" t="n">
        <v>46150.5586508988</v>
      </c>
    </row>
    <row r="422" ht="76.5" customHeight="1">
      <c r="B422" s="46" t="inlineStr">
        <is>
          <t>U+14400-U+144C2</t>
        </is>
      </c>
      <c r="C422" s="46" t="inlineStr">
        <is>
          <t>Anatolian Hieroglyphs</t>
        </is>
      </c>
      <c r="D422" s="54">
        <f>HEX2DEC(MID(B422,3,FIND("-",E422)-3))</f>
        <v/>
      </c>
      <c r="E422" s="46" t="inlineStr">
        <is>
          <t>U+14400-U+1467F</t>
        </is>
      </c>
      <c r="F422" s="12" t="n">
        <v>4</v>
      </c>
      <c r="J422" s="19">
        <f>ROUNDDOWN(W422,0)/$V422</f>
        <v/>
      </c>
      <c r="K422" s="19">
        <f>ROUNDDOWN(X422,0)/$V422</f>
        <v/>
      </c>
      <c r="L422" s="19">
        <f>ROUNDDOWN(Y422,0)/$V422</f>
        <v/>
      </c>
      <c r="M422" s="19">
        <f>ROUNDDOWN(Z422,0)/$V422</f>
        <v/>
      </c>
      <c r="O422" s="36" t="inlineStr">
        <is>
          <t>𔐀 𔐁 𔐂 𔐃 𔐄 𔐅 𔐆 𔐇 𔐈 𔐉 𔐊 𔐋 𔐌 𔐍 𔐎 𔐏 𔐐 𔐑 𔐒 𔐓 𔐔 𔐕 𔐖 𔐗 𔐘 𔐙 𔐚 𔐛 𔐜 𔐝 𔐞 𔐟 𔐠 𔐡 𔐢 𔐣 𔐤 𔐥 𔐦 𔐧 𔐨 𔐩 𔐪 𔐫 𔐬 𔐭 𔐮 𔐯 𔐰 𔐱 𔐲 𔐳 𔐴 𔐵 𔐶 𔐷 𔐸 𔐹 𔐺 𔐻 𔐼 𔐽 𔐾 𔐿 𔑀 𔑁 𔑂 𔑃 𔑄 𔑅 𔑆 𔑇 𔑈 𔑉 𔑊 𔑋 𔑌 𔑍 𔑎 𔑏 𔑐 𔑑 𔑒 𔑓 𔑔 𔑕 𔑖 𔑗 𔑘 𔑙 𔑚 𔑛 𔑜 𔑝 𔑞 𔑟 𔑠 𔑡 𔑢 𔑣 𔑤 𔑥 𔑦 𔑧 𔑨 𔑩 𔑪 𔑫 𔑬 𔑭 𔑮 𔑯 𔑰 𔑱 𔑲 𔑳 𔑴 𔑵 𔑶 𔑷 𔑸 𔑹 𔑺 𔑻 𔑼 𔑽 𔑾 𔑿 𔒀 𔒁 𔒂 𔒃 𔒄 𔒅 𔒆 𔒇 𔒈 𔒉 𔒊 𔒋 𔒌 𔒍 𔒎 𔒏 𔒐 𔒑 𔒒 𔒓 𔒔 𔒕 𔒖 𔒗 𔒘 𔒙 𔒚 𔒛 𔒜 𔒝 𔒞 𔒟 𔒠 𔒡 𔒢 𔒣 𔒤 𔒥 𔒦 𔒧 𔒨 𔒩 𔒪 𔒫 𔒬 𔒭 𔒮 𔒯 𔒰 𔒱 𔒲 𔒳 𔒴 𔒵 𔒶 𔒷 𔒸 𔒹 𔒺 𔒻 𔒼 𔒽 𔒾 𔒿 𔓀 𔓁 𔓂</t>
        </is>
      </c>
      <c r="P422" s="37" t="inlineStr">
        <is>
          <t>𔐀 𔐁 𔐂 𔐃 𔐄 𔐅 𔐆 𔐇 𔐈 𔐉 𔐊 𔐋 𔐌 𔐍 𔐎 𔐏 𔐐 𔐑 𔐒 𔐓 𔐔 𔐕 𔐖 𔐗 𔐘 𔐙 𔐚 𔐛 𔐜 𔐝 𔐞 𔐟 𔐠 𔐡 𔐢 𔐣 𔐤 𔐥 𔐦 𔐧 𔐨 𔐩 𔐪 𔐫 𔐬 𔐭 𔐮 𔐯 𔐰 𔐱 𔐲 𔐳 𔐴 𔐵 𔐶 𔐷 𔐸 𔐹 𔐺 𔐻 𔐼 𔐽 𔐾 𔐿 𔑀 𔑁 𔑂 𔑃 𔑄 𔑅 𔑆 𔑇 𔑈 𔑉 𔑊 𔑋 𔑌 𔑍 𔑎 𔑏 𔑐 𔑑 𔑒 𔑓 𔑔 𔑕 𔑖 𔑗 𔑘 𔑙 𔑚 𔑛 𔑜 𔑝 𔑞 𔑟 𔑠 𔑡 𔑢 𔑣 𔑤 𔑥 𔑦 𔑧 𔑨 𔑩 𔑪 𔑫 𔑬 𔑭 𔑮 𔑯 𔑰 𔑱 𔑲 𔑳 𔑴 𔑵 𔑶 𔑷 𔑸 𔑹 𔑺 𔑻 𔑼 𔑽 𔑾 𔑿 𔒀 𔒁 𔒂 𔒃 𔒄 𔒅 𔒆 𔒇 𔒈 𔒉 𔒊 𔒋 𔒌 𔒍 𔒎 𔒏 𔒐 𔒑 𔒒 𔒓 𔒔 𔒕 𔒖 𔒗 𔒘 𔒙 𔒚 𔒛 𔒜 𔒝 𔒞 𔒟 𔒠 𔒡 𔒢 𔒣 𔒤 𔒥 𔒦 𔒧 𔒨 𔒩 𔒪 𔒫 𔒬 𔒭 𔒮 𔒯 𔒰 𔒱 𔒲 𔒳 𔒴 𔒵 𔒶 𔒷 𔒸 𔒹 𔒺 𔒻 𔒼 𔒽 𔒾 𔒿 𔓀 𔓁 𔓂</t>
        </is>
      </c>
      <c r="Q422" s="38" t="inlineStr">
        <is>
          <t>𔐀 𔐁 𔐂 𔐃 𔐄 𔐅 𔐆 𔐇 𔐈 𔐉 𔐊 𔐋 𔐌 𔐍 𔐎 𔐏 𔐐 𔐑 𔐒 𔐓 𔐔 𔐕 𔐖 𔐗 𔐘 𔐙 𔐚 𔐛 𔐜 𔐝 𔐞 𔐟 𔐠 𔐡 𔐢 𔐣 𔐤 𔐥 𔐦 𔐧 𔐨 𔐩 𔐪 𔐫 𔐬 𔐭 𔐮 𔐯 𔐰 𔐱 𔐲 𔐳 𔐴 𔐵 𔐶 𔐷 𔐸 𔐹 𔐺 𔐻 𔐼 𔐽 𔐾 𔐿 𔑀 𔑁 𔑂 𔑃 𔑄 𔑅 𔑆 𔑇 𔑈 𔑉 𔑊 𔑋 𔑌 𔑍 𔑎 𔑏 𔑐 𔑑 𔑒 𔑓 𔑔 𔑕 𔑖 𔑗 𔑘 𔑙 𔑚 𔑛 𔑜 𔑝 𔑞 𔑟 𔑠 𔑡 𔑢 𔑣 𔑤 𔑥 𔑦 𔑧 𔑨 𔑩 𔑪 𔑫 𔑬 𔑭 𔑮 𔑯 𔑰 𔑱 𔑲 𔑳 𔑴 𔑵 𔑶 𔑷 𔑸 𔑹 𔑺 𔑻 𔑼 𔑽 𔑾 𔑿 𔒀 𔒁 𔒂 𔒃 𔒄 𔒅 𔒆 𔒇 𔒈 𔒉 𔒊 𔒋 𔒌 𔒍 𔒎 𔒏 𔒐 𔒑 𔒒 𔒓 𔒔 𔒕 𔒖 𔒗 𔒘 𔒙 𔒚 𔒛 𔒜 𔒝 𔒞 𔒟 𔒠 𔒡 𔒢 𔒣 𔒤 𔒥 𔒦 𔒧 𔒨 𔒩 𔒪 𔒫 𔒬 𔒭 𔒮 𔒯 𔒰 𔒱 𔒲 𔒳 𔒴 𔒵 𔒶 𔒷 𔒸 𔒹 𔒺 𔒻 𔒼 𔒽 𔒾 𔒿 𔓀 𔓁 𔓂</t>
        </is>
      </c>
      <c r="R422" s="43" t="inlineStr"/>
      <c r="S422" s="40" t="n"/>
      <c r="V422" s="14">
        <f>(LEN(O422)+1)/2</f>
        <v/>
      </c>
      <c r="W422" s="14">
        <f>ROUNDDOWN((LEN(P422)+1)/2,0)</f>
        <v/>
      </c>
      <c r="X422" s="14">
        <f>ROUNDDOWN((LEN(Q422)+1)/2,0)</f>
        <v/>
      </c>
      <c r="Y422" s="14">
        <f>ROUNDDOWN((LEN(R422)+1)/2,0)</f>
        <v/>
      </c>
      <c r="Z422" s="14">
        <f>ROUNDDOWN((LEN(S422)+1)/2,0)</f>
        <v/>
      </c>
      <c r="AA422" s="56" t="n">
        <v>46150.55865183025</v>
      </c>
    </row>
    <row r="423" ht="76.5" customHeight="1">
      <c r="B423" s="46" t="inlineStr">
        <is>
          <t>U+144C3-U+14584</t>
        </is>
      </c>
      <c r="C423" s="46" t="inlineStr">
        <is>
          <t>Anatolian Hieroglyphs</t>
        </is>
      </c>
      <c r="D423" s="54">
        <f>HEX2DEC(MID(B423,3,FIND("-",E423)-3))</f>
        <v/>
      </c>
      <c r="E423" s="46" t="inlineStr">
        <is>
          <t>U+14400-U+1467F</t>
        </is>
      </c>
      <c r="F423" s="12" t="n">
        <v>4</v>
      </c>
      <c r="J423" s="19">
        <f>ROUNDDOWN(W423,0)/$V423</f>
        <v/>
      </c>
      <c r="K423" s="19">
        <f>ROUNDDOWN(X423,0)/$V423</f>
        <v/>
      </c>
      <c r="L423" s="19">
        <f>ROUNDDOWN(Y423,0)/$V423</f>
        <v/>
      </c>
      <c r="M423" s="19">
        <f>ROUNDDOWN(Z423,0)/$V423</f>
        <v/>
      </c>
      <c r="O423" s="36" t="inlineStr">
        <is>
          <t>𔓃 𔓄 𔓅 𔓆 𔓇 𔓈 𔓉 𔓊 𔓋 𔓌 𔓍 𔓎 𔓏 𔓐 𔓑 𔓒 𔓓 𔓔 𔓕 𔓖 𔓗 𔓘 𔓙 𔓚 𔓛 𔓜 𔓝 𔓞 𔓟 𔓠 𔓡 𔓢 𔓣 𔓤 𔓥 𔓦 𔓧 𔓨 𔓩 𔓪 𔓫 𔓬 𔓭 𔓮 𔓯 𔓰 𔓱 𔓲 𔓳 𔓴 𔓵 𔓶 𔓷 𔓸 𔓹 𔓺 𔓻 𔓼 𔓽 𔓾 𔓿 𔔀 𔔁 𔔂 𔔃 𔔄 𔔅 𔔆 𔔇 𔔈 𔔉 𔔊 𔔋 𔔌 𔔍 𔔎 𔔏 𔔐 𔔑 𔔒 𔔓 𔔔 𔔕 𔔖 𔔗 𔔘 𔔙 𔔚 𔔛 𔔜 𔔝 𔔞 𔔟 𔔠 𔔡 𔔢 𔔣 𔔤 𔔥 𔔦 𔔧 𔔨 𔔩 𔔪 𔔫 𔔬 𔔭 𔔮 𔔯 𔔰 𔔱 𔔲 𔔳 𔔴 𔔵 𔔶 𔔷 𔔸 𔔹 𔔺 𔔻 𔔼 𔔽 𔔾 𔔿 𔕀 𔕁 𔕂 𔕃 𔕄 𔕅 𔕆 𔕇 𔕈 𔕉 𔕊 𔕋 𔕌 𔕍 𔕎 𔕏 𔕐 𔕑 𔕒 𔕓 𔕔 𔕕 𔕖 𔕗 𔕘 𔕙 𔕚 𔕛 𔕜 𔕝 𔕞 𔕟 𔕠 𔕡 𔕢 𔕣 𔕤 𔕥 𔕦 𔕧 𔕨 𔕩 𔕪 𔕫 𔕬 𔕭 𔕮 𔕯 𔕰 𔕱 𔕲 𔕳 𔕴 𔕵 𔕶 𔕷 𔕸 𔕹 𔕺 𔕻 𔕼 𔕽 𔕾 𔕿 𔖀 𔖁 𔖂 𔖃 𔖄</t>
        </is>
      </c>
      <c r="P423" s="37" t="inlineStr">
        <is>
          <t>𔓃 𔓄 𔓅 𔓆 𔓇 𔓈 𔓉 𔓊 𔓋 𔓌 𔓍 𔓎 𔓏 𔓐 𔓑 𔓒 𔓓 𔓔 𔓕 𔓖 𔓗 𔓘 𔓙 𔓚 𔓛 𔓜 𔓝 𔓞 𔓟 𔓠 𔓡 𔓢 𔓣 𔓤 𔓥 𔓦 𔓧 𔓨 𔓩 𔓪 𔓫 𔓬 𔓭 𔓮 𔓯 𔓰 𔓱 𔓲 𔓳 𔓴 𔓵 𔓶 𔓷 𔓸 𔓹 𔓺 𔓻 𔓼 𔓽 𔓾 𔓿 𔔀 𔔁 𔔂 𔔃 𔔄 𔔅 𔔆 𔔇 𔔈 𔔉 𔔊 𔔋 𔔌 𔔍 𔔎 𔔏 𔔐 𔔑 𔔒 𔔓 𔔔 𔔕 𔔖 𔔗 𔔘 𔔙 𔔚 𔔛 𔔜 𔔝 𔔞 𔔟 𔔠 𔔡 𔔢 𔔣 𔔤 𔔥 𔔦 𔔧 𔔨 𔔩 𔔪 𔔫 𔔬 𔔭 𔔮 𔔯 𔔰 𔔱 𔔲 𔔳 𔔴 𔔵 𔔶 𔔷 𔔸 𔔹 𔔺 𔔻 𔔼 𔔽 𔔾 𔔿 𔕀 𔕁 𔕂 𔕃 𔕄 𔕅 𔕆 𔕇 𔕈 𔕉 𔕊 𔕋 𔕌 𔕍 𔕎 𔕏 𔕐 𔕑 𔕒 𔕓 𔕔 𔕕 𔕖 𔕗 𔕘 𔕙 𔕚 𔕛 𔕜 𔕝 𔕞 𔕟 𔕠 𔕡 𔕢 𔕣 𔕤 𔕥 𔕦 𔕧 𔕨 𔕩 𔕪 𔕫 𔕬 𔕭 𔕮 𔕯 𔕰 𔕱 𔕲 𔕳 𔕴 𔕵 𔕶 𔕷 𔕸 𔕹 𔕺 𔕻 𔕼 𔕽 𔕾 𔕿 𔖀 𔖁 𔖂 𔖃 𔖄</t>
        </is>
      </c>
      <c r="Q423" s="38" t="inlineStr">
        <is>
          <t>𔓃 𔓄 𔓅 𔓆 𔓇 𔓈 𔓉 𔓊 𔓋 𔓌 𔓍 𔓎 𔓏 𔓐 𔓑 𔓒 𔓓 𔓔 𔓕 𔓖 𔓗 𔓘 𔓙 𔓚 𔓛 𔓜 𔓝 𔓞 𔓟 𔓠 𔓡 𔓢 𔓣 𔓤 𔓥 𔓦 𔓧 𔓨 𔓩 𔓪 𔓫 𔓬 𔓭 𔓮 𔓯 𔓰 𔓱 𔓲 𔓳 𔓴 𔓵 𔓶 𔓷 𔓸 𔓹 𔓺 𔓻 𔓼 𔓽 𔓾 𔓿 𔔀 𔔁 𔔂 𔔃 𔔄 𔔅 𔔆 𔔇 𔔈 𔔉 𔔊 𔔋 𔔌 𔔍 𔔎 𔔏 𔔐 𔔑 𔔒 𔔓 𔔔 𔔕 𔔖 𔔗 𔔘 𔔙 𔔚 𔔛 𔔜 𔔝 𔔞 𔔟 𔔠 𔔡 𔔢 𔔣 𔔤 𔔥 𔔦 𔔧 𔔨 𔔩 𔔪 𔔫 𔔬 𔔭 𔔮 𔔯 𔔰 𔔱 𔔲 𔔳 𔔴 𔔵 𔔶 𔔷 𔔸 𔔹 𔔺 𔔻 𔔼 𔔽 𔔾 𔔿 𔕀 𔕁 𔕂 𔕃 𔕄 𔕅 𔕆 𔕇 𔕈 𔕉 𔕊 𔕋 𔕌 𔕍 𔕎 𔕏 𔕐 𔕑 𔕒 𔕓 𔕔 𔕕 𔕖 𔕗 𔕘 𔕙 𔕚 𔕛 𔕜 𔕝 𔕞 𔕟 𔕠 𔕡 𔕢 𔕣 𔕤 𔕥 𔕦 𔕧 𔕨 𔕩 𔕪 𔕫 𔕬 𔕭 𔕮 𔕯 𔕰 𔕱 𔕲 𔕳 𔕴 𔕵 𔕶 𔕷 𔕸 𔕹 𔕺 𔕻 𔕼 𔕽 𔕾 𔕿 𔖀 𔖁 𔖂 𔖃 𔖄</t>
        </is>
      </c>
      <c r="R423" s="43" t="inlineStr"/>
      <c r="S423" s="40" t="n"/>
      <c r="V423" s="14">
        <f>(LEN(O423)+1)/2</f>
        <v/>
      </c>
      <c r="W423" s="14">
        <f>ROUNDDOWN((LEN(P423)+1)/2,0)</f>
        <v/>
      </c>
      <c r="X423" s="14">
        <f>ROUNDDOWN((LEN(Q423)+1)/2,0)</f>
        <v/>
      </c>
      <c r="Y423" s="14">
        <f>ROUNDDOWN((LEN(R423)+1)/2,0)</f>
        <v/>
      </c>
      <c r="Z423" s="14">
        <f>ROUNDDOWN((LEN(S423)+1)/2,0)</f>
        <v/>
      </c>
      <c r="AA423" s="56" t="n">
        <v>46150.55865275336</v>
      </c>
    </row>
    <row r="424" ht="76.5" customHeight="1">
      <c r="B424" s="46" t="inlineStr">
        <is>
          <t>U+14585-U+14646</t>
        </is>
      </c>
      <c r="C424" s="46" t="inlineStr">
        <is>
          <t>Anatolian Hieroglyphs</t>
        </is>
      </c>
      <c r="D424" s="54">
        <f>HEX2DEC(MID(B424,3,FIND("-",E424)-3))</f>
        <v/>
      </c>
      <c r="E424" s="46" t="inlineStr">
        <is>
          <t>U+14400-U+1467F</t>
        </is>
      </c>
      <c r="F424" s="12" t="n">
        <v>4</v>
      </c>
      <c r="J424" s="19">
        <f>ROUNDDOWN(W424,0)/$V424</f>
        <v/>
      </c>
      <c r="K424" s="19">
        <f>ROUNDDOWN(X424,0)/$V424</f>
        <v/>
      </c>
      <c r="L424" s="19">
        <f>ROUNDDOWN(Y424,0)/$V424</f>
        <v/>
      </c>
      <c r="M424" s="19">
        <f>ROUNDDOWN(Z424,0)/$V424</f>
        <v/>
      </c>
      <c r="O424" s="36" t="inlineStr">
        <is>
          <t>𔖅 𔖆 𔖇 𔖈 𔖉 𔖊 𔖋 𔖌 𔖍 𔖎 𔖏 𔖐 𔖑 𔖒 𔖓 𔖔 𔖕 𔖖 𔖗 𔖘 𔖙 𔖚 𔖛 𔖜 𔖝 𔖞 𔖟 𔖠 𔖡 𔖢 𔖣 𔖤 𔖥 𔖦 𔖧 𔖨 𔖩 𔖪 𔖫 𔖬 𔖭 𔖮 𔖯 𔖰 𔖱 𔖲 𔖳 𔖴 𔖵 𔖶 𔖷 𔖸 𔖹 𔖺 𔖻 𔖼 𔖽 𔖾 𔖿 𔗀 𔗁 𔗂 𔗃 𔗄 𔗅 𔗆 𔗇 𔗈 𔗉 𔗊 𔗋 𔗌 𔗍 𔗎 𔗏 𔗐 𔗑 𔗒 𔗓 𔗔 𔗕 𔗖 𔗗 𔗘 𔗙 𔗚 𔗛 𔗜 𔗝 𔗞 𔗟 𔗠 𔗡 𔗢 𔗣 𔗤 𔗥 𔗦 𔗧 𔗨 𔗩 𔗪 𔗫 𔗬 𔗭 𔗮 𔗯 𔗰 𔗱 𔗲 𔗳 𔗴 𔗵 𔗶 𔗷 𔗸 𔗹 𔗺 𔗻 𔗼 𔗽 𔗾 𔗿 𔘀 𔘁 𔘂 𔘃 𔘄 𔘅 𔘆 𔘇 𔘈 𔘉 𔘊 𔘋 𔘌 𔘍 𔘎 𔘏 𔘐 𔘑 𔘒 𔘓 𔘔 𔘕 𔘖 𔘗 𔘘 𔘙 𔘚 𔘛 𔘜 𔘝 𔘞 𔘟 𔘠 𔘡 𔘢 𔘣 𔘤 𔘥 𔘦 𔘧 𔘨 𔘩 𔘪 𔘫 𔘬 𔘭 𔘮 𔘯 𔘰 𔘱 𔘲 𔘳 𔘴 𔘵 𔘶 𔘷 𔘸 𔘹 𔘺 𔘻 𔘼 𔘽 𔘾 𔘿 𔙀 𔙁 𔙂 𔙃 𔙄 𔙅 𔙆</t>
        </is>
      </c>
      <c r="P424" s="37" t="inlineStr">
        <is>
          <t>𔖅 𔖆 𔖇 𔖈 𔖉 𔖊 𔖋 𔖌 𔖍 𔖎 𔖏 𔖐 𔖑 𔖒 𔖓 𔖔 𔖕 𔖖 𔖗 𔖘 𔖙 𔖚 𔖛 𔖜 𔖝 𔖞 𔖟 𔖠 𔖡 𔖢 𔖣 𔖤 𔖥 𔖦 𔖧 𔖨 𔖩 𔖪 𔖫 𔖬 𔖭 𔖮 𔖯 𔖰 𔖱 𔖲 𔖳 𔖴 𔖵 𔖶 𔖷 𔖸 𔖹 𔖺 𔖻 𔖼 𔖽 𔖾 𔖿 𔗀 𔗁 𔗂 𔗃 𔗄 𔗅 𔗆 𔗇 𔗈 𔗉 𔗊 𔗋 𔗌 𔗍 𔗎 𔗏 𔗐 𔗑 𔗒 𔗓 𔗔 𔗕 𔗖 𔗗 𔗘 𔗙 𔗚 𔗛 𔗜 𔗝 𔗞 𔗟 𔗠 𔗡 𔗢 𔗣 𔗤 𔗥 𔗦 𔗧 𔗨 𔗩 𔗪 𔗫 𔗬 𔗭 𔗮 𔗯 𔗰 𔗱 𔗲 𔗳 𔗴 𔗵 𔗶 𔗷 𔗸 𔗹 𔗺 𔗻 𔗼 𔗽 𔗾 𔗿 𔘀 𔘁 𔘂 𔘃 𔘄 𔘅 𔘆 𔘇 𔘈 𔘉 𔘊 𔘋 𔘌 𔘍 𔘎 𔘏 𔘐 𔘑 𔘒 𔘓 𔘔 𔘕 𔘖 𔘗 𔘘 𔘙 𔘚 𔘛 𔘜 𔘝 𔘞 𔘟 𔘠 𔘡 𔘢 𔘣 𔘤 𔘥 𔘦 𔘧 𔘨 𔘩 𔘪 𔘫 𔘬 𔘭 𔘮 𔘯 𔘰 𔘱 𔘲 𔘳 𔘴 𔘵 𔘶 𔘷 𔘸 𔘹 𔘺 𔘻 𔘼 𔘽 𔘾 𔘿 𔙀 𔙁 𔙂 𔙃 𔙄 𔙅 𔙆</t>
        </is>
      </c>
      <c r="Q424" s="38" t="inlineStr">
        <is>
          <t>𔖅 𔖆 𔖇 𔖈 𔖉 𔖊 𔖋 𔖌 𔖍 𔖎 𔖏 𔖐 𔖑 𔖒 𔖓 𔖔 𔖕 𔖖 𔖗 𔖘 𔖙 𔖚 𔖛 𔖜 𔖝 𔖞 𔖟 𔖠 𔖡 𔖢 𔖣 𔖤 𔖥 𔖦 𔖧 𔖨 𔖩 𔖪 𔖫 𔖬 𔖭 𔖮 𔖯 𔖰 𔖱 𔖲 𔖳 𔖴 𔖵 𔖶 𔖷 𔖸 𔖹 𔖺 𔖻 𔖼 𔖽 𔖾 𔖿 𔗀 𔗁 𔗂 𔗃 𔗄 𔗅 𔗆 𔗇 𔗈 𔗉 𔗊 𔗋 𔗌 𔗍 𔗎 𔗏 𔗐 𔗑 𔗒 𔗓 𔗔 𔗕 𔗖 𔗗 𔗘 𔗙 𔗚 𔗛 𔗜 𔗝 𔗞 𔗟 𔗠 𔗡 𔗢 𔗣 𔗤 𔗥 𔗦 𔗧 𔗨 𔗩 𔗪 𔗫 𔗬 𔗭 𔗮 𔗯 𔗰 𔗱 𔗲 𔗳 𔗴 𔗵 𔗶 𔗷 𔗸 𔗹 𔗺 𔗻 𔗼 𔗽 𔗾 𔗿 𔘀 𔘁 𔘂 𔘃 𔘄 𔘅 𔘆 𔘇 𔘈 𔘉 𔘊 𔘋 𔘌 𔘍 𔘎 𔘏 𔘐 𔘑 𔘒 𔘓 𔘔 𔘕 𔘖 𔘗 𔘘 𔘙 𔘚 𔘛 𔘜 𔘝 𔘞 𔘟 𔘠 𔘡 𔘢 𔘣 𔘤 𔘥 𔘦 𔘧 𔘨 𔘩 𔘪 𔘫 𔘬 𔘭 𔘮 𔘯 𔘰 𔘱 𔘲 𔘳 𔘴 𔘵 𔘶 𔘷 𔘸 𔘹 𔘺 𔘻 𔘼 𔘽 𔘾 𔘿 𔙀 𔙁 𔙂 𔙃 𔙄 𔙅 𔙆</t>
        </is>
      </c>
      <c r="R424" s="43" t="inlineStr"/>
      <c r="S424" s="40" t="n"/>
      <c r="V424" s="14">
        <f>(LEN(O424)+1)/2</f>
        <v/>
      </c>
      <c r="W424" s="14">
        <f>ROUNDDOWN((LEN(P424)+1)/2,0)</f>
        <v/>
      </c>
      <c r="X424" s="14">
        <f>ROUNDDOWN((LEN(Q424)+1)/2,0)</f>
        <v/>
      </c>
      <c r="Y424" s="14">
        <f>ROUNDDOWN((LEN(R424)+1)/2,0)</f>
        <v/>
      </c>
      <c r="Z424" s="14">
        <f>ROUNDDOWN((LEN(S424)+1)/2,0)</f>
        <v/>
      </c>
      <c r="AA424" s="56" t="n">
        <v>46150.55865371616</v>
      </c>
    </row>
    <row r="425" ht="76.5" customHeight="1">
      <c r="B425" s="46" t="inlineStr">
        <is>
          <t>U+16800-U+168BD</t>
        </is>
      </c>
      <c r="C425" s="46" t="inlineStr">
        <is>
          <t>Bamum Supplement</t>
        </is>
      </c>
      <c r="D425" s="54">
        <f>HEX2DEC(MID(B425,3,FIND("-",E425)-3))</f>
        <v/>
      </c>
      <c r="E425" s="46" t="inlineStr">
        <is>
          <t>U+16800-U+16A3F</t>
        </is>
      </c>
      <c r="F425" s="12" t="n">
        <v>4</v>
      </c>
      <c r="J425" s="19">
        <f>ROUNDDOWN(W425,0)/$V425</f>
        <v/>
      </c>
      <c r="K425" s="19">
        <f>ROUNDDOWN(X425,0)/$V425</f>
        <v/>
      </c>
      <c r="L425" s="19">
        <f>ROUNDDOWN(Y425,0)/$V425</f>
        <v/>
      </c>
      <c r="M425" s="19">
        <f>ROUNDDOWN(Z425,0)/$V425</f>
        <v/>
      </c>
      <c r="O425" s="36" t="inlineStr">
        <is>
          <t>𖠀 𖠁 𖠂 𖠃 𖠄 𖠅 𖠆 𖠇 𖠈 𖠉 𖠊 𖠋 𖠌 𖠍 𖠎 𖠏 𖠐 𖠑 𖠒 𖠓 𖠔 𖠕 𖠖 𖠗 𖠘 𖠙 𖠚 𖠛 𖠜 𖠝 𖠞 𖠟 𖠠 𖠡 𖠢 𖠣 𖠤 𖠥 𖠦 𖠧 𖠨 𖠩 𖠪 𖠫 𖠬 𖠭 𖠮 𖠯 𖠰 𖠱 𖠲 𖠳 𖠴 𖠵 𖠶 𖠷 𖠸 𖠹 𖠺 𖠻 𖠼 𖠽 𖠾 𖠿 𖡀 𖡁 𖡂 𖡃 𖡄 𖡅 𖡆 𖡇 𖡈 𖡉 𖡊 𖡋 𖡌 𖡍 𖡎 𖡏 𖡐 𖡑 𖡒 𖡓 𖡔 𖡕 𖡖 𖡗 𖡘 𖡙 𖡚 𖡛 𖡜 𖡝 𖡞 𖡟 𖡠 𖡡 𖡢 𖡣 𖡤 𖡥 𖡦 𖡧 𖡨 𖡩 𖡪 𖡫 𖡬 𖡭 𖡮 𖡯 𖡰 𖡱 𖡲 𖡳 𖡴 𖡵 𖡶 𖡷 𖡸 𖡹 𖡺 𖡻 𖡼 𖡽 𖡾 𖡿 𖢀 𖢁 𖢂 𖢃 𖢄 𖢅 𖢆 𖢇 𖢈 𖢉 𖢊 𖢋 𖢌 𖢍 𖢎 𖢏 𖢐 𖢑 𖢒 𖢓 𖢔 𖢕 𖢖 𖢗 𖢘 𖢙 𖢚 𖢛 𖢜 𖢝 𖢞 𖢟 𖢠 𖢡 𖢢 𖢣 𖢤 𖢥 𖢦 𖢧 𖢨 𖢩 𖢪 𖢫 𖢬 𖢭 𖢮 𖢯 𖢰 𖢱 𖢲 𖢳 𖢴 𖢵 𖢶 𖢷 𖢸 𖢹 𖢺 𖢻 𖢼 𖢽</t>
        </is>
      </c>
      <c r="P425" s="37" t="inlineStr">
        <is>
          <t>𖠀 𖠁 𖠂 𖠃 𖠄 𖠅 𖠆 𖠇 𖠈 𖠉 𖠊 𖠋 𖠌 𖠍 𖠎 𖠏 𖠐 𖠑 𖠒 𖠓 𖠔 𖠕 𖠖 𖠗 𖠘 𖠙 𖠚 𖠛 𖠜 𖠝 𖠞 𖠟 𖠠 𖠡 𖠢 𖠣 𖠤 𖠥 𖠦 𖠧 𖠨 𖠩 𖠪 𖠫 𖠬 𖠭 𖠮 𖠯 𖠰 𖠱 𖠲 𖠳 𖠴 𖠵 𖠶 𖠷 𖠸 𖠹 𖠺 𖠻 𖠼 𖠽 𖠾 𖠿 𖡀 𖡁 𖡂 𖡃 𖡄 𖡅 𖡆 𖡇 𖡈 𖡉 𖡊 𖡋 𖡌 𖡍 𖡎 𖡏 𖡐 𖡑 𖡒 𖡓 𖡔 𖡕 𖡖 𖡗 𖡘 𖡙 𖡚 𖡛 𖡜 𖡝 𖡞 𖡟 𖡠 𖡡 𖡢 𖡣 𖡤 𖡥 𖡦 𖡧 𖡨 𖡩 𖡪 𖡫 𖡬 𖡭 𖡮 𖡯 𖡰 𖡱 𖡲 𖡳 𖡴 𖡵 𖡶 𖡷 𖡸 𖡹 𖡺 𖡻 𖡼 𖡽 𖡾 𖡿 𖢀 𖢁 𖢂 𖢃 𖢄 𖢅 𖢆 𖢇 𖢈 𖢉 𖢊 𖢋 𖢌 𖢍 𖢎 𖢏 𖢐 𖢑 𖢒 𖢓 𖢔 𖢕 𖢖 𖢗 𖢘 𖢙 𖢚 𖢛 𖢜 𖢝 𖢞 𖢟 𖢠 𖢡 𖢢 𖢣 𖢤 𖢥 𖢦 𖢧 𖢨 𖢩 𖢪 𖢫 𖢬 𖢭 𖢮 𖢯 𖢰 𖢱 𖢲 𖢳 𖢴 𖢵 𖢶 𖢷 𖢸 𖢹 𖢺 𖢻 𖢼 𖢽</t>
        </is>
      </c>
      <c r="Q425" s="38" t="inlineStr">
        <is>
          <t>𖠀 𖠁 𖠂 𖠃 𖠄 𖠅 𖠆 𖠇 𖠈 𖠉 𖠊 𖠋 𖠌 𖠍 𖠎 𖠏 𖠐 𖠑 𖠒 𖠓 𖠔 𖠕 𖠖 𖠗 𖠘 𖠙 𖠚 𖠛 𖠜 𖠝 𖠞 𖠟 𖠠 𖠡 𖠢 𖠣 𖠤 𖠥 𖠦 𖠧 𖠨 𖠩 𖠪 𖠫 𖠬 𖠭 𖠮 𖠯 𖠰 𖠱 𖠲 𖠳 𖠴 𖠵 𖠶 𖠷 𖠸 𖠹 𖠺 𖠻 𖠼 𖠽 𖠾 𖠿 𖡀 𖡁 𖡂 𖡃 𖡄 𖡅 𖡆 𖡇 𖡈 𖡉 𖡊 𖡋 𖡌 𖡍 𖡎 𖡏 𖡐 𖡑 𖡒 𖡓 𖡔 𖡕 𖡖 𖡗 𖡘 𖡙 𖡚 𖡛 𖡜 𖡝 𖡞 𖡟 𖡠 𖡡 𖡢 𖡣 𖡤 𖡥 𖡦 𖡧 𖡨 𖡩 𖡪 𖡫 𖡬 𖡭 𖡮 𖡯 𖡰 𖡱 𖡲 𖡳 𖡴 𖡵 𖡶 𖡷 𖡸 𖡹 𖡺 𖡼 𖡽 𖡾 𖡿 𖢀 𖢁 𖢂 𖢃 𖢄 𖢅 𖢆 𖢇 𖢈 𖢉 𖢊 𖢋 𖢌 𖢍 𖢎 𖢏 𖢐 𖢑 𖢒 𖢓 𖢔 𖢕 𖢖 𖢗 𖢘 𖢙 𖢚 𖢛 𖢜 𖢝 𖢞 𖢟 𖢠 𖢡 𖢢 𖢣 𖢤 𖢥 𖢦 𖢧 𖢨 𖢩 𖢪 𖢫 𖢬 𖢭 𖢮 𖢯 𖢰 𖢱 𖢲 𖢳 𖢴 𖢵 𖢶 𖢷 𖢸 𖢹 𖢺 𖢻 𖢼 𖢽</t>
        </is>
      </c>
      <c r="R425" s="43" t="inlineStr"/>
      <c r="S425" s="40" t="n"/>
      <c r="V425" s="14">
        <f>(LEN(O425)+1)/2</f>
        <v/>
      </c>
      <c r="W425" s="14">
        <f>ROUNDDOWN((LEN(P425)+1)/2,0)</f>
        <v/>
      </c>
      <c r="X425" s="14">
        <f>ROUNDDOWN((LEN(Q425)+1)/2,0)</f>
        <v/>
      </c>
      <c r="Y425" s="14">
        <f>ROUNDDOWN((LEN(R425)+1)/2,0)</f>
        <v/>
      </c>
      <c r="Z425" s="14">
        <f>ROUNDDOWN((LEN(S425)+1)/2,0)</f>
        <v/>
      </c>
      <c r="AA425" s="56" t="n">
        <v>46150.55865454552</v>
      </c>
    </row>
    <row r="426" ht="76.5" customHeight="1">
      <c r="B426" s="46" t="inlineStr">
        <is>
          <t>U+168BE-U+1697B</t>
        </is>
      </c>
      <c r="C426" s="46" t="inlineStr">
        <is>
          <t>Bamum Supplement</t>
        </is>
      </c>
      <c r="D426" s="54">
        <f>HEX2DEC(MID(B426,3,FIND("-",E426)-3))</f>
        <v/>
      </c>
      <c r="E426" s="46" t="inlineStr">
        <is>
          <t>U+16800-U+16A3F</t>
        </is>
      </c>
      <c r="F426" s="12" t="n">
        <v>4</v>
      </c>
      <c r="J426" s="19">
        <f>ROUNDDOWN(W426,0)/$V426</f>
        <v/>
      </c>
      <c r="K426" s="19">
        <f>ROUNDDOWN(X426,0)/$V426</f>
        <v/>
      </c>
      <c r="L426" s="19">
        <f>ROUNDDOWN(Y426,0)/$V426</f>
        <v/>
      </c>
      <c r="M426" s="19">
        <f>ROUNDDOWN(Z426,0)/$V426</f>
        <v/>
      </c>
      <c r="O426" s="36" t="inlineStr">
        <is>
          <t>𖢾 𖢿 𖣀 𖣁 𖣂 𖣃 𖣄 𖣅 𖣆 𖣇 𖣈 𖣉 𖣊 𖣋 𖣌 𖣍 𖣎 𖣏 𖣐 𖣑 𖣒 𖣓 𖣔 𖣕 𖣖 𖣗 𖣘 𖣙 𖣚 𖣛 𖣜 𖣝 𖣞 𖣟 𖣠 𖣡 𖣢 𖣣 𖣤 𖣥 𖣦 𖣧 𖣨 𖣩 𖣪 𖣫 𖣬 𖣭 𖣮 𖣯 𖣰 𖣱 𖣲 𖣳 𖣴 𖣵 𖣶 𖣷 𖣸 𖣹 𖣺 𖣻 𖣼 𖣽 𖣾 𖣿 𖤀 𖤁 𖤂 𖤃 𖤄 𖤅 𖤆 𖤇 𖤈 𖤉 𖤊 𖤋 𖤌 𖤍 𖤎 𖤏 𖤐 𖤑 𖤒 𖤓 𖤔 𖤕 𖤖 𖤗 𖤘 𖤙 𖤚 𖤛 𖤜 𖤝 𖤞 𖤟 𖤠 𖤡 𖤢 𖤣 𖤤 𖤥 𖤦 𖤧 𖤨 𖤩 𖤪 𖤫 𖤬 𖤭 𖤮 𖤯 𖤰 𖤱 𖤲 𖤳 𖤴 𖤵 𖤶 𖤷 𖤸 𖤹 𖤺 𖤻 𖤼 𖤽 𖤾 𖤿 𖥀 𖥁 𖥂 𖥃 𖥄 𖥅 𖥆 𖥇 𖥈 𖥉 𖥊 𖥋 𖥌 𖥍 𖥎 𖥏 𖥐 𖥑 𖥒 𖥓 𖥔 𖥕 𖥖 𖥗 𖥘 𖥙 𖥚 𖥛 𖥜 𖥝 𖥞 𖥟 𖥠 𖥡 𖥢 𖥣 𖥤 𖥥 𖥦 𖥧 𖥨 𖥩 𖥪 𖥫 𖥬 𖥭 𖥮 𖥯 𖥰 𖥱 𖥲 𖥳 𖥴 𖥵 𖥶 𖥷 𖥸 𖥹 𖥺 𖥻</t>
        </is>
      </c>
      <c r="P426" s="37" t="inlineStr">
        <is>
          <t>𖢾 𖢿 𖣀 𖣁 𖣂 𖣃 𖣄 𖣅 𖣆 𖣇 𖣈 𖣉 𖣊 𖣋 𖣌 𖣍 𖣎 𖣏 𖣐 𖣑 𖣒 𖣓 𖣔 𖣕 𖣖 𖣗 𖣘 𖣙 𖣚 𖣛 𖣜 𖣝 𖣞 𖣟 𖣠 𖣡 𖣢 𖣣 𖣤 𖣥 𖣦 𖣧 𖣨 𖣩 𖣪 𖣫 𖣬 𖣭 𖣮 𖣯 𖣰 𖣱 𖣲 𖣳 𖣴 𖣵 𖣶 𖣷 𖣸 𖣹 𖣺 𖣻 𖣼 𖣽 𖣾 𖣿 𖤀 𖤁 𖤂 𖤃 𖤄 𖤅 𖤆 𖤇 𖤈 𖤉 𖤊 𖤋 𖤌 𖤍 𖤎 𖤏 𖤐 𖤑 𖤒 𖤓 𖤔 𖤕 𖤖 𖤗 𖤘 𖤙 𖤚 𖤛 𖤜 𖤝 𖤞 𖤟 𖤠 𖤡 𖤢 𖤣 𖤤 𖤥 𖤦 𖤧 𖤨 𖤩 𖤪 𖤫 𖤬 𖤭 𖤮 𖤯 𖤰 𖤱 𖤲 𖤳 𖤴 𖤵 𖤶 𖤷 𖤸 𖤹 𖤺 𖤻 𖤼 𖤽 𖤾 𖤿 𖥀 𖥁 𖥂 𖥃 𖥄 𖥅 𖥆 𖥇 𖥈 𖥉 𖥊 𖥋 𖥌 𖥍 𖥎 𖥏 𖥐 𖥑 𖥒 𖥓 𖥔 𖥕 𖥖 𖥗 𖥘 𖥙 𖥚 𖥛 𖥜 𖥝 𖥞 𖥟 𖥠 𖥡 𖥢 𖥣 𖥤 𖥥 𖥦 𖥧 𖥨 𖥩 𖥪 𖥫 𖥬 𖥭 𖥮 𖥯 𖥰 𖥱 𖥲 𖥳 𖥴 𖥵 𖥶 𖥷 𖥸 𖥹 𖥺 𖥻</t>
        </is>
      </c>
      <c r="Q426" s="38" t="inlineStr">
        <is>
          <t>𖢾 𖢿 𖣀 𖣁 𖣂 𖣃 𖣄 𖣅 𖣆 𖣇 𖣈 𖣉 𖣊 𖣋 𖣌 𖣍 𖣎 𖣏 𖣐 𖣑 𖣒 𖣓 𖣔 𖣕 𖣖 𖣗 𖣘 𖣙 𖣚 𖣛 𖣜 𖣝 𖣞 𖣟 𖣠 𖣡 𖣢 𖣣 𖣤 𖣥 𖣦 𖣧 𖣨 𖣩 𖣪 𖣫 𖣬 𖣭 𖣮 𖣯 𖣰 𖣱 𖣲 𖣳 𖣴 𖣵 𖣶 𖣷 𖣸 𖣹 𖣺 𖣻 𖣼 𖣽 𖣾 𖣿 𖤀 𖤁 𖤂 𖤃 𖤄 𖤅 𖤆 𖤇 𖤈 𖤉 𖤊 𖤋 𖤌 𖤍 𖤎 𖤏 𖤐 𖤑 𖤒 𖤓 𖤔 𖤕 𖤖 𖤗 𖤘 𖤙 𖤚 𖤛 𖤜 𖤝 𖤞 𖤟 𖤠 𖤡 𖤢 𖤣 𖤤 𖤥 𖤦 𖤧 𖤨 𖤩 𖤪 𖤫 𖤬 𖤭 𖤮 𖤯 𖤰 𖤱 𖤲 𖤳 𖤴 𖤵 𖤶 𖤷 𖤸 𖤹 𖤺 𖤻 𖤼 𖤽 𖤾 𖤿 𖥀 𖥁 𖥂 𖥃 𖥄 𖥅 𖥆 𖥇 𖥈 𖥉 𖥊 𖥋 𖥌 𖥍 𖥎 𖥏 𖥐 𖥑 𖥒 𖥓 𖥔 𖥕 𖥖 𖥗 𖥘 𖥙 𖥚 𖥛 𖥜 𖥝 𖥞 𖥟 𖥠 𖥡 𖥢 𖥣 𖥤 𖥥 𖥦 𖥧 𖥨 𖥩 𖥪 𖥫 𖥬 𖥭 𖥮 𖥯 𖥰 𖥱 𖥲 𖥳 𖥴 𖥵 𖥶 𖥷 𖥸 𖥹 𖥺 𖥻</t>
        </is>
      </c>
      <c r="R426" s="43" t="inlineStr"/>
      <c r="S426" s="40" t="n"/>
      <c r="V426" s="14">
        <f>(LEN(O426)+1)/2</f>
        <v/>
      </c>
      <c r="W426" s="14">
        <f>ROUNDDOWN((LEN(P426)+1)/2,0)</f>
        <v/>
      </c>
      <c r="X426" s="14">
        <f>ROUNDDOWN((LEN(Q426)+1)/2,0)</f>
        <v/>
      </c>
      <c r="Y426" s="14">
        <f>ROUNDDOWN((LEN(R426)+1)/2,0)</f>
        <v/>
      </c>
      <c r="Z426" s="14">
        <f>ROUNDDOWN((LEN(S426)+1)/2,0)</f>
        <v/>
      </c>
      <c r="AA426" s="56" t="n">
        <v>46150.55865539593</v>
      </c>
    </row>
    <row r="427" ht="76.5" customHeight="1">
      <c r="B427" s="46" t="inlineStr">
        <is>
          <t>U+1697C-U+16A38</t>
        </is>
      </c>
      <c r="C427" s="46" t="inlineStr">
        <is>
          <t>Bamum Supplement</t>
        </is>
      </c>
      <c r="D427" s="54">
        <f>HEX2DEC(MID(B427,3,FIND("-",E427)-3))</f>
        <v/>
      </c>
      <c r="E427" s="46" t="inlineStr">
        <is>
          <t>U+16800-U+16A3F</t>
        </is>
      </c>
      <c r="F427" s="12" t="n">
        <v>4</v>
      </c>
      <c r="J427" s="19">
        <f>ROUNDDOWN(W427,0)/$V427</f>
        <v/>
      </c>
      <c r="K427" s="19">
        <f>ROUNDDOWN(X427,0)/$V427</f>
        <v/>
      </c>
      <c r="L427" s="19">
        <f>ROUNDDOWN(Y427,0)/$V427</f>
        <v/>
      </c>
      <c r="M427" s="19">
        <f>ROUNDDOWN(Z427,0)/$V427</f>
        <v/>
      </c>
      <c r="O427" s="36" t="inlineStr">
        <is>
          <t>𖥼 𖥽 𖥾 𖥿 𖦀 𖦁 𖦂 𖦃 𖦄 𖦅 𖦆 𖦇 𖦈 𖦉 𖦊 𖦋 𖦌 𖦍 𖦎 𖦏 𖦐 𖦑 𖦒 𖦓 𖦔 𖦕 𖦖 𖦗 𖦘 𖦙 𖦚 𖦛 𖦜 𖦝 𖦞 𖦟 𖦠 𖦡 𖦢 𖦣 𖦤 𖦥 𖦦 𖦧 𖦨 𖦩 𖦪 𖦫 𖦬 𖦭 𖦮 𖦯 𖦰 𖦱 𖦲 𖦳 𖦴 𖦵 𖦶 𖦷 𖦸 𖦹 𖦺 𖦻 𖦼 𖦽 𖦾 𖦿 𖧀 𖧁 𖧂 𖧃 𖧄 𖧅 𖧆 𖧇 𖧈 𖧉 𖧊 𖧋 𖧌 𖧍 𖧎 𖧏 𖧐 𖧑 𖧒 𖧓 𖧔 𖧕 𖧖 𖧗 𖧘 𖧙 𖧚 𖧛 𖧜 𖧝 𖧞 𖧟 𖧠 𖧡 𖧢 𖧣 𖧤 𖧥 𖧦 𖧧 𖧨 𖧩 𖧪 𖧫 𖧬 𖧭 𖧮 𖧯 𖧰 𖧱 𖧲 𖧳 𖧴 𖧵 𖧶 𖧷 𖧸 𖧹 𖧺 𖧻 𖧼 𖧽 𖧾 𖧿 𖨀 𖨁 𖨂 𖨃 𖨄 𖨅 𖨆 𖨇 𖨈 𖨉 𖨊 𖨋 𖨌 𖨍 𖨎 𖨏 𖨐 𖨑 𖨒 𖨓 𖨔 𖨕 𖨖 𖨗 𖨘 𖨙 𖨚 𖨛 𖨜 𖨝 𖨞 𖨟 𖨠 𖨡 𖨢 𖨣 𖨤 𖨥 𖨦 𖨧 𖨨 𖨩 𖨪 𖨫 𖨬 𖨭 𖨮 𖨯 𖨰 𖨱 𖨲 𖨳 𖨴 𖨵 𖨶 𖨷 𖨸</t>
        </is>
      </c>
      <c r="P427" s="37" t="inlineStr">
        <is>
          <t>𖥼 𖥽 𖥾 𖥿 𖦀 𖦁 𖦂 𖦃 𖦄 𖦅 𖦆 𖦇 𖦈 𖦉 𖦊 𖦋 𖦌 𖦍 𖦎 𖦏 𖦐 𖦑 𖦒 𖦓 𖦔 𖦕 𖦖 𖦗 𖦘 𖦙 𖦚 𖦛 𖦜 𖦝 𖦞 𖦟 𖦠 𖦡 𖦢 𖦣 𖦤 𖦥 𖦦 𖦧 𖦨 𖦩 𖦪 𖦫 𖦬 𖦭 𖦮 𖦯 𖦰 𖦱 𖦲 𖦳 𖦴 𖦵 𖦶 𖦷 𖦸 𖦹 𖦺 𖦻 𖦼 𖦽 𖦾 𖦿 𖧀 𖧁 𖧂 𖧃 𖧄 𖧅 𖧆 𖧇 𖧈 𖧉 𖧊 𖧋 𖧌 𖧍 𖧎 𖧏 𖧐 𖧑 𖧒 𖧓 𖧔 𖧕 𖧖 𖧗 𖧘 𖧙 𖧚 𖧛 𖧜 𖧝 𖧞 𖧟 𖧠 𖧡 𖧢 𖧣 𖧤 𖧥 𖧦 𖧧 𖧨 𖧩 𖧪 𖧫 𖧬 𖧭 𖧮 𖧯 𖧰 𖧱 𖧲 𖧳 𖧴 𖧵 𖧶 𖧷 𖧸 𖧹 𖧺 𖧻 𖧼 𖧽 𖧾 𖧿 𖨀 𖨁 𖨂 𖨃 𖨄 𖨅 𖨆 𖨇 𖨈 𖨉 𖨊 𖨋 𖨌 𖨍 𖨎 𖨏 𖨐 𖨑 𖨒 𖨓 𖨔 𖨕 𖨖 𖨗 𖨘 𖨙 𖨚 𖨛 𖨜 𖨝 𖨞 𖨟 𖨠 𖨡 𖨢 𖨣 𖨤 𖨥 𖨦 𖨧 𖨨 𖨩 𖨪 𖨫 𖨬 𖨭 𖨮 𖨯 𖨰 𖨱 𖨲 𖨳 𖨴 𖨵 𖨶 𖨷 𖨸</t>
        </is>
      </c>
      <c r="Q427" s="38" t="inlineStr">
        <is>
          <t>𖥼 𖥽 𖥾 𖥿 𖦀 𖦁 𖦂 𖦃 𖦄 𖦅 𖦆 𖦇 𖦈 𖦉 𖦊 𖦋 𖦌 𖦍 𖦎 𖦏 𖦐 𖦑 𖦒 𖦓 𖦔 𖦕 𖦖 𖦗 𖦘 𖦙 𖦚 𖦛 𖦜 𖦝 𖦞 𖦟 𖦠 𖦡 𖦢 𖦣 𖦤 𖦥 𖦦 𖦧 𖦨 𖦩 𖦪 𖦫 𖦬 𖦭 𖦮 𖦯 𖦰 𖦱 𖦲 𖦳 𖦴 𖦵 𖦶 𖦷 𖦸 𖦹 𖦺 𖦻 𖦼 𖦽 𖦾 𖦿 𖧀 𖧁 𖧂 𖧃 𖧄 𖧅 𖧆 𖧇 𖧈 𖧉 𖧊 𖧋 𖧌 𖧍 𖧎 𖧏 𖧐 𖧑 𖧒 𖧓 𖧔 𖧕 𖧖 𖧘 𖧙 𖧚 𖧛 𖧜 𖧝 𖧞 𖧟 𖧠 𖧡 𖧢 𖧣 𖧤 𖧥 𖧦 𖧧 𖧨 𖧩 𖧪 𖧫 𖧬 𖧭 𖧮 𖧯 𖧰 𖧱 𖧲 𖧳 𖧴 𖧵 𖧶 𖧷 𖧸 𖧹 𖧺 𖧻 𖧼 𖧽 𖧾 𖧿 𖨀 𖨁 𖨂 𖨃 𖨄 𖨅 𖨆 𖨇 𖨈 𖨉 𖨊 𖨋 𖨌 𖨍 𖨎 𖨏 𖨐 𖨑 𖨒 𖨓 𖨔 𖨕 𖨖 𖨗 𖨘 𖨙 𖨚 𖨛 𖨜 𖨝 𖨞 𖨟 𖨠 𖨡 𖨢 𖨣 𖨤 𖨥 𖨦 𖨧 𖨨 𖨩 𖨪 𖨫 𖨬 𖨭 𖨮 𖨯 𖨰 𖨱 𖨲 𖨳 𖨴 𖨵 𖨶 𖨷 𖨸</t>
        </is>
      </c>
      <c r="R427" s="43" t="inlineStr"/>
      <c r="S427" s="40" t="n"/>
      <c r="V427" s="14">
        <f>(LEN(O427)+1)/2</f>
        <v/>
      </c>
      <c r="W427" s="14">
        <f>ROUNDDOWN((LEN(P427)+1)/2,0)</f>
        <v/>
      </c>
      <c r="X427" s="14">
        <f>ROUNDDOWN((LEN(Q427)+1)/2,0)</f>
        <v/>
      </c>
      <c r="Y427" s="14">
        <f>ROUNDDOWN((LEN(R427)+1)/2,0)</f>
        <v/>
      </c>
      <c r="Z427" s="14">
        <f>ROUNDDOWN((LEN(S427)+1)/2,0)</f>
        <v/>
      </c>
      <c r="AA427" s="56" t="n">
        <v>46150.55865622928</v>
      </c>
    </row>
    <row r="428" ht="25.5" customHeight="1">
      <c r="B428" s="46" t="inlineStr">
        <is>
          <t>U+16A40-U+16A6F</t>
        </is>
      </c>
      <c r="C428" s="46" t="inlineStr">
        <is>
          <t>Mro</t>
        </is>
      </c>
      <c r="D428" s="54">
        <f>HEX2DEC(MID(B428,3,FIND("-",E428)-3))</f>
        <v/>
      </c>
      <c r="E428" s="46" t="inlineStr">
        <is>
          <t>U+16A40-U+16A6F</t>
        </is>
      </c>
      <c r="F428" s="12" t="n">
        <v>4</v>
      </c>
      <c r="J428" s="19">
        <f>ROUNDDOWN(W428,0)/$V428</f>
        <v/>
      </c>
      <c r="K428" s="19">
        <f>ROUNDDOWN(X428,0)/$V428</f>
        <v/>
      </c>
      <c r="L428" s="19">
        <f>ROUNDDOWN(Y428,0)/$V428</f>
        <v/>
      </c>
      <c r="M428" s="19">
        <f>ROUNDDOWN(Z428,0)/$V428</f>
        <v/>
      </c>
      <c r="O428" s="36" t="inlineStr">
        <is>
          <t>𖩀 𖩁 𖩂 𖩃 𖩄 𖩅 𖩆 𖩇 𖩈 𖩉 𖩊 𖩋 𖩌 𖩍 𖩎 𖩏 𖩐 𖩑 𖩒 𖩓 𖩔 𖩕 𖩖 𖩗 𖩘 𖩙 𖩚 𖩛 𖩜 𖩝 𖩞 𖩠 𖩡 𖩢 𖩣 𖩤 𖩥 𖩦 𖩧 𖩨 𖩩 𖩮 𖩯</t>
        </is>
      </c>
      <c r="P428" s="37" t="inlineStr">
        <is>
          <t>𖩀 𖩁 𖩂 𖩃 𖩄 𖩅 𖩆 𖩇 𖩈 𖩉 𖩊 𖩋 𖩌 𖩍 𖩎 𖩏 𖩐 𖩑 𖩒 𖩓 𖩔 𖩕 𖩖 𖩗 𖩘 𖩙 𖩚 𖩛 𖩜 𖩝 𖩞 𖩠 𖩡 𖩢 𖩣 𖩤 𖩥 𖩦 𖩧 𖩨 𖩩 𖩮 𖩯</t>
        </is>
      </c>
      <c r="Q428" s="38" t="inlineStr">
        <is>
          <t>𖩀 𖩁 𖩂 𖩃 𖩄 𖩅 𖩆 𖩇 𖩈 𖩉 𖩊 𖩋 𖩌 𖩍 𖩎 𖩏 𖩐 𖩑 𖩓 𖩔 𖩕 𖩖 𖩗 𖩘 𖩙 𖩚 𖩛 𖩜 𖩝 𖩞 𖩮 𖩯</t>
        </is>
      </c>
      <c r="R428" s="43" t="inlineStr"/>
      <c r="S428" s="40" t="n"/>
      <c r="V428" s="14">
        <f>(LEN(O428)+1)/2</f>
        <v/>
      </c>
      <c r="W428" s="14">
        <f>ROUNDDOWN((LEN(P428)+1)/2,0)</f>
        <v/>
      </c>
      <c r="X428" s="14">
        <f>ROUNDDOWN((LEN(Q428)+1)/2,0)</f>
        <v/>
      </c>
      <c r="Y428" s="14">
        <f>ROUNDDOWN((LEN(R428)+1)/2,0)</f>
        <v/>
      </c>
      <c r="Z428" s="14">
        <f>ROUNDDOWN((LEN(S428)+1)/2,0)</f>
        <v/>
      </c>
      <c r="AA428" s="56" t="n">
        <v>46150.55865649705</v>
      </c>
    </row>
    <row r="429" ht="38.25" customHeight="1">
      <c r="B429" s="46" t="inlineStr">
        <is>
          <t>U+16A70-U+16AC9</t>
        </is>
      </c>
      <c r="C429" s="46" t="inlineStr">
        <is>
          <t>Tangsa</t>
        </is>
      </c>
      <c r="D429" s="54">
        <f>HEX2DEC(MID(B429,3,FIND("-",E429)-3))</f>
        <v/>
      </c>
      <c r="E429" s="46" t="inlineStr">
        <is>
          <t>U+16A70-U+16ACF</t>
        </is>
      </c>
      <c r="F429" s="12" t="n">
        <v>4</v>
      </c>
      <c r="J429" s="19">
        <f>ROUNDDOWN(W429,0)/$V429</f>
        <v/>
      </c>
      <c r="K429" s="19">
        <f>ROUNDDOWN(X429,0)/$V429</f>
        <v/>
      </c>
      <c r="L429" s="19">
        <f>ROUNDDOWN(Y429,0)/$V429</f>
        <v/>
      </c>
      <c r="M429" s="19">
        <f>ROUNDDOWN(Z429,0)/$V429</f>
        <v/>
      </c>
      <c r="O429" s="36" t="inlineStr">
        <is>
          <t>𖩰 𖩱 𖩲 𖩳 𖩴 𖩵 𖩶 𖩷 𖩸 𖩹 𖩺 𖩻 𖩼 𖩽 𖩾 𖩿 𖪀 𖪁 𖪂 𖪃 𖪄 𖪅 𖪆 𖪇 𖪈 𖪉 𖪊 𖪋 𖪌 𖪍 𖪎 𖪏 𖪐 𖪑 𖪒 𖪓 𖪔 𖪕 𖪖 𖪗 𖪘 𖪙 𖪚 𖪛 𖪜 𖪝 𖪞 𖪟 𖪠 𖪡 𖪢 𖪣 𖪤 𖪥 𖪦 𖪧 𖪨 𖪩 𖪪 𖪫 𖪬 𖪭 𖪮 𖪯 𖪰 𖪱 𖪲 𖪳 𖪴 𖪵 𖪶 𖪷 𖪸 𖪹 𖪺 𖪻 𖪼 𖪽 𖪾 𖫀 𖫁 𖫂 𖫃 𖫄 𖫅 𖫆 𖫇 𖫈 𖫉</t>
        </is>
      </c>
      <c r="P429" s="37" t="inlineStr">
        <is>
          <t>𖩰 𖩱 𖩲 𖩳 𖩴 𖩵 𖩶 𖩷 𖩸 𖩹 𖩺 𖩻 𖩼 𖩽 𖩾 𖩿 𖪀 𖪁 𖪂 𖪃 𖪄 𖪅 𖪆 𖪇 𖪈 𖪉 𖪊 𖪋 𖪌 𖪍 𖪎 𖪏 𖪐 𖪑 𖪒 𖪓 𖪔 𖪕 𖪖 𖪗 𖪘 𖪙 𖪚 𖪛 𖪜 𖪝 𖪞 𖪟 𖪠 𖪡 𖪢 𖪣 𖪤 𖪥 𖪦 𖪧 𖪨 𖪩 𖪪 𖪫 𖪬 𖪭 𖪮 𖪯 𖪰 𖪱 𖪲 𖪳 𖪴 𖪵 𖪶 𖪷 𖪸 𖪹 𖪺 𖪻 𖪼 𖪽 𖪾 𖫀 𖫁 𖫂 𖫃 𖫄 𖫅 𖫆 𖫇 𖫈 𖫉</t>
        </is>
      </c>
      <c r="Q429" s="38" t="inlineStr">
        <is>
          <t>𖩰 𖩱 𖩲 𖩳 𖩴 𖩵 𖩶 𖩷 𖩸 𖩹 𖩺 𖩻 𖩼 𖩽 𖩾 𖩿 𖪀 𖪁 𖪂 𖪃 𖪄 𖪅 𖪆 𖪇 𖪈 𖪉 𖪊 𖪋 𖪌 𖪍 𖪎 𖪏 𖪐 𖪑 𖪒 𖪓 𖪔 𖪕 𖪖 𖪗 𖪘 𖪙 𖪚 𖪛 𖪜 𖪝 𖪞 𖪟 𖪠 𖪡 𖪢 𖪣 𖪤 𖪥 𖪦 𖪧 𖪨 𖪩 𖪪 𖪫 𖪬 𖪭 𖪮 𖪯 𖪰 𖪱 𖪲 𖪳 𖪴 𖪵 𖪶 𖪷 𖪸 𖪹 𖪺 𖪻 𖪼 𖪽 𖪾</t>
        </is>
      </c>
      <c r="R429" s="43" t="inlineStr"/>
      <c r="S429" s="40" t="n"/>
      <c r="V429" s="14">
        <f>(LEN(O429)+1)/2</f>
        <v/>
      </c>
      <c r="W429" s="14">
        <f>ROUNDDOWN((LEN(P429)+1)/2,0)</f>
        <v/>
      </c>
      <c r="X429" s="14">
        <f>ROUNDDOWN((LEN(Q429)+1)/2,0)</f>
        <v/>
      </c>
      <c r="Y429" s="14">
        <f>ROUNDDOWN((LEN(R429)+1)/2,0)</f>
        <v/>
      </c>
      <c r="Z429" s="14">
        <f>ROUNDDOWN((LEN(S429)+1)/2,0)</f>
        <v/>
      </c>
      <c r="AA429" s="56" t="n">
        <v>46150.5586569222</v>
      </c>
    </row>
    <row r="430" ht="25.5" customHeight="1">
      <c r="B430" s="46" t="inlineStr">
        <is>
          <t>U+16AD0-U+16AF5</t>
        </is>
      </c>
      <c r="C430" s="46" t="inlineStr">
        <is>
          <t>Bassa Vah</t>
        </is>
      </c>
      <c r="D430" s="54">
        <f>HEX2DEC(MID(B430,3,FIND("-",E430)-3))</f>
        <v/>
      </c>
      <c r="E430" s="46" t="inlineStr">
        <is>
          <t>U+16AD0-U+16AFF</t>
        </is>
      </c>
      <c r="F430" s="12" t="n">
        <v>4</v>
      </c>
      <c r="J430" s="19">
        <f>ROUNDDOWN(W430,0)/$V430</f>
        <v/>
      </c>
      <c r="K430" s="19">
        <f>ROUNDDOWN(X430,0)/$V430</f>
        <v/>
      </c>
      <c r="L430" s="19">
        <f>ROUNDDOWN(Y430,0)/$V430</f>
        <v/>
      </c>
      <c r="M430" s="19">
        <f>ROUNDDOWN(Z430,0)/$V430</f>
        <v/>
      </c>
      <c r="O430" s="36" t="inlineStr">
        <is>
          <t>𖫐 𖫑 𖫒 𖫓 𖫔 𖫕 𖫖 𖫗 𖫘 𖫙 𖫚 𖫛 𖫜 𖫝 𖫞 𖫟 𖫠 𖫡 𖫢 𖫣 𖫤 𖫥 𖫦 𖫧 𖫨 𖫩 𖫪 𖫫 𖫬 𖫭 𖫰 𖫱 𖫲 𖫳 𖫴 𖫵</t>
        </is>
      </c>
      <c r="P430" s="37" t="inlineStr">
        <is>
          <t>𖫐 𖫑 𖫒 𖫓 𖫔 𖫕 𖫖 𖫗 𖫘 𖫙 𖫚 𖫛 𖫜 𖫝 𖫞 𖫟 𖫠 𖫡 𖫢 𖫣 𖫤 𖫥 𖫦 𖫧 𖫨 𖫩 𖫪 𖫫 𖫬 𖫭 𖫵</t>
        </is>
      </c>
      <c r="Q430" s="38" t="inlineStr">
        <is>
          <t>𖫐 𖫑 𖫒 𖫓 𖫔 𖫕 𖫖 𖫗 𖫘 𖫙 𖫚 𖫛 𖫜 𖫝 𖫞 𖫟 𖫠 𖫡 𖫢 𖫣 𖫤 𖫥 𖫦 𖫧 𖫩 𖫪 𖫫 𖫬 𖫭 𖫵</t>
        </is>
      </c>
      <c r="R430" s="43" t="inlineStr"/>
      <c r="S430" s="40" t="n"/>
      <c r="V430" s="14">
        <f>(LEN(O430)+1)/2</f>
        <v/>
      </c>
      <c r="W430" s="14">
        <f>ROUNDDOWN((LEN(P430)+1)/2,0)</f>
        <v/>
      </c>
      <c r="X430" s="14">
        <f>ROUNDDOWN((LEN(Q430)+1)/2,0)</f>
        <v/>
      </c>
      <c r="Y430" s="14">
        <f>ROUNDDOWN((LEN(R430)+1)/2,0)</f>
        <v/>
      </c>
      <c r="Z430" s="14">
        <f>ROUNDDOWN((LEN(S430)+1)/2,0)</f>
        <v/>
      </c>
      <c r="AA430" s="56" t="n">
        <v>46150.55865717896</v>
      </c>
    </row>
    <row r="431" ht="51" customHeight="1">
      <c r="B431" s="46" t="inlineStr">
        <is>
          <t>U+16B00-U+16B8F</t>
        </is>
      </c>
      <c r="C431" s="46" t="inlineStr">
        <is>
          <t>Pahawh Hmong</t>
        </is>
      </c>
      <c r="D431" s="54">
        <f>HEX2DEC(MID(B431,3,FIND("-",E431)-3))</f>
        <v/>
      </c>
      <c r="E431" s="46" t="inlineStr">
        <is>
          <t>U+16B00-U+16B8F</t>
        </is>
      </c>
      <c r="F431" s="12" t="n">
        <v>4</v>
      </c>
      <c r="J431" s="19">
        <f>ROUNDDOWN(W431,0)/$V431</f>
        <v/>
      </c>
      <c r="K431" s="19">
        <f>ROUNDDOWN(X431,0)/$V431</f>
        <v/>
      </c>
      <c r="L431" s="19">
        <f>ROUNDDOWN(Y431,0)/$V431</f>
        <v/>
      </c>
      <c r="M431" s="19">
        <f>ROUNDDOWN(Z431,0)/$V431</f>
        <v/>
      </c>
      <c r="O431" s="36" t="inlineStr">
        <is>
          <t>𖬀 𖬁 𖬂 𖬃 𖬄 𖬅 𖬆 𖬇 𖬈 𖬉 𖬊 𖬋 𖬌 𖬍 𖬎 𖬏 𖬐 𖬑 𖬒 𖬓 𖬔 𖬕 𖬖 𖬗 𖬘 𖬙 𖬚 𖬛 𖬜 𖬝 𖬞 𖬟 𖬠 𖬡 𖬢 𖬣 𖬤 𖬥 𖬦 𖬧 𖬨 𖬩 𖬪 𖬫 𖬬 𖬭 𖬮 𖬯 𖬰 𖬱 𖬲 𖬳 𖬴 𖬵 𖬶 𖬷 𖬸 𖬹 𖬺 𖬻 𖬼 𖬽 𖬾 𖬿 𖭀 𖭁 𖭂 𖭃 𖭄 𖭅 𖭐 𖭑 𖭒 𖭓 𖭔 𖭕 𖭖 𖭗 𖭘 𖭙 𖭛 𖭜 𖭝 𖭞 𖭟 𖭠 𖭡 𖭣 𖭤 𖭥 𖭦 𖭧 𖭨 𖭩 𖭪 𖭫 𖭬 𖭭 𖭮 𖭯 𖭰 𖭱 𖭲 𖭳 𖭴 𖭵 𖭶 𖭷 𖭽 𖭾 𖭿 𖮀 𖮁 𖮂 𖮃 𖮄 𖮅 𖮆 𖮇 𖮈 𖮉 𖮊 𖮋 𖮌 𖮍 𖮎 𖮏</t>
        </is>
      </c>
      <c r="P431" s="37" t="inlineStr">
        <is>
          <t>𖬀 𖬁 𖬂 𖬃 𖬄 𖬅 𖬆 𖬇 𖬈 𖬉 𖬊 𖬋 𖬌 𖬍 𖬎 𖬏 𖬐 𖬑 𖬒 𖬓 𖬔 𖬕 𖬖 𖬗 𖬘 𖬙 𖬚 𖬛 𖬜 𖬝 𖬞 𖬟 𖬠 𖬡 𖬢 𖬣 𖬤 𖬥 𖬦 𖬧 𖬨 𖬩 𖬪 𖬫 𖬬 𖬭 𖬮 𖬯 𖬷 𖬸 𖬹 𖬺 𖬻 𖬼 𖬽 𖬾 𖬿 𖭀 𖭁 𖭂 𖭃 𖭄 𖭅 𖭐 𖭑 𖭒 𖭓 𖭔 𖭕 𖭖 𖭗 𖭘 𖭙 𖭛 𖭜 𖭝 𖭞 𖭟 𖭠 𖭡 𖭣 𖭤 𖭥 𖭦 𖭧 𖭨 𖭩 𖭪 𖭫 𖭬 𖭭 𖭮 𖭯 𖭰 𖭱 𖭲 𖭳 𖭴 𖭵 𖭶 𖭷 𖭽 𖭾 𖭿 𖮀 𖮁 𖮂 𖮃 𖮄 𖮅 𖮆 𖮇 𖮈 𖮉 𖮊 𖮋 𖮌 𖮍 𖮎 𖮏</t>
        </is>
      </c>
      <c r="Q431" s="38" t="inlineStr">
        <is>
          <t>𖬀 𖬁 𖬂 𖬃 𖬄 𖬅 𖬆 𖬇 𖬈 𖬉 𖬊 𖬋 𖬌 𖬍 𖬎 𖬏 𖬐 𖬑 𖬒 𖬓 𖬔 𖬕 𖬖 𖬗 𖬘 𖬙 𖬚 𖬛 𖬜 𖬝 𖬞 𖬟 𖬠 𖬡 𖬢 𖬣 𖬤 𖬥 𖬦 𖬧 𖬨 𖬩 𖬪 𖬫 𖬬 𖬭 𖬮 𖬯 𖬷 𖬸 𖬹 𖬺 𖬻 𖬼 𖬽 𖬾 𖬿 𖭀 𖭁 𖭂 𖭃 𖭄 𖭅 𖭣 𖭤 𖭥 𖭦 𖭧 𖭨 𖭩 𖭪 𖭫 𖭬 𖭭 𖭮 𖭯 𖭰 𖭱 𖭲 𖭳 𖭴 𖭵 𖭶 𖭷 𖭽 𖭾 𖭿 𖮀 𖮁 𖮂 𖮃 𖮄 𖮅 𖮆 𖮇 𖮈 𖮉 𖮊 𖮋 𖮌 𖮍 𖮎 𖮏</t>
        </is>
      </c>
      <c r="R431" s="43" t="inlineStr"/>
      <c r="S431" s="40" t="n"/>
      <c r="V431" s="14">
        <f>(LEN(O431)+1)/2</f>
        <v/>
      </c>
      <c r="W431" s="14">
        <f>ROUNDDOWN((LEN(P431)+1)/2,0)</f>
        <v/>
      </c>
      <c r="X431" s="14">
        <f>ROUNDDOWN((LEN(Q431)+1)/2,0)</f>
        <v/>
      </c>
      <c r="Y431" s="14">
        <f>ROUNDDOWN((LEN(R431)+1)/2,0)</f>
        <v/>
      </c>
      <c r="Z431" s="14">
        <f>ROUNDDOWN((LEN(S431)+1)/2,0)</f>
        <v/>
      </c>
      <c r="AA431" s="56" t="n">
        <v>46150.55865769985</v>
      </c>
    </row>
    <row r="432" ht="38.25" customHeight="1">
      <c r="B432" s="46" t="inlineStr">
        <is>
          <t>U+16E40-U+16E9A</t>
        </is>
      </c>
      <c r="C432" s="46" t="inlineStr">
        <is>
          <t>Medefaidrin</t>
        </is>
      </c>
      <c r="D432" s="54">
        <f>HEX2DEC(MID(B432,3,FIND("-",E432)-3))</f>
        <v/>
      </c>
      <c r="E432" s="46" t="inlineStr">
        <is>
          <t>U+16E40-U+16E9F</t>
        </is>
      </c>
      <c r="F432" s="12" t="n">
        <v>4</v>
      </c>
      <c r="J432" s="19">
        <f>ROUNDDOWN(W432,0)/$V432</f>
        <v/>
      </c>
      <c r="K432" s="19">
        <f>ROUNDDOWN(X432,0)/$V432</f>
        <v/>
      </c>
      <c r="L432" s="19">
        <f>ROUNDDOWN(Y432,0)/$V432</f>
        <v/>
      </c>
      <c r="M432" s="19">
        <f>ROUNDDOWN(Z432,0)/$V432</f>
        <v/>
      </c>
      <c r="O432" s="36" t="inlineStr">
        <is>
          <t>𖹀 𖹁 𖹂 𖹃 𖹄 𖹅 𖹆 𖹇 𖹈 𖹉 𖹊 𖹋 𖹌 𖹍 𖹎 𖹏 𖹐 𖹑 𖹒 𖹓 𖹔 𖹕 𖹖 𖹗 𖹘 𖹙 𖹚 𖹛 𖹜 𖹝 𖹞 𖹟 𖹠 𖹡 𖹢 𖹣 𖹤 𖹥 𖹦 𖹧 𖹨 𖹩 𖹪 𖹫 𖹬 𖹭 𖹮 𖹯 𖹰 𖹱 𖹲 𖹳 𖹴 𖹵 𖹶 𖹷 𖹸 𖹹 𖹺 𖹻 𖹼 𖹽 𖹾 𖹿 𖺀 𖺁 𖺂 𖺃 𖺄 𖺅 𖺆 𖺇 𖺈 𖺉 𖺊 𖺋 𖺌 𖺍 𖺎 𖺏 𖺐 𖺑 𖺒 𖺓 𖺔 𖺕 𖺖 𖺗 𖺘 𖺙 𖺚</t>
        </is>
      </c>
      <c r="P432" s="37" t="inlineStr">
        <is>
          <t>𖹀 𖹁 𖹂 𖹃 𖹄 𖹅 𖹆 𖹇 𖹈 𖹉 𖹊 𖹋 𖹌 𖹍 𖹎 𖹏 𖹐 𖹑 𖹒 𖹓 𖹔 𖹕 𖹖 𖹗 𖹘 𖹙 𖹚 𖹛 𖹜 𖹝 𖹞 𖹟 𖹠 𖹡 𖹢 𖹣 𖹤 𖹥 𖹦 𖹧 𖹨 𖹩 𖹪 𖹫 𖹬 𖹭 𖹮 𖹯 𖹰 𖹱 𖹲 𖹳 𖹴 𖹵 𖹶 𖹷 𖹸 𖹹 𖹺 𖹻 𖹼 𖹽 𖹾 𖹿 𖺀 𖺁 𖺂 𖺃 𖺄 𖺅 𖺆 𖺇 𖺈 𖺉 𖺊 𖺋 𖺌 𖺍 𖺎 𖺏 𖺐 𖺑 𖺒 𖺓 𖺔 𖺕 𖺖 𖺗 𖺘 𖺙 𖺚</t>
        </is>
      </c>
      <c r="Q432" s="38" t="inlineStr">
        <is>
          <t>𖹠 𖹡 𖹢 𖹣 𖹤 𖹥 𖹦 𖹧 𖹨 𖹩 𖹪 𖹫 𖹬 𖹭 𖹮 𖹯 𖹰 𖹱 𖹲 𖹳 𖹴 𖹵 𖹶 𖹷 𖹸 𖹹 𖹻 𖹼 𖹾 𖹿 𖺗 𖺘 𖺙 𖺚</t>
        </is>
      </c>
      <c r="R432" s="43" t="inlineStr"/>
      <c r="S432" s="40" t="n"/>
      <c r="V432" s="14">
        <f>(LEN(O432)+1)/2</f>
        <v/>
      </c>
      <c r="W432" s="14">
        <f>ROUNDDOWN((LEN(P432)+1)/2,0)</f>
        <v/>
      </c>
      <c r="X432" s="14">
        <f>ROUNDDOWN((LEN(Q432)+1)/2,0)</f>
        <v/>
      </c>
      <c r="Y432" s="14">
        <f>ROUNDDOWN((LEN(R432)+1)/2,0)</f>
        <v/>
      </c>
      <c r="Z432" s="14">
        <f>ROUNDDOWN((LEN(S432)+1)/2,0)</f>
        <v/>
      </c>
      <c r="AA432" s="56" t="n">
        <v>46150.55865798635</v>
      </c>
    </row>
    <row r="433" ht="63.75" customHeight="1">
      <c r="B433" s="46" t="inlineStr">
        <is>
          <t>U+16F00-U+16F9F</t>
        </is>
      </c>
      <c r="C433" s="46" t="inlineStr">
        <is>
          <t>Miao</t>
        </is>
      </c>
      <c r="D433" s="54">
        <f>HEX2DEC(MID(B433,3,FIND("-",E433)-3))</f>
        <v/>
      </c>
      <c r="E433" s="46" t="inlineStr">
        <is>
          <t>U+16F00-U+16F9F</t>
        </is>
      </c>
      <c r="F433" s="12" t="n">
        <v>4</v>
      </c>
      <c r="J433" s="19">
        <f>ROUNDDOWN(W433,0)/$V433</f>
        <v/>
      </c>
      <c r="K433" s="19">
        <f>ROUNDDOWN(X433,0)/$V433</f>
        <v/>
      </c>
      <c r="L433" s="19">
        <f>ROUNDDOWN(Y433,0)/$V433</f>
        <v/>
      </c>
      <c r="M433" s="19">
        <f>ROUNDDOWN(Z433,0)/$V433</f>
        <v/>
      </c>
      <c r="O433" s="36" t="inlineStr">
        <is>
          <t>𖼀 𖼁 𖼂 𖼃 𖼄 𖼅 𖼆 𖼇 𖼈 𖼉 𖼊 𖼋 𖼌 𖼍 𖼎 𖼏 𖼐 𖼑 𖼒 𖼓 𖼔 𖼕 𖼖 𖼗 𖼘 𖼙 𖼚 𖼛 𖼜 𖼝 𖼞 𖼟 𖼠 𖼡 𖼢 𖼣 𖼤 𖼥 𖼦 𖼧 𖼨 𖼩 𖼪 𖼫 𖼬 𖼭 𖼮 𖼯 𖼰 𖼱 𖼲 𖼳 𖼴 𖼵 𖼶 𖼷 𖼸 𖼹 𖼺 𖼻 𖼼 𖼽 𖼾 𖼿 𖽀 𖽁 𖽂 𖽃 𖽄 𖽅 𖽆 𖽇 𖽈 𖽉 𖽊 𖽏 𖽐 𖽑 𖽒 𖽓 𖽔 𖽕 𖽖 𖽗 𖽘 𖽙 𖽚 𖽛 𖽜 𖽝 𖽞 𖽟 𖽠 𖽡 𖽢 𖽣 𖽤 𖽥 𖽦 𖽧 𖽨 𖽩 𖽪 𖽫 𖽬 𖽭 𖽮 𖽯 𖽰 𖽱 𖽲 𖽳 𖽴 𖽵 𖽶 𖽷 𖽸 𖽹 𖽺 𖽻 𖽼 𖽽 𖽾 𖽿 𖾀 𖾁 𖾂 𖾃 𖾄 𖾅 𖾆 𖾇 𖾏 𖾐 𖾑 𖾒 𖾓 𖾔 𖾕 𖾖 𖾗 𖾘 𖾙 𖾚 𖾛 𖾜 𖾝 𖾞 𖾟</t>
        </is>
      </c>
      <c r="P433" s="37" t="inlineStr">
        <is>
          <t>𖼀 𖼁 𖼂 𖼃 𖼄 𖼅 𖼆 𖼇 𖼈 𖼉 𖼊 𖼋 𖼌 𖼍 𖼎 𖼏 𖼐 𖼑 𖼒 𖼓 𖼔 𖼕 𖼖 𖼗 𖼘 𖼙 𖼚 𖼛 𖼜 𖼝 𖼞 𖼟 𖼠 𖼡 𖼢 𖼣 𖼤 𖼥 𖼦 𖼧 𖼨 𖼩 𖼪 𖼫 𖼬 𖼭 𖼮 𖼯 𖼰 𖼱 𖼲 𖼳 𖼴 𖼵 𖼶 𖼷 𖼸 𖼹 𖼺 𖼻 𖼼 𖼽 𖼾 𖼿 𖽀 𖽁 𖽂 𖽃 𖽄 𖽅 𖽆 𖽇 𖽈 𖽉 𖽊 𖽐 𖾓 𖾔 𖾕 𖾖 𖾗 𖾘 𖾙 𖾚 𖾛 𖾜 𖾝 𖾞 𖾟</t>
        </is>
      </c>
      <c r="Q433" s="38" t="inlineStr">
        <is>
          <t>𖼀 𖼁 𖼂 𖼃 𖼄 𖼅 𖼆 𖼇 𖼈 𖼉 𖼊 𖼋 𖼌 𖼍 𖼎 𖼏 𖼐 𖼑 𖼒 𖼓 𖼔 𖼕 𖼖 𖼗 𖼘 𖼙 𖼚 𖼛 𖼜 𖼝 𖼞 𖼟 𖼠 𖼡 𖼢 𖼣 𖼤 𖼥 𖼦 𖼧 𖼨 𖼩 𖼪 𖼫 𖼬 𖼭 𖼮 𖼯 𖼰 𖼱 𖼲 𖼳 𖼴 𖼵 𖼶 𖼷 𖼸 𖼹 𖼺 𖼻 𖼼 𖼽 𖼾 𖼿 𖽀 𖽁 𖽂 𖽃 𖽄 𖽅 𖽆 𖽇 𖽈 𖽉 𖽊 𖽐 𖾓 𖾔 𖾕 𖾖 𖾗 𖾘 𖾙 𖾚 𖾛 𖾜 𖾝 𖾞 𖾟</t>
        </is>
      </c>
      <c r="R433" s="43" t="inlineStr"/>
      <c r="S433" s="40" t="n"/>
      <c r="V433" s="14">
        <f>(LEN(O433)+1)/2</f>
        <v/>
      </c>
      <c r="W433" s="14">
        <f>ROUNDDOWN((LEN(P433)+1)/2,0)</f>
        <v/>
      </c>
      <c r="X433" s="14">
        <f>ROUNDDOWN((LEN(Q433)+1)/2,0)</f>
        <v/>
      </c>
      <c r="Y433" s="14">
        <f>ROUNDDOWN((LEN(R433)+1)/2,0)</f>
        <v/>
      </c>
      <c r="Z433" s="14">
        <f>ROUNDDOWN((LEN(S433)+1)/2,0)</f>
        <v/>
      </c>
      <c r="AA433" s="56" t="n">
        <v>46150.55865842076</v>
      </c>
    </row>
    <row r="434" ht="38.25" customHeight="1">
      <c r="B434" s="46" t="inlineStr">
        <is>
          <t>U+16FE0-U+16FF1</t>
        </is>
      </c>
      <c r="C434" s="46" t="inlineStr">
        <is>
          <t>Ideographic Symbols and Punctuation</t>
        </is>
      </c>
      <c r="D434" s="54">
        <f>HEX2DEC(MID(B434,3,FIND("-",E434)-3))</f>
        <v/>
      </c>
      <c r="E434" s="46" t="inlineStr">
        <is>
          <t>U+16FE0-U+16FFF</t>
        </is>
      </c>
      <c r="F434" s="12" t="n">
        <v>4</v>
      </c>
      <c r="J434" s="19">
        <f>ROUNDDOWN(W434,0)/$V434</f>
        <v/>
      </c>
      <c r="K434" s="19">
        <f>ROUNDDOWN(X434,0)/$V434</f>
        <v/>
      </c>
      <c r="L434" s="19">
        <f>ROUNDDOWN(Y434,0)/$V434</f>
        <v/>
      </c>
      <c r="M434" s="19">
        <f>ROUNDDOWN(Z434,0)/$V434</f>
        <v/>
      </c>
      <c r="O434" s="36" t="inlineStr">
        <is>
          <t>𖿠 𖿡 𖿢 𖿣 𖿤 𖿰 𖿱</t>
        </is>
      </c>
      <c r="P434" s="37" t="inlineStr">
        <is>
          <t>𖿠 𖿡 𖿢 𖿣</t>
        </is>
      </c>
      <c r="Q434" s="38" t="inlineStr">
        <is>
          <t>𖿠 𖿡 𖿢 𖿣</t>
        </is>
      </c>
      <c r="R434" s="43" t="inlineStr"/>
      <c r="S434" s="40" t="n"/>
      <c r="V434" s="14">
        <f>(LEN(O434)+1)/2</f>
        <v/>
      </c>
      <c r="W434" s="14">
        <f>ROUNDDOWN((LEN(P434)+1)/2,0)</f>
        <v/>
      </c>
      <c r="X434" s="14">
        <f>ROUNDDOWN((LEN(Q434)+1)/2,0)</f>
        <v/>
      </c>
      <c r="Y434" s="14">
        <f>ROUNDDOWN((LEN(R434)+1)/2,0)</f>
        <v/>
      </c>
      <c r="Z434" s="14">
        <f>ROUNDDOWN((LEN(S434)+1)/2,0)</f>
        <v/>
      </c>
      <c r="AA434" s="56" t="n">
        <v>46150.55865858172</v>
      </c>
    </row>
    <row r="435" ht="102" customHeight="1">
      <c r="B435" s="46" t="inlineStr">
        <is>
          <t>U+17000-U+170FF</t>
        </is>
      </c>
      <c r="C435" s="46" t="inlineStr">
        <is>
          <t>Tangut</t>
        </is>
      </c>
      <c r="D435" s="54">
        <f>HEX2DEC(MID(B435,3,FIND("-",E435)-3))</f>
        <v/>
      </c>
      <c r="E435" s="46" t="inlineStr">
        <is>
          <t>U+17000-U+187FF</t>
        </is>
      </c>
      <c r="F435" s="12" t="n">
        <v>4</v>
      </c>
      <c r="J435" s="19">
        <f>ROUNDDOWN(W435,0)/$V435</f>
        <v/>
      </c>
      <c r="K435" s="19">
        <f>ROUNDDOWN(X435,0)/$V435</f>
        <v/>
      </c>
      <c r="L435" s="19">
        <f>ROUNDDOWN(Y435,0)/$V435</f>
        <v/>
      </c>
      <c r="M435" s="19">
        <f>ROUNDDOWN(Z435,0)/$V435</f>
        <v/>
      </c>
      <c r="O435" s="36" t="inlineStr">
        <is>
          <t>𗀀 𗀁 𗀂 𗀃 𗀄 𗀅 𗀆 𗀇 𗀈 𗀉 𗀊 𗀋 𗀌 𗀍 𗀎 𗀏 𗀐 𗀑 𗀒 𗀓 𗀔 𗀕 𗀖 𗀗 𗀘 𗀙 𗀚 𗀛 𗀜 𗀝 𗀞 𗀟 𗀠 𗀡 𗀢 𗀣 𗀤 𗀥 𗀦 𗀧 𗀨 𗀩 𗀪 𗀫 𗀬 𗀭 𗀮 𗀯 𗀰 𗀱 𗀲 𗀳 𗀴 𗀵 𗀶 𗀷 𗀸 𗀹 𗀺 𗀻 𗀼 𗀽 𗀾 𗀿 𗁀 𗁁 𗁂 𗁃 𗁄 𗁅 𗁆 𗁇 𗁈 𗁉 𗁊 𗁋 𗁌 𗁍 𗁎 𗁏 𗁐 𗁑 𗁒 𗁓 𗁔 𗁕 𗁖 𗁗 𗁘 𗁙 𗁚 𗁛 𗁜 𗁝 𗁞 𗁟 𗁠 𗁡 𗁢 𗁣 𗁤 𗁥 𗁦 𗁧 𗁨 𗁩 𗁪 𗁫 𗁬 𗁭 𗁮 𗁯 𗁰 𗁱 𗁲 𗁳 𗁴 𗁵 𗁶 𗁷 𗁸 𗁹 𗁺 𗁻 𗁼 𗁽 𗁾 𗁿 𗂀 𗂁 𗂂 𗂃 𗂄 𗂅 𗂆 𗂇 𗂈 𗂉 𗂊 𗂋 𗂌 𗂍 𗂎 𗂏 𗂐 𗂑 𗂒 𗂓 𗂔 𗂕 𗂖 𗂗 𗂘 𗂙 𗂚 𗂛 𗂜 𗂝 𗂞 𗂟 𗂠 𗂡 𗂢 𗂣 𗂤 𗂥 𗂦 𗂧 𗂨 𗂩 𗂪 𗂫 𗂬 𗂭 𗂮 𗂯 𗂰 𗂱 𗂲 𗂳 𗂴 𗂵 𗂶 𗂷 𗂸 𗂹 𗂺 𗂻 𗂼 𗂽 𗂾 𗂿 𗃀 𗃁 𗃂 𗃃 𗃄 𗃅 𗃆 𗃇 𗃈 𗃉 𗃊 𗃋 𗃌 𗃍 𗃎 𗃏 𗃐 𗃑 𗃒 𗃓 𗃔 𗃕 𗃖 𗃗 𗃘 𗃙 𗃚 𗃛 𗃜 𗃝 𗃞 𗃟 𗃠 𗃡 𗃢 𗃣 𗃤 𗃥 𗃦 𗃧 𗃨 𗃩 𗃪 𗃫 𗃬 𗃭 𗃮 𗃯 𗃰 𗃱 𗃲 𗃳 𗃴 𗃵 𗃶 𗃷 𗃸 𗃹 𗃺 𗃻 𗃼 𗃽 𗃾 𗃿</t>
        </is>
      </c>
      <c r="P435" s="37" t="inlineStr">
        <is>
          <t>𗀀 𗀁 𗀂 𗀃 𗀄 𗀅 𗀆 𗀇 𗀈 𗀉 𗀊 𗀋 𗀌 𗀍 𗀎 𗀏 𗀐 𗀑 𗀒 𗀓 𗀔 𗀕 𗀖 𗀗 𗀘 𗀙 𗀚 𗀛 𗀜 𗀝 𗀞 𗀟 𗀠 𗀡 𗀢 𗀣 𗀤 𗀥 𗀦 𗀧 𗀨 𗀩 𗀪 𗀫 𗀬 𗀭 𗀮 𗀯 𗀰 𗀱 𗀲 𗀳 𗀴 𗀵 𗀶 𗀷 𗀸 𗀹 𗀺 𗀻 𗀼 𗀽 𗀾 𗀿 𗁀 𗁁 𗁂 𗁃 𗁄 𗁅 𗁆 𗁇 𗁈 𗁉 𗁊 𗁋 𗁌 𗁍 𗁎 𗁏 𗁐 𗁑 𗁒 𗁓 𗁔 𗁕 𗁖 𗁗 𗁘 𗁙 𗁚 𗁛 𗁜 𗁝 𗁞 𗁟 𗁠 𗁡 𗁢 𗁣 𗁤 𗁥 𗁦 𗁧 𗁨 𗁩 𗁪 𗁫 𗁬 𗁭 𗁮 𗁯 𗁰 𗁱 𗁲 𗁳 𗁴 𗁵 𗁶 𗁷 𗁸 𗁹 𗁺 𗁻 𗁼 𗁽 𗁾 𗁿 𗂀 𗂁 𗂂 𗂃 𗂄 𗂅 𗂆 𗂇 𗂈 𗂉 𗂊 𗂋 𗂌 𗂍 𗂎 𗂏 𗂐 𗂑 𗂒 𗂓 𗂔 𗂕 𗂖 𗂗 𗂘 𗂙 𗂚 𗂛 𗂜 𗂝 𗂞 𗂟 𗂠 𗂡 𗂢 𗂣 𗂤 𗂥 𗂦 𗂧 𗂨 𗂩 𗂪 𗂫 𗂬 𗂭 𗂮 𗂯 𗂰 𗂱 𗂲 𗂳 𗂴 𗂵 𗂶 𗂷 𗂸 𗂹 𗂺 𗂻 𗂼 𗂽 𗂾 𗂿 𗃀 𗃁 𗃂 𗃃 𗃄 𗃅 𗃆 𗃇 𗃈 𗃉 𗃊 𗃋 𗃌 𗃍 𗃎 𗃏 𗃐 𗃑 𗃒 𗃓 𗃔 𗃕 𗃖 𗃗 𗃘 𗃙 𗃚 𗃛 𗃜 𗃝 𗃞 𗃟 𗃠 𗃡 𗃢 𗃣 𗃤 𗃥 𗃦 𗃧 𗃨 𗃩 𗃪 𗃫 𗃬 𗃭 𗃮 𗃯 𗃰 𗃱 𗃲 𗃳 𗃴 𗃵 𗃶 𗃷 𗃸 𗃹 𗃺 𗃻 𗃼 𗃽 𗃾 𗃿</t>
        </is>
      </c>
      <c r="Q435" s="38" t="inlineStr">
        <is>
          <t>𗀀 𗀁 𗀂 𗀃 𗀄 𗀅 𗀆 𗀇 𗀈 𗀉 𗀊 𗀋 𗀌 𗀍 𗀎 𗀏 𗀐 𗀑 𗀒 𗀓 𗀔 𗀕 𗀖 𗀗 𗀘 𗀙 𗀚 𗀛 𗀜 𗀝 𗀞 𗀟 𗀠 𗀡 𗀢 𗀣 𗀤 𗀥 𗀦 𗀧 𗀨 𗀩 𗀪 𗀫 𗀬 𗀭 𗀮 𗀯 𗀰 𗀱 𗀲 𗀳 𗀴 𗀵 𗀶 𗀷 𗀸 𗀹 𗀺 𗀻 𗀼 𗀽 𗀾 𗀿 𗁀 𗁁 𗁂 𗁃 𗁄 𗁅 𗁆 𗁇 𗁈 𗁉 𗁊 𗁋 𗁌 𗁍 𗁎 𗁏 𗁐 𗁑 𗁒 𗁓 𗁔 𗁕 𗁖 𗁗 𗁘 𗁙 𗁚 𗁛 𗁜 𗁝 𗁞 𗁟 𗁠 𗁡 𗁢 𗁣 𗁤 𗁥 𗁦 𗁧 𗁨 𗁩 𗁪 𗁫 𗁬 𗁭 𗁮 𗁯 𗁰 𗁱 𗁲 𗁳 𗁴 𗁵 𗁶 𗁷 𗁸 𗁹 𗁺 𗁻 𗁼 𗁽 𗁾 𗁿 𗂀 𗂁 𗂂 𗂃 𗂄 𗂅 𗂆 𗂇 𗂈 𗂉 𗂊 𗂋 𗂌 𗂍 𗂎 𗂏 𗂐 𗂑 𗂒 𗂓 𗂔 𗂕 𗂖 𗂗 𗂘 𗂙 𗂚 𗂛 𗂜 𗂝 𗂞 𗂟 𗂠 𗂡 𗂢 𗂣 𗂤 𗂥 𗂦 𗂧 𗂨 𗂩 𗂪 𗂫 𗂬 𗂭 𗂮 𗂯 𗂰 𗂱 𗂲 𗂳 𗂴 𗂵 𗂶 𗂷 𗂸 𗂹 𗂺 𗂻 𗂼 𗂽 𗂾 𗂿 𗃀 𗃁 𗃂 𗃃 𗃄 𗃅 𗃆 𗃇 𗃈 𗃉 𗃊 𗃋 𗃌 𗃍 𗃎 𗃏 𗃐 𗃑 𗃒 𗃓 𗃔 𗃕 𗃖 𗃗 𗃘 𗃙 𗃚 𗃛 𗃜 𗃝 𗃞 𗃟 𗃠 𗃡 𗃢 𗃣 𗃤 𗃥 𗃦 𗃧 𗃨 𗃩 𗃪 𗃫 𗃬 𗃭 𗃮 𗃯 𗃰 𗃱 𗃲 𗃳 𗃴 𗃵 𗃶 𗃷 𗃸 𗃹 𗃺 𗃻 𗃼 𗃽 𗃾 𗃿</t>
        </is>
      </c>
      <c r="R435" s="43" t="inlineStr"/>
      <c r="S435" s="40" t="n"/>
      <c r="V435" s="14">
        <f>(LEN(O435)+1)/2</f>
        <v/>
      </c>
      <c r="W435" s="14">
        <f>ROUNDDOWN((LEN(P435)+1)/2,0)</f>
        <v/>
      </c>
      <c r="X435" s="14">
        <f>ROUNDDOWN((LEN(Q435)+1)/2,0)</f>
        <v/>
      </c>
      <c r="Y435" s="14">
        <f>ROUNDDOWN((LEN(R435)+1)/2,0)</f>
        <v/>
      </c>
      <c r="Z435" s="14">
        <f>ROUNDDOWN((LEN(S435)+1)/2,0)</f>
        <v/>
      </c>
      <c r="AA435" s="56" t="n">
        <v>46150.5586596172</v>
      </c>
    </row>
    <row r="436" ht="102" customHeight="1">
      <c r="B436" s="46" t="inlineStr">
        <is>
          <t>U+17100-U+171FF</t>
        </is>
      </c>
      <c r="C436" s="46" t="inlineStr">
        <is>
          <t>Tangut</t>
        </is>
      </c>
      <c r="D436" s="54">
        <f>HEX2DEC(MID(B436,3,FIND("-",E436)-3))</f>
        <v/>
      </c>
      <c r="E436" s="46" t="inlineStr">
        <is>
          <t>U+17000-U+187FF</t>
        </is>
      </c>
      <c r="F436" s="12" t="n">
        <v>4</v>
      </c>
      <c r="J436" s="19">
        <f>ROUNDDOWN(W436,0)/$V436</f>
        <v/>
      </c>
      <c r="K436" s="19">
        <f>ROUNDDOWN(X436,0)/$V436</f>
        <v/>
      </c>
      <c r="L436" s="19">
        <f>ROUNDDOWN(Y436,0)/$V436</f>
        <v/>
      </c>
      <c r="M436" s="19">
        <f>ROUNDDOWN(Z436,0)/$V436</f>
        <v/>
      </c>
      <c r="O436" s="36" t="inlineStr">
        <is>
          <t>𗄀 𗄁 𗄂 𗄃 𗄄 𗄅 𗄆 𗄇 𗄈 𗄉 𗄊 𗄋 𗄌 𗄍 𗄎 𗄏 𗄐 𗄑 𗄒 𗄓 𗄔 𗄕 𗄖 𗄗 𗄘 𗄙 𗄚 𗄛 𗄜 𗄝 𗄞 𗄟 𗄠 𗄡 𗄢 𗄣 𗄤 𗄥 𗄦 𗄧 𗄨 𗄩 𗄪 𗄫 𗄬 𗄭 𗄮 𗄯 𗄰 𗄱 𗄲 𗄳 𗄴 𗄵 𗄶 𗄷 𗄸 𗄹 𗄺 𗄻 𗄼 𗄽 𗄾 𗄿 𗅀 𗅁 𗅂 𗅃 𗅄 𗅅 𗅆 𗅇 𗅈 𗅉 𗅊 𗅋 𗅌 𗅍 𗅎 𗅏 𗅐 𗅑 𗅒 𗅓 𗅔 𗅕 𗅖 𗅗 𗅘 𗅙 𗅚 𗅛 𗅜 𗅝 𗅞 𗅟 𗅠 𗅡 𗅢 𗅣 𗅤 𗅥 𗅦 𗅧 𗅨 𗅩 𗅪 𗅫 𗅬 𗅭 𗅮 𗅯 𗅰 𗅱 𗅲 𗅳 𗅴 𗅵 𗅶 𗅷 𗅸 𗅹 𗅺 𗅻 𗅼 𗅽 𗅾 𗅿 𗆀 𗆁 𗆂 𗆃 𗆄 𗆅 𗆆 𗆇 𗆈 𗆉 𗆊 𗆋 𗆌 𗆍 𗆎 𗆏 𗆐 𗆑 𗆒 𗆓 𗆔 𗆕 𗆖 𗆗 𗆘 𗆙 𗆚 𗆛 𗆜 𗆝 𗆞 𗆟 𗆠 𗆡 𗆢 𗆣 𗆤 𗆥 𗆦 𗆧 𗆨 𗆩 𗆪 𗆫 𗆬 𗆭 𗆮 𗆯 𗆰 𗆱 𗆲 𗆳 𗆴 𗆵 𗆶 𗆷 𗆸 𗆹 𗆺 𗆻 𗆼 𗆽 𗆾 𗆿 𗇀 𗇁 𗇂 𗇃 𗇄 𗇅 𗇆 𗇇 𗇈 𗇉 𗇊 𗇋 𗇌 𗇍 𗇎 𗇏 𗇐 𗇑 𗇒 𗇓 𗇔 𗇕 𗇖 𗇗 𗇘 𗇙 𗇚 𗇛 𗇜 𗇝 𗇞 𗇟 𗇠 𗇡 𗇢 𗇣 𗇤 𗇥 𗇦 𗇧 𗇨 𗇩 𗇪 𗇫 𗇬 𗇭 𗇮 𗇯 𗇰 𗇱 𗇲 𗇳 𗇴 𗇵 𗇶 𗇷 𗇸 𗇹 𗇺 𗇻 𗇼 𗇽 𗇾 𗇿</t>
        </is>
      </c>
      <c r="P436" s="37" t="inlineStr">
        <is>
          <t>𗄀 𗄁 𗄂 𗄃 𗄄 𗄅 𗄆 𗄇 𗄈 𗄉 𗄊 𗄋 𗄌 𗄍 𗄎 𗄏 𗄐 𗄑 𗄒 𗄓 𗄔 𗄕 𗄖 𗄗 𗄘 𗄙 𗄚 𗄛 𗄜 𗄝 𗄞 𗄟 𗄠 𗄡 𗄢 𗄣 𗄤 𗄥 𗄦 𗄧 𗄨 𗄩 𗄪 𗄫 𗄬 𗄭 𗄮 𗄯 𗄰 𗄱 𗄲 𗄳 𗄴 𗄵 𗄶 𗄷 𗄸 𗄹 𗄺 𗄻 𗄼 𗄽 𗄾 𗄿 𗅀 𗅁 𗅂 𗅃 𗅄 𗅅 𗅆 𗅇 𗅈 𗅉 𗅊 𗅋 𗅌 𗅍 𗅎 𗅏 𗅐 𗅑 𗅒 𗅓 𗅔 𗅕 𗅖 𗅗 𗅘 𗅙 𗅚 𗅛 𗅜 𗅝 𗅞 𗅟 𗅠 𗅡 𗅢 𗅣 𗅤 𗅥 𗅦 𗅧 𗅨 𗅩 𗅪 𗅫 𗅬 𗅭 𗅮 𗅯 𗅰 𗅱 𗅲 𗅳 𗅴 𗅵 𗅶 𗅷 𗅸 𗅹 𗅺 𗅻 𗅼 𗅽 𗅾 𗅿 𗆀 𗆁 𗆂 𗆃 𗆄 𗆅 𗆆 𗆇 𗆈 𗆉 𗆊 𗆋 𗆌 𗆍 𗆎 𗆏 𗆐 𗆑 𗆒 𗆓 𗆔 𗆕 𗆖 𗆗 𗆘 𗆙 𗆚 𗆛 𗆜 𗆝 𗆞 𗆟 𗆠 𗆡 𗆢 𗆣 𗆤 𗆥 𗆦 𗆧 𗆨 𗆩 𗆪 𗆫 𗆬 𗆭 𗆮 𗆯 𗆰 𗆱 𗆲 𗆳 𗆴 𗆵 𗆶 𗆷 𗆸 𗆹 𗆺 𗆻 𗆼 𗆽 𗆾 𗆿 𗇀 𗇁 𗇂 𗇃 𗇄 𗇅 𗇆 𗇇 𗇈 𗇉 𗇊 𗇋 𗇌 𗇍 𗇎 𗇏 𗇐 𗇑 𗇒 𗇓 𗇔 𗇕 𗇖 𗇗 𗇘 𗇙 𗇚 𗇛 𗇜 𗇝 𗇞 𗇟 𗇠 𗇡 𗇢 𗇣 𗇤 𗇥 𗇦 𗇧 𗇨 𗇩 𗇪 𗇫 𗇬 𗇭 𗇮 𗇯 𗇰 𗇱 𗇲 𗇳 𗇴 𗇵 𗇶 𗇷 𗇸 𗇹 𗇺 𗇻 𗇼 𗇽 𗇾 𗇿</t>
        </is>
      </c>
      <c r="Q436" s="38" t="inlineStr">
        <is>
          <t>𗄀 𗄁 𗄂 𗄃 𗄄 𗄅 𗄆 𗄇 𗄈 𗄉 𗄊 𗄋 𗄌 𗄍 𗄎 𗄏 𗄐 𗄑 𗄒 𗄓 𗄔 𗄕 𗄖 𗄗 𗄘 𗄙 𗄚 𗄛 𗄜 𗄝 𗄞 𗄟 𗄠 𗄡 𗄢 𗄣 𗄤 𗄥 𗄦 𗄧 𗄨 𗄩 𗄪 𗄫 𗄬 𗄭 𗄮 𗄯 𗄰 𗄱 𗄲 𗄳 𗄴 𗄵 𗄶 𗄷 𗄸 𗄹 𗄺 𗄻 𗄼 𗄽 𗄾 𗄿 𗅀 𗅁 𗅂 𗅃 𗅄 𗅅 𗅆 𗅇 𗅈 𗅉 𗅊 𗅋 𗅌 𗅍 𗅎 𗅏 𗅐 𗅑 𗅒 𗅓 𗅔 𗅕 𗅖 𗅗 𗅘 𗅙 𗅚 𗅛 𗅜 𗅝 𗅞 𗅟 𗅠 𗅡 𗅢 𗅣 𗅤 𗅥 𗅦 𗅧 𗅨 𗅩 𗅪 𗅫 𗅬 𗅭 𗅮 𗅯 𗅰 𗅱 𗅲 𗅳 𗅴 𗅵 𗅶 𗅷 𗅸 𗅹 𗅺 𗅻 𗅼 𗅽 𗅾 𗅿 𗆀 𗆁 𗆂 𗆃 𗆄 𗆅 𗆆 𗆇 𗆈 𗆉 𗆊 𗆋 𗆌 𗆍 𗆎 𗆏 𗆐 𗆑 𗆒 𗆓 𗆔 𗆕 𗆖 𗆗 𗆘 𗆙 𗆚 𗆛 𗆜 𗆝 𗆞 𗆟 𗆠 𗆡 𗆢 𗆣 𗆤 𗆥 𗆦 𗆧 𗆨 𗆩 𗆪 𗆫 𗆬 𗆭 𗆮 𗆯 𗆰 𗆱 𗆲 𗆳 𗆴 𗆵 𗆶 𗆷 𗆸 𗆹 𗆺 𗆻 𗆼 𗆽 𗆾 𗆿 𗇀 𗇁 𗇂 𗇃 𗇄 𗇅 𗇆 𗇇 𗇈 𗇉 𗇊 𗇋 𗇌 𗇍 𗇎 𗇏 𗇐 𗇑 𗇒 𗇓 𗇔 𗇕 𗇖 𗇗 𗇘 𗇙 𗇚 𗇛 𗇜 𗇝 𗇞 𗇟 𗇠 𗇡 𗇢 𗇣 𗇤 𗇥 𗇦 𗇧 𗇨 𗇩 𗇪 𗇫 𗇬 𗇭 𗇮 𗇯 𗇰 𗇱 𗇲 𗇳 𗇴 𗇵 𗇶 𗇷 𗇸 𗇹 𗇺 𗇻 𗇼 𗇽 𗇾 𗇿</t>
        </is>
      </c>
      <c r="R436" s="43" t="inlineStr"/>
      <c r="S436" s="40" t="n"/>
      <c r="V436" s="14">
        <f>(LEN(O436)+1)/2</f>
        <v/>
      </c>
      <c r="W436" s="14">
        <f>ROUNDDOWN((LEN(P436)+1)/2,0)</f>
        <v/>
      </c>
      <c r="X436" s="14">
        <f>ROUNDDOWN((LEN(Q436)+1)/2,0)</f>
        <v/>
      </c>
      <c r="Y436" s="14">
        <f>ROUNDDOWN((LEN(R436)+1)/2,0)</f>
        <v/>
      </c>
      <c r="Z436" s="14">
        <f>ROUNDDOWN((LEN(S436)+1)/2,0)</f>
        <v/>
      </c>
      <c r="AA436" s="56" t="n">
        <v>46150.55866066197</v>
      </c>
    </row>
    <row r="437" ht="102" customHeight="1">
      <c r="B437" s="46" t="inlineStr">
        <is>
          <t>U+17200-U+172FF</t>
        </is>
      </c>
      <c r="C437" s="46" t="inlineStr">
        <is>
          <t>Tangut</t>
        </is>
      </c>
      <c r="D437" s="54">
        <f>HEX2DEC(MID(B437,3,FIND("-",E437)-3))</f>
        <v/>
      </c>
      <c r="E437" s="46" t="inlineStr">
        <is>
          <t>U+17000-U+187FF</t>
        </is>
      </c>
      <c r="F437" s="12" t="n">
        <v>4</v>
      </c>
      <c r="J437" s="19">
        <f>ROUNDDOWN(W437,0)/$V437</f>
        <v/>
      </c>
      <c r="K437" s="19">
        <f>ROUNDDOWN(X437,0)/$V437</f>
        <v/>
      </c>
      <c r="L437" s="19">
        <f>ROUNDDOWN(Y437,0)/$V437</f>
        <v/>
      </c>
      <c r="M437" s="19">
        <f>ROUNDDOWN(Z437,0)/$V437</f>
        <v/>
      </c>
      <c r="O437" s="36" t="inlineStr">
        <is>
          <t>𗈀 𗈁 𗈂 𗈃 𗈄 𗈅 𗈆 𗈇 𗈈 𗈉 𗈊 𗈋 𗈌 𗈍 𗈎 𗈏 𗈐 𗈑 𗈒 𗈓 𗈔 𗈕 𗈖 𗈗 𗈘 𗈙 𗈚 𗈛 𗈜 𗈝 𗈞 𗈟 𗈠 𗈡 𗈢 𗈣 𗈤 𗈥 𗈦 𗈧 𗈨 𗈩 𗈪 𗈫 𗈬 𗈭 𗈮 𗈯 𗈰 𗈱 𗈲 𗈳 𗈴 𗈵 𗈶 𗈷 𗈸 𗈹 𗈺 𗈻 𗈼 𗈽 𗈾 𗈿 𗉀 𗉁 𗉂 𗉃 𗉄 𗉅 𗉆 𗉇 𗉈 𗉉 𗉊 𗉋 𗉌 𗉍 𗉎 𗉏 𗉐 𗉑 𗉒 𗉓 𗉔 𗉕 𗉖 𗉗 𗉘 𗉙 𗉚 𗉛 𗉜 𗉝 𗉞 𗉟 𗉠 𗉡 𗉢 𗉣 𗉤 𗉥 𗉦 𗉧 𗉨 𗉩 𗉪 𗉫 𗉬 𗉭 𗉮 𗉯 𗉰 𗉱 𗉲 𗉳 𗉴 𗉵 𗉶 𗉷 𗉸 𗉹 𗉺 𗉻 𗉼 𗉽 𗉾 𗉿 𗊀 𗊁 𗊂 𗊃 𗊄 𗊅 𗊆 𗊇 𗊈 𗊉 𗊊 𗊋 𗊌 𗊍 𗊎 𗊏 𗊐 𗊑 𗊒 𗊓 𗊔 𗊕 𗊖 𗊗 𗊘 𗊙 𗊚 𗊛 𗊜 𗊝 𗊞 𗊟 𗊠 𗊡 𗊢 𗊣 𗊤 𗊥 𗊦 𗊧 𗊨 𗊩 𗊪 𗊫 𗊬 𗊭 𗊮 𗊯 𗊰 𗊱 𗊲 𗊳 𗊴 𗊵 𗊶 𗊷 𗊸 𗊹 𗊺 𗊻 𗊼 𗊽 𗊾 𗊿 𗋀 𗋁 𗋂 𗋃 𗋄 𗋅 𗋆 𗋇 𗋈 𗋉 𗋊 𗋋 𗋌 𗋍 𗋎 𗋏 𗋐 𗋑 𗋒 𗋓 𗋔 𗋕 𗋖 𗋗 𗋘 𗋙 𗋚 𗋛 𗋜 𗋝 𗋞 𗋟 𗋠 𗋡 𗋢 𗋣 𗋤 𗋥 𗋦 𗋧 𗋨 𗋩 𗋪 𗋫 𗋬 𗋭 𗋮 𗋯 𗋰 𗋱 𗋲 𗋳 𗋴 𗋵 𗋶 𗋷 𗋸 𗋹 𗋺 𗋻 𗋼 𗋽 𗋾 𗋿</t>
        </is>
      </c>
      <c r="P437" s="37" t="inlineStr">
        <is>
          <t>𗈀 𗈁 𗈂 𗈃 𗈄 𗈅 𗈆 𗈇 𗈈 𗈉 𗈊 𗈋 𗈌 𗈍 𗈎 𗈏 𗈐 𗈑 𗈒 𗈓 𗈔 𗈕 𗈖 𗈗 𗈘 𗈙 𗈚 𗈛 𗈜 𗈝 𗈞 𗈟 𗈠 𗈡 𗈢 𗈣 𗈤 𗈥 𗈦 𗈧 𗈨 𗈩 𗈪 𗈫 𗈬 𗈭 𗈮 𗈯 𗈰 𗈱 𗈲 𗈳 𗈴 𗈵 𗈶 𗈷 𗈸 𗈹 𗈺 𗈻 𗈼 𗈽 𗈾 𗈿 𗉀 𗉁 𗉂 𗉃 𗉄 𗉅 𗉆 𗉇 𗉈 𗉉 𗉊 𗉋 𗉌 𗉍 𗉎 𗉏 𗉐 𗉑 𗉒 𗉓 𗉔 𗉕 𗉖 𗉗 𗉘 𗉙 𗉚 𗉛 𗉜 𗉝 𗉞 𗉟 𗉠 𗉡 𗉢 𗉣 𗉤 𗉥 𗉦 𗉧 𗉨 𗉩 𗉪 𗉫 𗉬 𗉭 𗉮 𗉯 𗉰 𗉱 𗉲 𗉳 𗉴 𗉵 𗉶 𗉷 𗉸 𗉹 𗉺 𗉻 𗉼 𗉽 𗉾 𗉿 𗊀 𗊁 𗊂 𗊃 𗊄 𗊅 𗊆 𗊇 𗊈 𗊉 𗊊 𗊋 𗊌 𗊍 𗊎 𗊏 𗊐 𗊑 𗊒 𗊓 𗊔 𗊕 𗊖 𗊗 𗊘 𗊙 𗊚 𗊛 𗊜 𗊝 𗊞 𗊟 𗊠 𗊡 𗊢 𗊣 𗊤 𗊥 𗊦 𗊧 𗊨 𗊩 𗊪 𗊫 𗊬 𗊭 𗊮 𗊯 𗊰 𗊱 𗊲 𗊳 𗊴 𗊵 𗊶 𗊷 𗊸 𗊹 𗊺 𗊻 𗊼 𗊽 𗊾 𗊿 𗋀 𗋁 𗋂 𗋃 𗋄 𗋅 𗋆 𗋇 𗋈 𗋉 𗋊 𗋋 𗋌 𗋍 𗋎 𗋏 𗋐 𗋑 𗋒 𗋓 𗋔 𗋕 𗋖 𗋗 𗋘 𗋙 𗋚 𗋛 𗋜 𗋝 𗋞 𗋟 𗋠 𗋡 𗋢 𗋣 𗋤 𗋥 𗋦 𗋧 𗋨 𗋩 𗋪 𗋫 𗋬 𗋭 𗋮 𗋯 𗋰 𗋱 𗋲 𗋳 𗋴 𗋵 𗋶 𗋷 𗋸 𗋹 𗋺 𗋻 𗋼 𗋽 𗋾 𗋿</t>
        </is>
      </c>
      <c r="Q437" s="38" t="inlineStr">
        <is>
          <t>𗈀 𗈁 𗈂 𗈃 𗈄 𗈅 𗈆 𗈇 𗈈 𗈉 𗈊 𗈋 𗈌 𗈍 𗈎 𗈏 𗈐 𗈑 𗈒 𗈓 𗈔 𗈕 𗈖 𗈗 𗈘 𗈙 𗈚 𗈛 𗈜 𗈝 𗈞 𗈟 𗈠 𗈡 𗈢 𗈣 𗈤 𗈥 𗈦 𗈧 𗈨 𗈩 𗈪 𗈫 𗈬 𗈭 𗈮 𗈯 𗈰 𗈱 𗈲 𗈳 𗈴 𗈵 𗈶 𗈷 𗈸 𗈹 𗈺 𗈻 𗈼 𗈽 𗈾 𗈿 𗉀 𗉁 𗉂 𗉃 𗉄 𗉅 𗉆 𗉇 𗉈 𗉉 𗉊 𗉋 𗉌 𗉍 𗉎 𗉏 𗉐 𗉑 𗉒 𗉓 𗉔 𗉕 𗉖 𗉗 𗉘 𗉙 𗉚 𗉛 𗉜 𗉝 𗉞 𗉟 𗉠 𗉡 𗉢 𗉣 𗉤 𗉥 𗉦 𗉧 𗉨 𗉩 𗉪 𗉫 𗉬 𗉭 𗉮 𗉯 𗉰 𗉱 𗉲 𗉳 𗉴 𗉵 𗉶 𗉷 𗉸 𗉹 𗉺 𗉻 𗉼 𗉽 𗉾 𗉿 𗊀 𗊁 𗊂 𗊃 𗊄 𗊅 𗊆 𗊇 𗊈 𗊉 𗊊 𗊋 𗊌 𗊍 𗊎 𗊏 𗊐 𗊑 𗊒 𗊓 𗊔 𗊕 𗊖 𗊗 𗊘 𗊙 𗊚 𗊛 𗊜 𗊝 𗊞 𗊟 𗊠 𗊡 𗊢 𗊣 𗊤 𗊥 𗊦 𗊧 𗊨 𗊩 𗊪 𗊫 𗊬 𗊭 𗊮 𗊯 𗊰 𗊱 𗊲 𗊳 𗊴 𗊵 𗊶 𗊷 𗊸 𗊹 𗊺 𗊻 𗊼 𗊽 𗊾 𗊿 𗋀 𗋁 𗋂 𗋃 𗋄 𗋅 𗋆 𗋇 𗋈 𗋉 𗋊 𗋋 𗋌 𗋍 𗋎 𗋏 𗋐 𗋑 𗋒 𗋓 𗋔 𗋕 𗋖 𗋗 𗋘 𗋙 𗋚 𗋛 𗋜 𗋝 𗋞 𗋟 𗋠 𗋡 𗋢 𗋣 𗋤 𗋥 𗋦 𗋧 𗋨 𗋩 𗋪 𗋫 𗋬 𗋭 𗋮 𗋯 𗋰 𗋱 𗋲 𗋳 𗋴 𗋵 𗋶 𗋷 𗋸 𗋹 𗋺 𗋻 𗋼 𗋽 𗋾 𗋿</t>
        </is>
      </c>
      <c r="R437" s="43" t="inlineStr"/>
      <c r="S437" s="40" t="n"/>
      <c r="V437" s="14">
        <f>(LEN(O437)+1)/2</f>
        <v/>
      </c>
      <c r="W437" s="14">
        <f>ROUNDDOWN((LEN(P437)+1)/2,0)</f>
        <v/>
      </c>
      <c r="X437" s="14">
        <f>ROUNDDOWN((LEN(Q437)+1)/2,0)</f>
        <v/>
      </c>
      <c r="Y437" s="14">
        <f>ROUNDDOWN((LEN(R437)+1)/2,0)</f>
        <v/>
      </c>
      <c r="Z437" s="14">
        <f>ROUNDDOWN((LEN(S437)+1)/2,0)</f>
        <v/>
      </c>
      <c r="AA437" s="56" t="n">
        <v>46150.55866169368</v>
      </c>
    </row>
    <row r="438" ht="102" customHeight="1">
      <c r="B438" s="46" t="inlineStr">
        <is>
          <t>U+17300-U+173FF</t>
        </is>
      </c>
      <c r="C438" s="46" t="inlineStr">
        <is>
          <t>Tangut</t>
        </is>
      </c>
      <c r="D438" s="54">
        <f>HEX2DEC(MID(B438,3,FIND("-",E438)-3))</f>
        <v/>
      </c>
      <c r="E438" s="46" t="inlineStr">
        <is>
          <t>U+17000-U+187FF</t>
        </is>
      </c>
      <c r="F438" s="12" t="n">
        <v>4</v>
      </c>
      <c r="J438" s="19">
        <f>ROUNDDOWN(W438,0)/$V438</f>
        <v/>
      </c>
      <c r="K438" s="19">
        <f>ROUNDDOWN(X438,0)/$V438</f>
        <v/>
      </c>
      <c r="L438" s="19">
        <f>ROUNDDOWN(Y438,0)/$V438</f>
        <v/>
      </c>
      <c r="M438" s="19">
        <f>ROUNDDOWN(Z438,0)/$V438</f>
        <v/>
      </c>
      <c r="O438" s="36" t="inlineStr">
        <is>
          <t>𗌀 𗌁 𗌂 𗌃 𗌄 𗌅 𗌆 𗌇 𗌈 𗌉 𗌊 𗌋 𗌌 𗌍 𗌎 𗌏 𗌐 𗌑 𗌒 𗌓 𗌔 𗌕 𗌖 𗌗 𗌘 𗌙 𗌚 𗌛 𗌜 𗌝 𗌞 𗌟 𗌠 𗌡 𗌢 𗌣 𗌤 𗌥 𗌦 𗌧 𗌨 𗌩 𗌪 𗌫 𗌬 𗌭 𗌮 𗌯 𗌰 𗌱 𗌲 𗌳 𗌴 𗌵 𗌶 𗌷 𗌸 𗌹 𗌺 𗌻 𗌼 𗌽 𗌾 𗌿 𗍀 𗍁 𗍂 𗍃 𗍄 𗍅 𗍆 𗍇 𗍈 𗍉 𗍊 𗍋 𗍌 𗍍 𗍎 𗍏 𗍐 𗍑 𗍒 𗍓 𗍔 𗍕 𗍖 𗍗 𗍘 𗍙 𗍚 𗍛 𗍜 𗍝 𗍞 𗍟 𗍠 𗍡 𗍢 𗍣 𗍤 𗍥 𗍦 𗍧 𗍨 𗍩 𗍪 𗍫 𗍬 𗍭 𗍮 𗍯 𗍰 𗍱 𗍲 𗍳 𗍴 𗍵 𗍶 𗍷 𗍸 𗍹 𗍺 𗍻 𗍼 𗍽 𗍾 𗍿 𗎀 𗎁 𗎂 𗎃 𗎄 𗎅 𗎆 𗎇 𗎈 𗎉 𗎊 𗎋 𗎌 𗎍 𗎎 𗎏 𗎐 𗎑 𗎒 𗎓 𗎔 𗎕 𗎖 𗎗 𗎘 𗎙 𗎚 𗎛 𗎜 𗎝 𗎞 𗎟 𗎠 𗎡 𗎢 𗎣 𗎤 𗎥 𗎦 𗎧 𗎨 𗎩 𗎪 𗎫 𗎬 𗎭 𗎮 𗎯 𗎰 𗎱 𗎲 𗎳 𗎴 𗎵 𗎶 𗎷 𗎸 𗎹 𗎺 𗎻 𗎼 𗎽 𗎾 𗎿 𗏀 𗏁 𗏂 𗏃 𗏄 𗏅 𗏆 𗏇 𗏈 𗏉 𗏊 𗏋 𗏌 𗏍 𗏎 𗏏 𗏐 𗏑 𗏒 𗏓 𗏔 𗏕 𗏖 𗏗 𗏘 𗏙 𗏚 𗏛 𗏜 𗏝 𗏞 𗏟 𗏠 𗏡 𗏢 𗏣 𗏤 𗏥 𗏦 𗏧 𗏨 𗏩 𗏪 𗏫 𗏬 𗏭 𗏮 𗏯 𗏰 𗏱 𗏲 𗏳 𗏴 𗏵 𗏶 𗏷 𗏸 𗏹 𗏺 𗏻 𗏼 𗏽 𗏾 𗏿</t>
        </is>
      </c>
      <c r="P438" s="37" t="inlineStr">
        <is>
          <t>𗌀 𗌁 𗌂 𗌃 𗌄 𗌅 𗌆 𗌇 𗌈 𗌉 𗌊 𗌋 𗌌 𗌍 𗌎 𗌏 𗌐 𗌑 𗌒 𗌓 𗌔 𗌕 𗌖 𗌗 𗌘 𗌙 𗌚 𗌛 𗌜 𗌝 𗌞 𗌟 𗌠 𗌡 𗌢 𗌣 𗌤 𗌥 𗌦 𗌧 𗌨 𗌩 𗌪 𗌫 𗌬 𗌭 𗌮 𗌯 𗌰 𗌱 𗌲 𗌳 𗌴 𗌵 𗌶 𗌷 𗌸 𗌹 𗌺 𗌻 𗌼 𗌽 𗌾 𗌿 𗍀 𗍁 𗍂 𗍃 𗍄 𗍅 𗍆 𗍇 𗍈 𗍉 𗍊 𗍋 𗍌 𗍍 𗍎 𗍏 𗍐 𗍑 𗍒 𗍓 𗍔 𗍕 𗍖 𗍗 𗍘 𗍙 𗍚 𗍛 𗍜 𗍝 𗍞 𗍟 𗍠 𗍡 𗍢 𗍣 𗍤 𗍥 𗍦 𗍧 𗍨 𗍩 𗍪 𗍫 𗍬 𗍭 𗍮 𗍯 𗍰 𗍱 𗍲 𗍳 𗍴 𗍵 𗍶 𗍷 𗍸 𗍹 𗍺 𗍻 𗍼 𗍽 𗍾 𗍿 𗎀 𗎁 𗎂 𗎃 𗎄 𗎅 𗎆 𗎇 𗎈 𗎉 𗎊 𗎋 𗎌 𗎍 𗎎 𗎏 𗎐 𗎑 𗎒 𗎓 𗎔 𗎕 𗎖 𗎗 𗎘 𗎙 𗎚 𗎛 𗎜 𗎝 𗎞 𗎟 𗎠 𗎡 𗎢 𗎣 𗎤 𗎥 𗎦 𗎧 𗎨 𗎩 𗎪 𗎫 𗎬 𗎭 𗎮 𗎯 𗎰 𗎱 𗎲 𗎳 𗎴 𗎵 𗎶 𗎷 𗎸 𗎹 𗎺 𗎻 𗎼 𗎽 𗎾 𗎿 𗏀 𗏁 𗏂 𗏃 𗏄 𗏅 𗏆 𗏇 𗏈 𗏉 𗏊 𗏋 𗏌 𗏍 𗏎 𗏏 𗏐 𗏑 𗏒 𗏓 𗏔 𗏕 𗏖 𗏗 𗏘 𗏙 𗏚 𗏛 𗏜 𗏝 𗏞 𗏟 𗏠 𗏡 𗏢 𗏣 𗏤 𗏥 𗏦 𗏧 𗏨 𗏩 𗏪 𗏫 𗏬 𗏭 𗏮 𗏯 𗏰 𗏱 𗏲 𗏳 𗏴 𗏵 𗏶 𗏷 𗏸 𗏹 𗏺 𗏻 𗏼 𗏽 𗏾 𗏿</t>
        </is>
      </c>
      <c r="Q438" s="38" t="inlineStr">
        <is>
          <t>𗌀 𗌁 𗌂 𗌃 𗌄 𗌅 𗌆 𗌇 𗌈 𗌉 𗌊 𗌋 𗌌 𗌍 𗌎 𗌏 𗌐 𗌑 𗌒 𗌓 𗌔 𗌕 𗌖 𗌗 𗌘 𗌙 𗌚 𗌛 𗌜 𗌝 𗌞 𗌟 𗌠 𗌡 𗌢 𗌣 𗌤 𗌥 𗌦 𗌧 𗌨 𗌩 𗌪 𗌫 𗌬 𗌭 𗌮 𗌯 𗌰 𗌱 𗌲 𗌳 𗌴 𗌵 𗌶 𗌷 𗌸 𗌹 𗌺 𗌻 𗌼 𗌽 𗌾 𗌿 𗍀 𗍁 𗍂 𗍃 𗍄 𗍅 𗍆 𗍇 𗍈 𗍉 𗍊 𗍋 𗍌 𗍍 𗍎 𗍏 𗍐 𗍑 𗍒 𗍓 𗍔 𗍕 𗍖 𗍗 𗍘 𗍙 𗍚 𗍛 𗍜 𗍝 𗍞 𗍟 𗍠 𗍡 𗍢 𗍣 𗍤 𗍥 𗍦 𗍧 𗍨 𗍩 𗍪 𗍫 𗍬 𗍭 𗍮 𗍯 𗍰 𗍱 𗍲 𗍳 𗍴 𗍵 𗍶 𗍷 𗍸 𗍹 𗍺 𗍻 𗍼 𗍽 𗍾 𗍿 𗎀 𗎁 𗎂 𗎃 𗎄 𗎅 𗎆 𗎇 𗎈 𗎉 𗎊 𗎋 𗎌 𗎍 𗎎 𗎏 𗎐 𗎑 𗎒 𗎓 𗎔 𗎕 𗎖 𗎗 𗎘 𗎙 𗎚 𗎛 𗎜 𗎝 𗎞 𗎟 𗎠 𗎡 𗎢 𗎣 𗎤 𗎥 𗎦 𗎧 𗎨 𗎩 𗎪 𗎫 𗎬 𗎭 𗎮 𗎯 𗎰 𗎱 𗎲 𗎳 𗎴 𗎵 𗎶 𗎷 𗎸 𗎹 𗎺 𗎻 𗎼 𗎽 𗎾 𗎿 𗏀 𗏁 𗏂 𗏃 𗏄 𗏅 𗏆 𗏇 𗏈 𗏉 𗏊 𗏋 𗏌 𗏍 𗏎 𗏏 𗏐 𗏑 𗏒 𗏓 𗏔 𗏕 𗏖 𗏗 𗏘 𗏙 𗏚 𗏛 𗏜 𗏝 𗏞 𗏟 𗏠 𗏡 𗏢 𗏣 𗏤 𗏥 𗏦 𗏧 𗏨 𗏩 𗏪 𗏫 𗏬 𗏭 𗏮 𗏯 𗏰 𗏱 𗏲 𗏳 𗏴 𗏵 𗏶 𗏷 𗏸 𗏹 𗏺 𗏻 𗏼 𗏽 𗏾 𗏿</t>
        </is>
      </c>
      <c r="R438" s="43" t="inlineStr"/>
      <c r="S438" s="40" t="n"/>
      <c r="V438" s="14">
        <f>(LEN(O438)+1)/2</f>
        <v/>
      </c>
      <c r="W438" s="14">
        <f>ROUNDDOWN((LEN(P438)+1)/2,0)</f>
        <v/>
      </c>
      <c r="X438" s="14">
        <f>ROUNDDOWN((LEN(Q438)+1)/2,0)</f>
        <v/>
      </c>
      <c r="Y438" s="14">
        <f>ROUNDDOWN((LEN(R438)+1)/2,0)</f>
        <v/>
      </c>
      <c r="Z438" s="14">
        <f>ROUNDDOWN((LEN(S438)+1)/2,0)</f>
        <v/>
      </c>
      <c r="AA438" s="56" t="n">
        <v>46150.55866273485</v>
      </c>
    </row>
    <row r="439" ht="102" customHeight="1">
      <c r="B439" s="46" t="inlineStr">
        <is>
          <t>U+17400-U+174FF</t>
        </is>
      </c>
      <c r="C439" s="46" t="inlineStr">
        <is>
          <t>Tangut</t>
        </is>
      </c>
      <c r="D439" s="54">
        <f>HEX2DEC(MID(B439,3,FIND("-",E439)-3))</f>
        <v/>
      </c>
      <c r="E439" s="46" t="inlineStr">
        <is>
          <t>U+17000-U+187FF</t>
        </is>
      </c>
      <c r="F439" s="12" t="n">
        <v>4</v>
      </c>
      <c r="J439" s="19">
        <f>ROUNDDOWN(W439,0)/$V439</f>
        <v/>
      </c>
      <c r="K439" s="19">
        <f>ROUNDDOWN(X439,0)/$V439</f>
        <v/>
      </c>
      <c r="L439" s="19">
        <f>ROUNDDOWN(Y439,0)/$V439</f>
        <v/>
      </c>
      <c r="M439" s="19">
        <f>ROUNDDOWN(Z439,0)/$V439</f>
        <v/>
      </c>
      <c r="O439" s="36" t="inlineStr">
        <is>
          <t>𗐀 𗐁 𗐂 𗐃 𗐄 𗐅 𗐆 𗐇 𗐈 𗐉 𗐊 𗐋 𗐌 𗐍 𗐎 𗐏 𗐐 𗐑 𗐒 𗐓 𗐔 𗐕 𗐖 𗐗 𗐘 𗐙 𗐚 𗐛 𗐜 𗐝 𗐞 𗐟 𗐠 𗐡 𗐢 𗐣 𗐤 𗐥 𗐦 𗐧 𗐨 𗐩 𗐪 𗐫 𗐬 𗐭 𗐮 𗐯 𗐰 𗐱 𗐲 𗐳 𗐴 𗐵 𗐶 𗐷 𗐸 𗐹 𗐺 𗐻 𗐼 𗐽 𗐾 𗐿 𗑀 𗑁 𗑂 𗑃 𗑄 𗑅 𗑆 𗑇 𗑈 𗑉 𗑊 𗑋 𗑌 𗑍 𗑎 𗑏 𗑐 𗑑 𗑒 𗑓 𗑔 𗑕 𗑖 𗑗 𗑘 𗑙 𗑚 𗑛 𗑜 𗑝 𗑞 𗑟 𗑠 𗑡 𗑢 𗑣 𗑤 𗑥 𗑦 𗑧 𗑨 𗑩 𗑪 𗑫 𗑬 𗑭 𗑮 𗑯 𗑰 𗑱 𗑲 𗑳 𗑴 𗑵 𗑶 𗑷 𗑸 𗑹 𗑺 𗑻 𗑼 𗑽 𗑾 𗑿 𗒀 𗒁 𗒂 𗒃 𗒄 𗒅 𗒆 𗒇 𗒈 𗒉 𗒊 𗒋 𗒌 𗒍 𗒎 𗒏 𗒐 𗒑 𗒒 𗒓 𗒔 𗒕 𗒖 𗒗 𗒘 𗒙 𗒚 𗒛 𗒜 𗒝 𗒞 𗒟 𗒠 𗒡 𗒢 𗒣 𗒤 𗒥 𗒦 𗒧 𗒨 𗒩 𗒪 𗒫 𗒬 𗒭 𗒮 𗒯 𗒰 𗒱 𗒲 𗒳 𗒴 𗒵 𗒶 𗒷 𗒸 𗒹 𗒺 𗒻 𗒼 𗒽 𗒾 𗒿 𗓀 𗓁 𗓂 𗓃 𗓄 𗓅 𗓆 𗓇 𗓈 𗓉 𗓊 𗓋 𗓌 𗓍 𗓎 𗓏 𗓐 𗓑 𗓒 𗓓 𗓔 𗓕 𗓖 𗓗 𗓘 𗓙 𗓚 𗓛 𗓜 𗓝 𗓞 𗓟 𗓠 𗓡 𗓢 𗓣 𗓤 𗓥 𗓦 𗓧 𗓨 𗓩 𗓪 𗓫 𗓬 𗓭 𗓮 𗓯 𗓰 𗓱 𗓲 𗓳 𗓴 𗓵 𗓶 𗓷 𗓸 𗓹 𗓺 𗓻 𗓼 𗓽 𗓾 𗓿</t>
        </is>
      </c>
      <c r="P439" s="37" t="inlineStr">
        <is>
          <t>𗐀 𗐁 𗐂 𗐃 𗐄 𗐅 𗐆 𗐇 𗐈 𗐉 𗐊 𗐋 𗐌 𗐍 𗐎 𗐏 𗐐 𗐑 𗐒 𗐓 𗐔 𗐕 𗐖 𗐗 𗐘 𗐙 𗐚 𗐛 𗐜 𗐝 𗐞 𗐟 𗐠 𗐡 𗐢 𗐣 𗐤 𗐥 𗐦 𗐧 𗐨 𗐩 𗐪 𗐫 𗐬 𗐭 𗐮 𗐯 𗐰 𗐱 𗐲 𗐳 𗐴 𗐵 𗐶 𗐷 𗐸 𗐹 𗐺 𗐻 𗐼 𗐽 𗐾 𗐿 𗑀 𗑁 𗑂 𗑃 𗑄 𗑅 𗑆 𗑇 𗑈 𗑉 𗑊 𗑋 𗑌 𗑍 𗑎 𗑏 𗑐 𗑑 𗑒 𗑓 𗑔 𗑕 𗑖 𗑗 𗑘 𗑙 𗑚 𗑛 𗑜 𗑝 𗑞 𗑟 𗑠 𗑡 𗑢 𗑣 𗑤 𗑥 𗑦 𗑧 𗑨 𗑩 𗑪 𗑫 𗑬 𗑭 𗑮 𗑯 𗑰 𗑱 𗑲 𗑳 𗑴 𗑵 𗑶 𗑷 𗑸 𗑹 𗑺 𗑻 𗑼 𗑽 𗑾 𗑿 𗒀 𗒁 𗒂 𗒃 𗒄 𗒅 𗒆 𗒇 𗒈 𗒉 𗒊 𗒋 𗒌 𗒍 𗒎 𗒏 𗒐 𗒑 𗒒 𗒓 𗒔 𗒕 𗒖 𗒗 𗒘 𗒙 𗒚 𗒛 𗒜 𗒝 𗒞 𗒟 𗒠 𗒡 𗒢 𗒣 𗒤 𗒥 𗒦 𗒧 𗒨 𗒩 𗒪 𗒫 𗒬 𗒭 𗒮 𗒯 𗒰 𗒱 𗒲 𗒳 𗒴 𗒵 𗒶 𗒷 𗒸 𗒹 𗒺 𗒻 𗒼 𗒽 𗒾 𗒿 𗓀 𗓁 𗓂 𗓃 𗓄 𗓅 𗓆 𗓇 𗓈 𗓉 𗓊 𗓋 𗓌 𗓍 𗓎 𗓏 𗓐 𗓑 𗓒 𗓓 𗓔 𗓕 𗓖 𗓗 𗓘 𗓙 𗓚 𗓛 𗓜 𗓝 𗓞 𗓟 𗓠 𗓡 𗓢 𗓣 𗓤 𗓥 𗓦 𗓧 𗓨 𗓩 𗓪 𗓫 𗓬 𗓭 𗓮 𗓯 𗓰 𗓱 𗓲 𗓳 𗓴 𗓵 𗓶 𗓷 𗓸 𗓹 𗓺 𗓻 𗓼 𗓽 𗓾 𗓿</t>
        </is>
      </c>
      <c r="Q439" s="38" t="inlineStr">
        <is>
          <t>𗐀 𗐁 𗐂 𗐃 𗐄 𗐅 𗐆 𗐇 𗐈 𗐉 𗐊 𗐋 𗐌 𗐍 𗐎 𗐏 𗐐 𗐑 𗐒 𗐓 𗐔 𗐕 𗐖 𗐗 𗐘 𗐙 𗐚 𗐛 𗐜 𗐝 𗐞 𗐟 𗐠 𗐡 𗐢 𗐣 𗐤 𗐥 𗐦 𗐧 𗐨 𗐩 𗐪 𗐫 𗐬 𗐭 𗐮 𗐯 𗐰 𗐱 𗐲 𗐳 𗐴 𗐵 𗐶 𗐷 𗐸 𗐹 𗐺 𗐻 𗐼 𗐽 𗐾 𗐿 𗑀 𗑁 𗑂 𗑃 𗑄 𗑅 𗑆 𗑇 𗑈 𗑉 𗑊 𗑋 𗑌 𗑍 𗑎 𗑏 𗑐 𗑑 𗑒 𗑓 𗑔 𗑕 𗑖 𗑗 𗑘 𗑙 𗑚 𗑛 𗑜 𗑝 𗑞 𗑟 𗑠 𗑡 𗑢 𗑣 𗑤 𗑥 𗑦 𗑧 𗑨 𗑩 𗑪 𗑫 𗑬 𗑭 𗑮 𗑯 𗑰 𗑱 𗑲 𗑳 𗑴 𗑵 𗑶 𗑷 𗑸 𗑹 𗑺 𗑻 𗑼 𗑽 𗑾 𗑿 𗒀 𗒁 𗒂 𗒃 𗒄 𗒅 𗒆 𗒇 𗒈 𗒉 𗒊 𗒋 𗒌 𗒍 𗒎 𗒏 𗒐 𗒑 𗒒 𗒓 𗒔 𗒕 𗒖 𗒗 𗒘 𗒙 𗒚 𗒛 𗒜 𗒝 𗒞 𗒟 𗒠 𗒡 𗒢 𗒣 𗒤 𗒥 𗒦 𗒧 𗒨 𗒩 𗒪 𗒫 𗒬 𗒭 𗒮 𗒯 𗒰 𗒱 𗒲 𗒳 𗒴 𗒵 𗒶 𗒷 𗒸 𗒹 𗒺 𗒻 𗒼 𗒽 𗒾 𗒿 𗓀 𗓁 𗓂 𗓃 𗓄 𗓅 𗓆 𗓇 𗓈 𗓉 𗓊 𗓋 𗓌 𗓍 𗓎 𗓏 𗓐 𗓑 𗓒 𗓓 𗓔 𗓕 𗓖 𗓗 𗓘 𗓙 𗓚 𗓛 𗓜 𗓝 𗓞 𗓟 𗓠 𗓡 𗓢 𗓣 𗓤 𗓥 𗓦 𗓧 𗓨 𗓩 𗓪 𗓫 𗓬 𗓭 𗓮 𗓯 𗓰 𗓱 𗓲 𗓳 𗓴 𗓵 𗓶 𗓷 𗓸 𗓹 𗓺 𗓻 𗓼 𗓽 𗓾 𗓿</t>
        </is>
      </c>
      <c r="R439" s="43" t="inlineStr"/>
      <c r="S439" s="40" t="n"/>
      <c r="V439" s="14">
        <f>(LEN(O439)+1)/2</f>
        <v/>
      </c>
      <c r="W439" s="14">
        <f>ROUNDDOWN((LEN(P439)+1)/2,0)</f>
        <v/>
      </c>
      <c r="X439" s="14">
        <f>ROUNDDOWN((LEN(Q439)+1)/2,0)</f>
        <v/>
      </c>
      <c r="Y439" s="14">
        <f>ROUNDDOWN((LEN(R439)+1)/2,0)</f>
        <v/>
      </c>
      <c r="Z439" s="14">
        <f>ROUNDDOWN((LEN(S439)+1)/2,0)</f>
        <v/>
      </c>
      <c r="AA439" s="56" t="n">
        <v>46150.55866377146</v>
      </c>
    </row>
    <row r="440" ht="102" customHeight="1">
      <c r="B440" s="46" t="inlineStr">
        <is>
          <t>U+17500-U+175FF</t>
        </is>
      </c>
      <c r="C440" s="46" t="inlineStr">
        <is>
          <t>Tangut</t>
        </is>
      </c>
      <c r="D440" s="54">
        <f>HEX2DEC(MID(B440,3,FIND("-",E440)-3))</f>
        <v/>
      </c>
      <c r="E440" s="46" t="inlineStr">
        <is>
          <t>U+17000-U+187FF</t>
        </is>
      </c>
      <c r="F440" s="12" t="n">
        <v>4</v>
      </c>
      <c r="J440" s="19">
        <f>ROUNDDOWN(W440,0)/$V440</f>
        <v/>
      </c>
      <c r="K440" s="19">
        <f>ROUNDDOWN(X440,0)/$V440</f>
        <v/>
      </c>
      <c r="L440" s="19">
        <f>ROUNDDOWN(Y440,0)/$V440</f>
        <v/>
      </c>
      <c r="M440" s="19">
        <f>ROUNDDOWN(Z440,0)/$V440</f>
        <v/>
      </c>
      <c r="O440" s="36" t="inlineStr">
        <is>
          <t>𗔀 𗔁 𗔂 𗔃 𗔄 𗔅 𗔆 𗔇 𗔈 𗔉 𗔊 𗔋 𗔌 𗔍 𗔎 𗔏 𗔐 𗔑 𗔒 𗔓 𗔔 𗔕 𗔖 𗔗 𗔘 𗔙 𗔚 𗔛 𗔜 𗔝 𗔞 𗔟 𗔠 𗔡 𗔢 𗔣 𗔤 𗔥 𗔦 𗔧 𗔨 𗔩 𗔪 𗔫 𗔬 𗔭 𗔮 𗔯 𗔰 𗔱 𗔲 𗔳 𗔴 𗔵 𗔶 𗔷 𗔸 𗔹 𗔺 𗔻 𗔼 𗔽 𗔾 𗔿 𗕀 𗕁 𗕂 𗕃 𗕄 𗕅 𗕆 𗕇 𗕈 𗕉 𗕊 𗕋 𗕌 𗕍 𗕎 𗕏 𗕐 𗕑 𗕒 𗕓 𗕔 𗕕 𗕖 𗕗 𗕘 𗕙 𗕚 𗕛 𗕜 𗕝 𗕞 𗕟 𗕠 𗕡 𗕢 𗕣 𗕤 𗕥 𗕦 𗕧 𗕨 𗕩 𗕪 𗕫 𗕬 𗕭 𗕮 𗕯 𗕰 𗕱 𗕲 𗕳 𗕴 𗕵 𗕶 𗕷 𗕸 𗕹 𗕺 𗕻 𗕼 𗕽 𗕾 𗕿 𗖀 𗖁 𗖂 𗖃 𗖄 𗖅 𗖆 𗖇 𗖈 𗖉 𗖊 𗖋 𗖌 𗖍 𗖎 𗖏 𗖐 𗖑 𗖒 𗖓 𗖔 𗖕 𗖖 𗖗 𗖘 𗖙 𗖚 𗖛 𗖜 𗖝 𗖞 𗖟 𗖠 𗖡 𗖢 𗖣 𗖤 𗖥 𗖦 𗖧 𗖨 𗖩 𗖪 𗖫 𗖬 𗖭 𗖮 𗖯 𗖰 𗖱 𗖲 𗖳 𗖴 𗖵 𗖶 𗖷 𗖸 𗖹 𗖺 𗖻 𗖼 𗖽 𗖾 𗖿 𗗀 𗗁 𗗂 𗗃 𗗄 𗗅 𗗆 𗗇 𗗈 𗗉 𗗊 𗗋 𗗌 𗗍 𗗎 𗗏 𗗐 𗗑 𗗒 𗗓 𗗔 𗗕 𗗖 𗗗 𗗘 𗗙 𗗚 𗗛 𗗜 𗗝 𗗞 𗗟 𗗠 𗗡 𗗢 𗗣 𗗤 𗗥 𗗦 𗗧 𗗨 𗗩 𗗪 𗗫 𗗬 𗗭 𗗮 𗗯 𗗰 𗗱 𗗲 𗗳 𗗴 𗗵 𗗶 𗗷 𗗸 𗗹 𗗺 𗗻 𗗼 𗗽 𗗾 𗗿</t>
        </is>
      </c>
      <c r="P440" s="37" t="inlineStr">
        <is>
          <t>𗔀 𗔁 𗔂 𗔃 𗔄 𗔅 𗔆 𗔇 𗔈 𗔉 𗔊 𗔋 𗔌 𗔍 𗔎 𗔏 𗔐 𗔑 𗔒 𗔓 𗔔 𗔕 𗔖 𗔗 𗔘 𗔙 𗔚 𗔛 𗔜 𗔝 𗔞 𗔟 𗔠 𗔡 𗔢 𗔣 𗔤 𗔥 𗔦 𗔧 𗔨 𗔩 𗔪 𗔫 𗔬 𗔭 𗔮 𗔯 𗔰 𗔱 𗔲 𗔳 𗔴 𗔵 𗔶 𗔷 𗔸 𗔹 𗔺 𗔻 𗔼 𗔽 𗔾 𗔿 𗕀 𗕁 𗕂 𗕃 𗕄 𗕅 𗕆 𗕇 𗕈 𗕉 𗕊 𗕋 𗕌 𗕍 𗕎 𗕏 𗕐 𗕑 𗕒 𗕓 𗕔 𗕕 𗕖 𗕗 𗕘 𗕙 𗕚 𗕛 𗕜 𗕝 𗕞 𗕟 𗕠 𗕡 𗕢 𗕣 𗕤 𗕥 𗕦 𗕧 𗕨 𗕩 𗕪 𗕫 𗕬 𗕭 𗕮 𗕯 𗕰 𗕱 𗕲 𗕳 𗕴 𗕵 𗕶 𗕷 𗕸 𗕹 𗕺 𗕻 𗕼 𗕽 𗕾 𗕿 𗖀 𗖁 𗖂 𗖃 𗖄 𗖅 𗖆 𗖇 𗖈 𗖉 𗖊 𗖋 𗖌 𗖍 𗖎 𗖏 𗖐 𗖑 𗖒 𗖓 𗖔 𗖕 𗖖 𗖗 𗖘 𗖙 𗖚 𗖛 𗖜 𗖝 𗖞 𗖟 𗖠 𗖡 𗖢 𗖣 𗖤 𗖥 𗖦 𗖧 𗖨 𗖩 𗖪 𗖫 𗖬 𗖭 𗖮 𗖯 𗖰 𗖱 𗖲 𗖳 𗖴 𗖵 𗖶 𗖷 𗖸 𗖹 𗖺 𗖻 𗖼 𗖽 𗖾 𗖿 𗗀 𗗁 𗗂 𗗃 𗗄 𗗅 𗗆 𗗇 𗗈 𗗉 𗗊 𗗋 𗗌 𗗍 𗗎 𗗏 𗗐 𗗑 𗗒 𗗓 𗗔 𗗕 𗗖 𗗗 𗗘 𗗙 𗗚 𗗛 𗗜 𗗝 𗗞 𗗟 𗗠 𗗡 𗗢 𗗣 𗗤 𗗥 𗗦 𗗧 𗗨 𗗩 𗗪 𗗫 𗗬 𗗭 𗗮 𗗯 𗗰 𗗱 𗗲 𗗳 𗗴 𗗵 𗗶 𗗷 𗗸 𗗹 𗗺 𗗻 𗗼 𗗽 𗗾 𗗿</t>
        </is>
      </c>
      <c r="Q440" s="38" t="inlineStr">
        <is>
          <t>𗔀 𗔁 𗔂 𗔃 𗔄 𗔅 𗔆 𗔇 𗔈 𗔉 𗔊 𗔋 𗔌 𗔍 𗔎 𗔏 𗔐 𗔑 𗔒 𗔓 𗔔 𗔕 𗔖 𗔗 𗔘 𗔙 𗔚 𗔛 𗔜 𗔝 𗔞 𗔟 𗔠 𗔡 𗔢 𗔣 𗔤 𗔥 𗔦 𗔧 𗔨 𗔩 𗔪 𗔫 𗔬 𗔭 𗔮 𗔯 𗔰 𗔱 𗔲 𗔳 𗔴 𗔵 𗔶 𗔷 𗔸 𗔹 𗔺 𗔻 𗔼 𗔽 𗔾 𗔿 𗕀 𗕁 𗕂 𗕃 𗕄 𗕅 𗕆 𗕇 𗕈 𗕉 𗕊 𗕋 𗕌 𗕍 𗕎 𗕏 𗕐 𗕑 𗕒 𗕓 𗕔 𗕕 𗕖 𗕗 𗕘 𗕙 𗕚 𗕛 𗕜 𗕝 𗕞 𗕟 𗕠 𗕡 𗕢 𗕣 𗕤 𗕥 𗕦 𗕧 𗕨 𗕩 𗕪 𗕫 𗕬 𗕭 𗕮 𗕯 𗕰 𗕱 𗕲 𗕳 𗕴 𗕵 𗕶 𗕷 𗕸 𗕹 𗕺 𗕻 𗕼 𗕽 𗕾 𗕿 𗖀 𗖁 𗖂 𗖃 𗖄 𗖅 𗖆 𗖇 𗖈 𗖉 𗖊 𗖋 𗖌 𗖍 𗖎 𗖏 𗖐 𗖑 𗖒 𗖓 𗖔 𗖕 𗖖 𗖗 𗖘 𗖙 𗖚 𗖛 𗖜 𗖝 𗖞 𗖟 𗖠 𗖡 𗖢 𗖣 𗖤 𗖥 𗖦 𗖧 𗖨 𗖩 𗖪 𗖫 𗖬 𗖭 𗖮 𗖯 𗖰 𗖱 𗖲 𗖳 𗖴 𗖵 𗖶 𗖷 𗖸 𗖹 𗖺 𗖻 𗖼 𗖽 𗖾 𗖿 𗗀 𗗁 𗗂 𗗃 𗗄 𗗅 𗗆 𗗇 𗗈 𗗉 𗗊 𗗋 𗗌 𗗍 𗗎 𗗏 𗗐 𗗑 𗗒 𗗓 𗗔 𗗕 𗗖 𗗗 𗗘 𗗙 𗗚 𗗛 𗗜 𗗝 𗗞 𗗟 𗗠 𗗡 𗗢 𗗣 𗗤 𗗥 𗗦 𗗧 𗗨 𗗩 𗗪 𗗫 𗗬 𗗭 𗗮 𗗯 𗗰 𗗱 𗗲 𗗳 𗗴 𗗵 𗗶 𗗷 𗗸 𗗹 𗗺 𗗻 𗗼 𗗽 𗗾 𗗿</t>
        </is>
      </c>
      <c r="R440" s="43" t="inlineStr"/>
      <c r="S440" s="40" t="n"/>
      <c r="V440" s="14">
        <f>(LEN(O440)+1)/2</f>
        <v/>
      </c>
      <c r="W440" s="14">
        <f>ROUNDDOWN((LEN(P440)+1)/2,0)</f>
        <v/>
      </c>
      <c r="X440" s="14">
        <f>ROUNDDOWN((LEN(Q440)+1)/2,0)</f>
        <v/>
      </c>
      <c r="Y440" s="14">
        <f>ROUNDDOWN((LEN(R440)+1)/2,0)</f>
        <v/>
      </c>
      <c r="Z440" s="14">
        <f>ROUNDDOWN((LEN(S440)+1)/2,0)</f>
        <v/>
      </c>
      <c r="AA440" s="56" t="n">
        <v>46150.55866482863</v>
      </c>
    </row>
    <row r="441" ht="102" customHeight="1">
      <c r="B441" s="46" t="inlineStr">
        <is>
          <t>U+17600-U+176FF</t>
        </is>
      </c>
      <c r="C441" s="46" t="inlineStr">
        <is>
          <t>Tangut</t>
        </is>
      </c>
      <c r="D441" s="54">
        <f>HEX2DEC(MID(B441,3,FIND("-",E441)-3))</f>
        <v/>
      </c>
      <c r="E441" s="46" t="inlineStr">
        <is>
          <t>U+17000-U+187FF</t>
        </is>
      </c>
      <c r="F441" s="12" t="n">
        <v>4</v>
      </c>
      <c r="J441" s="19">
        <f>ROUNDDOWN(W441,0)/$V441</f>
        <v/>
      </c>
      <c r="K441" s="19">
        <f>ROUNDDOWN(X441,0)/$V441</f>
        <v/>
      </c>
      <c r="L441" s="19">
        <f>ROUNDDOWN(Y441,0)/$V441</f>
        <v/>
      </c>
      <c r="M441" s="19">
        <f>ROUNDDOWN(Z441,0)/$V441</f>
        <v/>
      </c>
      <c r="O441" s="36" t="inlineStr">
        <is>
          <t>𗘀 𗘁 𗘂 𗘃 𗘄 𗘅 𗘆 𗘇 𗘈 𗘉 𗘊 𗘋 𗘌 𗘍 𗘎 𗘏 𗘐 𗘑 𗘒 𗘓 𗘔 𗘕 𗘖 𗘗 𗘘 𗘙 𗘚 𗘛 𗘜 𗘝 𗘞 𗘟 𗘠 𗘡 𗘢 𗘣 𗘤 𗘥 𗘦 𗘧 𗘨 𗘩 𗘪 𗘫 𗘬 𗘭 𗘮 𗘯 𗘰 𗘱 𗘲 𗘳 𗘴 𗘵 𗘶 𗘷 𗘸 𗘹 𗘺 𗘻 𗘼 𗘽 𗘾 𗘿 𗙀 𗙁 𗙂 𗙃 𗙄 𗙅 𗙆 𗙇 𗙈 𗙉 𗙊 𗙋 𗙌 𗙍 𗙎 𗙏 𗙐 𗙑 𗙒 𗙓 𗙔 𗙕 𗙖 𗙗 𗙘 𗙙 𗙚 𗙛 𗙜 𗙝 𗙞 𗙟 𗙠 𗙡 𗙢 𗙣 𗙤 𗙥 𗙦 𗙧 𗙨 𗙩 𗙪 𗙫 𗙬 𗙭 𗙮 𗙯 𗙰 𗙱 𗙲 𗙳 𗙴 𗙵 𗙶 𗙷 𗙸 𗙹 𗙺 𗙻 𗙼 𗙽 𗙾 𗙿 𗚀 𗚁 𗚂 𗚃 𗚄 𗚅 𗚆 𗚇 𗚈 𗚉 𗚊 𗚋 𗚌 𗚍 𗚎 𗚏 𗚐 𗚑 𗚒 𗚓 𗚔 𗚕 𗚖 𗚗 𗚘 𗚙 𗚚 𗚛 𗚜 𗚝 𗚞 𗚟 𗚠 𗚡 𗚢 𗚣 𗚤 𗚥 𗚦 𗚧 𗚨 𗚩 𗚪 𗚫 𗚬 𗚭 𗚮 𗚯 𗚰 𗚱 𗚲 𗚳 𗚴 𗚵 𗚶 𗚷 𗚸 𗚹 𗚺 𗚻 𗚼 𗚽 𗚾 𗚿 𗛀 𗛁 𗛂 𗛃 𗛄 𗛅 𗛆 𗛇 𗛈 𗛉 𗛊 𗛋 𗛌 𗛍 𗛎 𗛏 𗛐 𗛑 𗛒 𗛓 𗛔 𗛕 𗛖 𗛗 𗛘 𗛙 𗛚 𗛛 𗛜 𗛝 𗛞 𗛟 𗛠 𗛡 𗛢 𗛣 𗛤 𗛥 𗛦 𗛧 𗛨 𗛩 𗛪 𗛫 𗛬 𗛭 𗛮 𗛯 𗛰 𗛱 𗛲 𗛳 𗛴 𗛵 𗛶 𗛷 𗛸 𗛹 𗛺 𗛻 𗛼 𗛽 𗛾 𗛿</t>
        </is>
      </c>
      <c r="P441" s="37" t="inlineStr">
        <is>
          <t>𗘀 𗘁 𗘂 𗘃 𗘄 𗘅 𗘆 𗘇 𗘈 𗘉 𗘊 𗘋 𗘌 𗘍 𗘎 𗘏 𗘐 𗘑 𗘒 𗘓 𗘔 𗘕 𗘖 𗘗 𗘘 𗘙 𗘚 𗘛 𗘜 𗘝 𗘞 𗘟 𗘠 𗘡 𗘢 𗘣 𗘤 𗘥 𗘦 𗘧 𗘨 𗘩 𗘪 𗘫 𗘬 𗘭 𗘮 𗘯 𗘰 𗘱 𗘲 𗘳 𗘴 𗘵 𗘶 𗘷 𗘸 𗘹 𗘺 𗘻 𗘼 𗘽 𗘾 𗘿 𗙀 𗙁 𗙂 𗙃 𗙄 𗙅 𗙆 𗙇 𗙈 𗙉 𗙊 𗙋 𗙌 𗙍 𗙎 𗙏 𗙐 𗙑 𗙒 𗙓 𗙔 𗙕 𗙖 𗙗 𗙘 𗙙 𗙚 𗙛 𗙜 𗙝 𗙞 𗙟 𗙠 𗙡 𗙢 𗙣 𗙤 𗙥 𗙦 𗙧 𗙨 𗙩 𗙪 𗙫 𗙬 𗙭 𗙮 𗙯 𗙰 𗙱 𗙲 𗙳 𗙴 𗙵 𗙶 𗙷 𗙸 𗙹 𗙺 𗙻 𗙼 𗙽 𗙾 𗙿 𗚀 𗚁 𗚂 𗚃 𗚄 𗚅 𗚆 𗚇 𗚈 𗚉 𗚊 𗚋 𗚌 𗚍 𗚎 𗚏 𗚐 𗚑 𗚒 𗚓 𗚔 𗚕 𗚖 𗚗 𗚘 𗚙 𗚚 𗚛 𗚜 𗚝 𗚞 𗚟 𗚠 𗚡 𗚢 𗚣 𗚤 𗚥 𗚦 𗚧 𗚨 𗚩 𗚪 𗚫 𗚬 𗚭 𗚮 𗚯 𗚰 𗚱 𗚲 𗚳 𗚴 𗚵 𗚶 𗚷 𗚸 𗚹 𗚺 𗚻 𗚼 𗚽 𗚾 𗚿 𗛀 𗛁 𗛂 𗛃 𗛄 𗛅 𗛆 𗛇 𗛈 𗛉 𗛊 𗛋 𗛌 𗛍 𗛎 𗛏 𗛐 𗛑 𗛒 𗛓 𗛔 𗛕 𗛖 𗛗 𗛘 𗛙 𗛚 𗛛 𗛜 𗛝 𗛞 𗛟 𗛠 𗛡 𗛢 𗛣 𗛤 𗛥 𗛦 𗛧 𗛨 𗛩 𗛪 𗛫 𗛬 𗛭 𗛮 𗛯 𗛰 𗛱 𗛲 𗛳 𗛴 𗛵 𗛶 𗛷 𗛸 𗛹 𗛺 𗛻 𗛼 𗛽 𗛾 𗛿</t>
        </is>
      </c>
      <c r="Q441" s="38" t="inlineStr">
        <is>
          <t>𗘀 𗘁 𗘂 𗘃 𗘄 𗘅 𗘆 𗘇 𗘈 𗘉 𗘊 𗘋 𗘌 𗘍 𗘎 𗘏 𗘐 𗘑 𗘒 𗘓 𗘔 𗘕 𗘖 𗘗 𗘘 𗘙 𗘚 𗘛 𗘜 𗘝 𗘞 𗘟 𗘠 𗘡 𗘢 𗘣 𗘤 𗘥 𗘦 𗘧 𗘨 𗘩 𗘪 𗘫 𗘬 𗘭 𗘮 𗘯 𗘰 𗘱 𗘲 𗘳 𗘴 𗘵 𗘶 𗘷 𗘸 𗘹 𗘺 𗘻 𗘼 𗘽 𗘾 𗘿 𗙀 𗙁 𗙂 𗙃 𗙄 𗙅 𗙆 𗙇 𗙈 𗙉 𗙊 𗙋 𗙌 𗙍 𗙎 𗙏 𗙐 𗙑 𗙒 𗙓 𗙔 𗙕 𗙖 𗙗 𗙘 𗙙 𗙚 𗙛 𗙜 𗙝 𗙞 𗙟 𗙠 𗙡 𗙢 𗙣 𗙤 𗙥 𗙦 𗙧 𗙨 𗙩 𗙪 𗙫 𗙬 𗙭 𗙮 𗙯 𗙰 𗙱 𗙲 𗙳 𗙴 𗙵 𗙶 𗙷 𗙸 𗙹 𗙺 𗙻 𗙼 𗙽 𗙾 𗙿 𗚀 𗚁 𗚂 𗚃 𗚄 𗚅 𗚆 𗚇 𗚈 𗚉 𗚊 𗚋 𗚌 𗚍 𗚎 𗚏 𗚐 𗚑 𗚒 𗚓 𗚔 𗚕 𗚖 𗚗 𗚘 𗚙 𗚚 𗚛 𗚜 𗚝 𗚞 𗚟 𗚠 𗚡 𗚢 𗚣 𗚤 𗚥 𗚦 𗚧 𗚨 𗚩 𗚪 𗚫 𗚬 𗚭 𗚮 𗚯 𗚰 𗚱 𗚲 𗚳 𗚴 𗚵 𗚶 𗚷 𗚸 𗚹 𗚺 𗚻 𗚼 𗚽 𗚾 𗚿 𗛀 𗛁 𗛂 𗛃 𗛄 𗛅 𗛆 𗛇 𗛈 𗛉 𗛊 𗛋 𗛌 𗛍 𗛎 𗛏 𗛐 𗛑 𗛒 𗛓 𗛔 𗛕 𗛖 𗛗 𗛘 𗛙 𗛚 𗛛 𗛜 𗛝 𗛞 𗛟 𗛠 𗛡 𗛢 𗛣 𗛤 𗛥 𗛦 𗛧 𗛨 𗛩 𗛪 𗛫 𗛬 𗛭 𗛮 𗛯 𗛰 𗛱 𗛲 𗛳 𗛴 𗛵 𗛶 𗛷 𗛸 𗛹 𗛺 𗛻 𗛼 𗛽 𗛾 𗛿</t>
        </is>
      </c>
      <c r="R441" s="43" t="inlineStr"/>
      <c r="S441" s="40" t="n"/>
      <c r="V441" s="14">
        <f>(LEN(O441)+1)/2</f>
        <v/>
      </c>
      <c r="W441" s="14">
        <f>ROUNDDOWN((LEN(P441)+1)/2,0)</f>
        <v/>
      </c>
      <c r="X441" s="14">
        <f>ROUNDDOWN((LEN(Q441)+1)/2,0)</f>
        <v/>
      </c>
      <c r="Y441" s="14">
        <f>ROUNDDOWN((LEN(R441)+1)/2,0)</f>
        <v/>
      </c>
      <c r="Z441" s="14">
        <f>ROUNDDOWN((LEN(S441)+1)/2,0)</f>
        <v/>
      </c>
      <c r="AA441" s="56" t="n">
        <v>46150.55866587313</v>
      </c>
    </row>
    <row r="442" ht="102" customHeight="1">
      <c r="B442" s="46" t="inlineStr">
        <is>
          <t>U+17700-U+177FF</t>
        </is>
      </c>
      <c r="C442" s="46" t="inlineStr">
        <is>
          <t>Tangut</t>
        </is>
      </c>
      <c r="D442" s="54">
        <f>HEX2DEC(MID(B442,3,FIND("-",E442)-3))</f>
        <v/>
      </c>
      <c r="E442" s="46" t="inlineStr">
        <is>
          <t>U+17000-U+187FF</t>
        </is>
      </c>
      <c r="F442" s="12" t="n">
        <v>4</v>
      </c>
      <c r="J442" s="19">
        <f>ROUNDDOWN(W442,0)/$V442</f>
        <v/>
      </c>
      <c r="K442" s="19">
        <f>ROUNDDOWN(X442,0)/$V442</f>
        <v/>
      </c>
      <c r="L442" s="19">
        <f>ROUNDDOWN(Y442,0)/$V442</f>
        <v/>
      </c>
      <c r="M442" s="19">
        <f>ROUNDDOWN(Z442,0)/$V442</f>
        <v/>
      </c>
      <c r="O442" s="36" t="inlineStr">
        <is>
          <t>𗜀 𗜁 𗜂 𗜃 𗜄 𗜅 𗜆 𗜇 𗜈 𗜉 𗜊 𗜋 𗜌 𗜍 𗜎 𗜏 𗜐 𗜑 𗜒 𗜓 𗜔 𗜕 𗜖 𗜗 𗜘 𗜙 𗜚 𗜛 𗜜 𗜝 𗜞 𗜟 𗜠 𗜡 𗜢 𗜣 𗜤 𗜥 𗜦 𗜧 𗜨 𗜩 𗜪 𗜫 𗜬 𗜭 𗜮 𗜯 𗜰 𗜱 𗜲 𗜳 𗜴 𗜵 𗜶 𗜷 𗜸 𗜹 𗜺 𗜻 𗜼 𗜽 𗜾 𗜿 𗝀 𗝁 𗝂 𗝃 𗝄 𗝅 𗝆 𗝇 𗝈 𗝉 𗝊 𗝋 𗝌 𗝍 𗝎 𗝏 𗝐 𗝑 𗝒 𗝓 𗝔 𗝕 𗝖 𗝗 𗝘 𗝙 𗝚 𗝛 𗝜 𗝝 𗝞 𗝟 𗝠 𗝡 𗝢 𗝣 𗝤 𗝥 𗝦 𗝧 𗝨 𗝩 𗝪 𗝫 𗝬 𗝭 𗝮 𗝯 𗝰 𗝱 𗝲 𗝳 𗝴 𗝵 𗝶 𗝷 𗝸 𗝹 𗝺 𗝻 𗝼 𗝽 𗝾 𗝿 𗞀 𗞁 𗞂 𗞃 𗞄 𗞅 𗞆 𗞇 𗞈 𗞉 𗞊 𗞋 𗞌 𗞍 𗞎 𗞏 𗞐 𗞑 𗞒 𗞓 𗞔 𗞕 𗞖 𗞗 𗞘 𗞙 𗞚 𗞛 𗞜 𗞝 𗞞 𗞟 𗞠 𗞡 𗞢 𗞣 𗞤 𗞥 𗞦 𗞧 𗞨 𗞩 𗞪 𗞫 𗞬 𗞭 𗞮 𗞯 𗞰 𗞱 𗞲 𗞳 𗞴 𗞵 𗞶 𗞷 𗞸 𗞹 𗞺 𗞻 𗞼 𗞽 𗞾 𗞿 𗟀 𗟁 𗟂 𗟃 𗟄 𗟅 𗟆 𗟇 𗟈 𗟉 𗟊 𗟋 𗟌 𗟍 𗟎 𗟏 𗟐 𗟑 𗟒 𗟓 𗟔 𗟕 𗟖 𗟗 𗟘 𗟙 𗟚 𗟛 𗟜 𗟝 𗟞 𗟟 𗟠 𗟡 𗟢 𗟣 𗟤 𗟥 𗟦 𗟧 𗟨 𗟩 𗟪 𗟫 𗟬 𗟭 𗟮 𗟯 𗟰 𗟱 𗟲 𗟳 𗟴 𗟵 𗟶 𗟷 𗟸 𗟹 𗟺 𗟻 𗟼 𗟽 𗟾 𗟿</t>
        </is>
      </c>
      <c r="P442" s="37" t="inlineStr">
        <is>
          <t>𗜀 𗜁 𗜂 𗜃 𗜄 𗜅 𗜆 𗜇 𗜈 𗜉 𗜊 𗜋 𗜌 𗜍 𗜎 𗜏 𗜐 𗜑 𗜒 𗜓 𗜔 𗜕 𗜖 𗜗 𗜘 𗜙 𗜚 𗜛 𗜜 𗜝 𗜞 𗜟 𗜠 𗜡 𗜢 𗜣 𗜤 𗜥 𗜦 𗜧 𗜨 𗜩 𗜪 𗜫 𗜬 𗜭 𗜮 𗜯 𗜰 𗜱 𗜲 𗜳 𗜴 𗜵 𗜶 𗜷 𗜸 𗜹 𗜺 𗜻 𗜼 𗜽 𗜾 𗜿 𗝀 𗝁 𗝂 𗝃 𗝄 𗝅 𗝆 𗝇 𗝈 𗝉 𗝊 𗝋 𗝌 𗝍 𗝎 𗝏 𗝐 𗝑 𗝒 𗝓 𗝔 𗝕 𗝖 𗝗 𗝘 𗝙 𗝚 𗝛 𗝜 𗝝 𗝞 𗝟 𗝠 𗝡 𗝢 𗝣 𗝤 𗝥 𗝦 𗝧 𗝨 𗝩 𗝪 𗝫 𗝬 𗝭 𗝮 𗝯 𗝰 𗝱 𗝲 𗝳 𗝴 𗝵 𗝶 𗝷 𗝸 𗝹 𗝺 𗝻 𗝼 𗝽 𗝾 𗝿 𗞀 𗞁 𗞂 𗞃 𗞄 𗞅 𗞆 𗞇 𗞈 𗞉 𗞊 𗞋 𗞌 𗞍 𗞎 𗞏 𗞐 𗞑 𗞒 𗞓 𗞔 𗞕 𗞖 𗞗 𗞘 𗞙 𗞚 𗞛 𗞜 𗞝 𗞞 𗞟 𗞠 𗞡 𗞢 𗞣 𗞤 𗞥 𗞦 𗞧 𗞨 𗞩 𗞪 𗞫 𗞬 𗞭 𗞮 𗞯 𗞰 𗞱 𗞲 𗞳 𗞴 𗞵 𗞶 𗞷 𗞸 𗞹 𗞺 𗞻 𗞼 𗞽 𗞾 𗞿 𗟀 𗟁 𗟂 𗟃 𗟄 𗟅 𗟆 𗟇 𗟈 𗟉 𗟊 𗟋 𗟌 𗟍 𗟎 𗟏 𗟐 𗟑 𗟒 𗟓 𗟔 𗟕 𗟖 𗟗 𗟘 𗟙 𗟚 𗟛 𗟜 𗟝 𗟞 𗟟 𗟠 𗟡 𗟢 𗟣 𗟤 𗟥 𗟦 𗟧 𗟨 𗟩 𗟪 𗟫 𗟬 𗟭 𗟮 𗟯 𗟰 𗟱 𗟲 𗟳 𗟴 𗟵 𗟶 𗟷 𗟸 𗟹 𗟺 𗟻 𗟼 𗟽 𗟾 𗟿</t>
        </is>
      </c>
      <c r="Q442" s="38" t="inlineStr">
        <is>
          <t>𗜀 𗜁 𗜂 𗜃 𗜄 𗜅 𗜆 𗜇 𗜈 𗜉 𗜊 𗜋 𗜌 𗜍 𗜎 𗜏 𗜐 𗜑 𗜒 𗜓 𗜔 𗜕 𗜖 𗜗 𗜘 𗜙 𗜚 𗜛 𗜜 𗜝 𗜞 𗜟 𗜠 𗜡 𗜢 𗜣 𗜤 𗜥 𗜦 𗜧 𗜨 𗜩 𗜪 𗜫 𗜬 𗜭 𗜮 𗜯 𗜰 𗜱 𗜲 𗜳 𗜴 𗜵 𗜶 𗜷 𗜸 𗜹 𗜺 𗜻 𗜼 𗜽 𗜾 𗜿 𗝀 𗝁 𗝂 𗝃 𗝄 𗝅 𗝆 𗝇 𗝈 𗝉 𗝊 𗝋 𗝌 𗝍 𗝎 𗝏 𗝐 𗝑 𗝒 𗝓 𗝔 𗝕 𗝖 𗝗 𗝘 𗝙 𗝚 𗝛 𗝜 𗝝 𗝞 𗝟 𗝠 𗝡 𗝢 𗝣 𗝤 𗝥 𗝦 𗝧 𗝨 𗝩 𗝪 𗝫 𗝬 𗝭 𗝮 𗝯 𗝰 𗝱 𗝲 𗝳 𗝴 𗝵 𗝶 𗝷 𗝸 𗝹 𗝺 𗝻 𗝼 𗝽 𗝾 𗝿 𗞀 𗞁 𗞂 𗞃 𗞄 𗞅 𗞆 𗞇 𗞈 𗞉 𗞊 𗞋 𗞌 𗞍 𗞎 𗞏 𗞐 𗞑 𗞒 𗞓 𗞔 𗞕 𗞖 𗞗 𗞘 𗞙 𗞚 𗞛 𗞜 𗞝 𗞞 𗞟 𗞠 𗞡 𗞢 𗞣 𗞤 𗞥 𗞦 𗞧 𗞨 𗞩 𗞪 𗞫 𗞬 𗞭 𗞮 𗞯 𗞰 𗞱 𗞲 𗞳 𗞴 𗞵 𗞶 𗞷 𗞸 𗞹 𗞺 𗞻 𗞼 𗞽 𗞾 𗞿 𗟀 𗟁 𗟂 𗟃 𗟄 𗟅 𗟆 𗟇 𗟈 𗟉 𗟊 𗟋 𗟌 𗟍 𗟎 𗟏 𗟐 𗟑 𗟒 𗟓 𗟔 𗟕 𗟖 𗟗 𗟘 𗟙 𗟚 𗟛 𗟜 𗟝 𗟞 𗟟 𗟠 𗟡 𗟢 𗟣 𗟤 𗟥 𗟦 𗟧 𗟨 𗟩 𗟪 𗟫 𗟬 𗟭 𗟮 𗟯 𗟰 𗟱 𗟲 𗟳 𗟴 𗟵 𗟶 𗟷 𗟸 𗟹 𗟺 𗟻 𗟼 𗟽 𗟾 𗟿</t>
        </is>
      </c>
      <c r="R442" s="43" t="inlineStr"/>
      <c r="S442" s="40" t="n"/>
      <c r="V442" s="14">
        <f>(LEN(O442)+1)/2</f>
        <v/>
      </c>
      <c r="W442" s="14">
        <f>ROUNDDOWN((LEN(P442)+1)/2,0)</f>
        <v/>
      </c>
      <c r="X442" s="14">
        <f>ROUNDDOWN((LEN(Q442)+1)/2,0)</f>
        <v/>
      </c>
      <c r="Y442" s="14">
        <f>ROUNDDOWN((LEN(R442)+1)/2,0)</f>
        <v/>
      </c>
      <c r="Z442" s="14">
        <f>ROUNDDOWN((LEN(S442)+1)/2,0)</f>
        <v/>
      </c>
      <c r="AA442" s="56" t="n">
        <v>46150.55866691049</v>
      </c>
    </row>
    <row r="443" ht="102" customHeight="1">
      <c r="B443" s="46" t="inlineStr">
        <is>
          <t>U+17800-U+178FF</t>
        </is>
      </c>
      <c r="C443" s="46" t="inlineStr">
        <is>
          <t>Tangut</t>
        </is>
      </c>
      <c r="D443" s="54">
        <f>HEX2DEC(MID(B443,3,FIND("-",E443)-3))</f>
        <v/>
      </c>
      <c r="E443" s="46" t="inlineStr">
        <is>
          <t>U+17000-U+187FF</t>
        </is>
      </c>
      <c r="F443" s="12" t="n">
        <v>4</v>
      </c>
      <c r="J443" s="19">
        <f>ROUNDDOWN(W443,0)/$V443</f>
        <v/>
      </c>
      <c r="K443" s="19">
        <f>ROUNDDOWN(X443,0)/$V443</f>
        <v/>
      </c>
      <c r="L443" s="19">
        <f>ROUNDDOWN(Y443,0)/$V443</f>
        <v/>
      </c>
      <c r="M443" s="19">
        <f>ROUNDDOWN(Z443,0)/$V443</f>
        <v/>
      </c>
      <c r="O443" s="36" t="inlineStr">
        <is>
          <t>𗠀 𗠁 𗠂 𗠃 𗠄 𗠅 𗠆 𗠇 𗠈 𗠉 𗠊 𗠋 𗠌 𗠍 𗠎 𗠏 𗠐 𗠑 𗠒 𗠓 𗠔 𗠕 𗠖 𗠗 𗠘 𗠙 𗠚 𗠛 𗠜 𗠝 𗠞 𗠟 𗠠 𗠡 𗠢 𗠣 𗠤 𗠥 𗠦 𗠧 𗠨 𗠩 𗠪 𗠫 𗠬 𗠭 𗠮 𗠯 𗠰 𗠱 𗠲 𗠳 𗠴 𗠵 𗠶 𗠷 𗠸 𗠹 𗠺 𗠻 𗠼 𗠽 𗠾 𗠿 𗡀 𗡁 𗡂 𗡃 𗡄 𗡅 𗡆 𗡇 𗡈 𗡉 𗡊 𗡋 𗡌 𗡍 𗡎 𗡏 𗡐 𗡑 𗡒 𗡓 𗡔 𗡕 𗡖 𗡗 𗡘 𗡙 𗡚 𗡛 𗡜 𗡝 𗡞 𗡟 𗡠 𗡡 𗡢 𗡣 𗡤 𗡥 𗡦 𗡧 𗡨 𗡩 𗡪 𗡫 𗡬 𗡭 𗡮 𗡯 𗡰 𗡱 𗡲 𗡳 𗡴 𗡵 𗡶 𗡷 𗡸 𗡹 𗡺 𗡻 𗡼 𗡽 𗡾 𗡿 𗢀 𗢁 𗢂 𗢃 𗢄 𗢅 𗢆 𗢇 𗢈 𗢉 𗢊 𗢋 𗢌 𗢍 𗢎 𗢏 𗢐 𗢑 𗢒 𗢓 𗢔 𗢕 𗢖 𗢗 𗢘 𗢙 𗢚 𗢛 𗢜 𗢝 𗢞 𗢟 𗢠 𗢡 𗢢 𗢣 𗢤 𗢥 𗢦 𗢧 𗢨 𗢩 𗢪 𗢫 𗢬 𗢭 𗢮 𗢯 𗢰 𗢱 𗢲 𗢳 𗢴 𗢵 𗢶 𗢷 𗢸 𗢹 𗢺 𗢻 𗢼 𗢽 𗢾 𗢿 𗣀 𗣁 𗣂 𗣃 𗣄 𗣅 𗣆 𗣇 𗣈 𗣉 𗣊 𗣋 𗣌 𗣍 𗣎 𗣏 𗣐 𗣑 𗣒 𗣓 𗣔 𗣕 𗣖 𗣗 𗣘 𗣙 𗣚 𗣛 𗣜 𗣝 𗣞 𗣟 𗣠 𗣡 𗣢 𗣣 𗣤 𗣥 𗣦 𗣧 𗣨 𗣩 𗣪 𗣫 𗣬 𗣭 𗣮 𗣯 𗣰 𗣱 𗣲 𗣳 𗣴 𗣵 𗣶 𗣷 𗣸 𗣹 𗣺 𗣻 𗣼 𗣽 𗣾 𗣿</t>
        </is>
      </c>
      <c r="P443" s="37" t="inlineStr">
        <is>
          <t>𗠀 𗠁 𗠂 𗠃 𗠄 𗠅 𗠆 𗠇 𗠈 𗠉 𗠊 𗠋 𗠌 𗠍 𗠎 𗠏 𗠐 𗠑 𗠒 𗠓 𗠔 𗠕 𗠖 𗠗 𗠘 𗠙 𗠚 𗠛 𗠜 𗠝 𗠞 𗠟 𗠠 𗠡 𗠢 𗠣 𗠤 𗠥 𗠦 𗠧 𗠨 𗠩 𗠪 𗠫 𗠬 𗠭 𗠮 𗠯 𗠰 𗠱 𗠲 𗠳 𗠴 𗠵 𗠶 𗠷 𗠸 𗠹 𗠺 𗠻 𗠼 𗠽 𗠾 𗠿 𗡀 𗡁 𗡂 𗡃 𗡄 𗡅 𗡆 𗡇 𗡈 𗡉 𗡊 𗡋 𗡌 𗡍 𗡎 𗡏 𗡐 𗡑 𗡒 𗡓 𗡔 𗡕 𗡖 𗡗 𗡘 𗡙 𗡚 𗡛 𗡜 𗡝 𗡞 𗡟 𗡠 𗡡 𗡢 𗡣 𗡤 𗡥 𗡦 𗡧 𗡨 𗡩 𗡪 𗡫 𗡬 𗡭 𗡮 𗡯 𗡰 𗡱 𗡲 𗡳 𗡴 𗡵 𗡶 𗡷 𗡸 𗡹 𗡺 𗡻 𗡼 𗡽 𗡾 𗡿 𗢀 𗢁 𗢂 𗢃 𗢄 𗢅 𗢆 𗢇 𗢈 𗢉 𗢊 𗢋 𗢌 𗢍 𗢎 𗢏 𗢐 𗢑 𗢒 𗢓 𗢔 𗢕 𗢖 𗢗 𗢘 𗢙 𗢚 𗢛 𗢜 𗢝 𗢞 𗢟 𗢠 𗢡 𗢢 𗢣 𗢤 𗢥 𗢦 𗢧 𗢨 𗢩 𗢪 𗢫 𗢬 𗢭 𗢮 𗢯 𗢰 𗢱 𗢲 𗢳 𗢴 𗢵 𗢶 𗢷 𗢸 𗢹 𗢺 𗢻 𗢼 𗢽 𗢾 𗢿 𗣀 𗣁 𗣂 𗣃 𗣄 𗣅 𗣆 𗣇 𗣈 𗣉 𗣊 𗣋 𗣌 𗣍 𗣎 𗣏 𗣐 𗣑 𗣒 𗣓 𗣔 𗣕 𗣖 𗣗 𗣘 𗣙 𗣚 𗣛 𗣜 𗣝 𗣞 𗣟 𗣠 𗣡 𗣢 𗣣 𗣤 𗣥 𗣦 𗣧 𗣨 𗣩 𗣪 𗣫 𗣬 𗣭 𗣮 𗣯 𗣰 𗣱 𗣲 𗣳 𗣴 𗣵 𗣶 𗣷 𗣸 𗣹 𗣺 𗣻 𗣼 𗣽 𗣾 𗣿</t>
        </is>
      </c>
      <c r="Q443" s="38" t="inlineStr">
        <is>
          <t>𗠀 𗠁 𗠂 𗠃 𗠄 𗠅 𗠆 𗠇 𗠈 𗠉 𗠊 𗠋 𗠌 𗠍 𗠎 𗠏 𗠐 𗠑 𗠒 𗠓 𗠔 𗠕 𗠖 𗠗 𗠘 𗠙 𗠚 𗠛 𗠜 𗠝 𗠞 𗠟 𗠠 𗠡 𗠢 𗠣 𗠤 𗠥 𗠦 𗠧 𗠨 𗠩 𗠪 𗠫 𗠬 𗠭 𗠮 𗠯 𗠰 𗠱 𗠲 𗠳 𗠴 𗠵 𗠶 𗠷 𗠸 𗠹 𗠺 𗠻 𗠼 𗠽 𗠾 𗠿 𗡀 𗡁 𗡂 𗡃 𗡄 𗡅 𗡆 𗡇 𗡈 𗡉 𗡊 𗡋 𗡌 𗡍 𗡎 𗡏 𗡐 𗡑 𗡒 𗡓 𗡔 𗡕 𗡖 𗡗 𗡘 𗡙 𗡚 𗡛 𗡜 𗡝 𗡞 𗡟 𗡠 𗡡 𗡢 𗡣 𗡤 𗡥 𗡦 𗡧 𗡨 𗡩 𗡪 𗡫 𗡬 𗡭 𗡮 𗡯 𗡰 𗡱 𗡲 𗡳 𗡴 𗡵 𗡶 𗡷 𗡸 𗡹 𗡺 𗡻 𗡼 𗡽 𗡾 𗡿 𗢀 𗢁 𗢂 𗢃 𗢄 𗢅 𗢆 𗢇 𗢈 𗢉 𗢊 𗢋 𗢌 𗢍 𗢎 𗢏 𗢐 𗢑 𗢒 𗢓 𗢔 𗢕 𗢖 𗢗 𗢘 𗢙 𗢚 𗢛 𗢜 𗢝 𗢞 𗢟 𗢠 𗢡 𗢢 𗢣 𗢤 𗢥 𗢦 𗢧 𗢨 𗢩 𗢪 𗢫 𗢬 𗢭 𗢮 𗢯 𗢰 𗢱 𗢲 𗢳 𗢴 𗢵 𗢶 𗢷 𗢸 𗢹 𗢺 𗢻 𗢼 𗢽 𗢾 𗢿 𗣀 𗣁 𗣂 𗣃 𗣄 𗣅 𗣆 𗣇 𗣈 𗣉 𗣊 𗣋 𗣌 𗣍 𗣎 𗣏 𗣐 𗣑 𗣒 𗣓 𗣔 𗣕 𗣖 𗣗 𗣘 𗣙 𗣚 𗣛 𗣜 𗣝 𗣞 𗣟 𗣠 𗣡 𗣢 𗣣 𗣤 𗣥 𗣦 𗣧 𗣨 𗣩 𗣪 𗣫 𗣬 𗣭 𗣮 𗣯 𗣰 𗣱 𗣲 𗣳 𗣴 𗣵 𗣶 𗣷 𗣸 𗣹 𗣺 𗣻 𗣼 𗣽 𗣾 𗣿</t>
        </is>
      </c>
      <c r="R443" s="43" t="inlineStr"/>
      <c r="S443" s="40" t="n"/>
      <c r="V443" s="14">
        <f>(LEN(O443)+1)/2</f>
        <v/>
      </c>
      <c r="W443" s="14">
        <f>ROUNDDOWN((LEN(P443)+1)/2,0)</f>
        <v/>
      </c>
      <c r="X443" s="14">
        <f>ROUNDDOWN((LEN(Q443)+1)/2,0)</f>
        <v/>
      </c>
      <c r="Y443" s="14">
        <f>ROUNDDOWN((LEN(R443)+1)/2,0)</f>
        <v/>
      </c>
      <c r="Z443" s="14">
        <f>ROUNDDOWN((LEN(S443)+1)/2,0)</f>
        <v/>
      </c>
      <c r="AA443" s="56" t="n">
        <v>46150.55866794504</v>
      </c>
    </row>
    <row r="444" ht="102" customHeight="1">
      <c r="B444" s="46" t="inlineStr">
        <is>
          <t>U+17900-U+179FF</t>
        </is>
      </c>
      <c r="C444" s="46" t="inlineStr">
        <is>
          <t>Tangut</t>
        </is>
      </c>
      <c r="D444" s="54">
        <f>HEX2DEC(MID(B444,3,FIND("-",E444)-3))</f>
        <v/>
      </c>
      <c r="E444" s="46" t="inlineStr">
        <is>
          <t>U+17000-U+187FF</t>
        </is>
      </c>
      <c r="F444" s="12" t="n">
        <v>4</v>
      </c>
      <c r="J444" s="19">
        <f>ROUNDDOWN(W444,0)/$V444</f>
        <v/>
      </c>
      <c r="K444" s="19">
        <f>ROUNDDOWN(X444,0)/$V444</f>
        <v/>
      </c>
      <c r="L444" s="19">
        <f>ROUNDDOWN(Y444,0)/$V444</f>
        <v/>
      </c>
      <c r="M444" s="19">
        <f>ROUNDDOWN(Z444,0)/$V444</f>
        <v/>
      </c>
      <c r="O444" s="36" t="inlineStr">
        <is>
          <t>𗤀 𗤁 𗤂 𗤃 𗤄 𗤅 𗤆 𗤇 𗤈 𗤉 𗤊 𗤋 𗤌 𗤍 𗤎 𗤏 𗤐 𗤑 𗤒 𗤓 𗤔 𗤕 𗤖 𗤗 𗤘 𗤙 𗤚 𗤛 𗤜 𗤝 𗤞 𗤟 𗤠 𗤡 𗤢 𗤣 𗤤 𗤥 𗤦 𗤧 𗤨 𗤩 𗤪 𗤫 𗤬 𗤭 𗤮 𗤯 𗤰 𗤱 𗤲 𗤳 𗤴 𗤵 𗤶 𗤷 𗤸 𗤹 𗤺 𗤻 𗤼 𗤽 𗤾 𗤿 𗥀 𗥁 𗥂 𗥃 𗥄 𗥅 𗥆 𗥇 𗥈 𗥉 𗥊 𗥋 𗥌 𗥍 𗥎 𗥏 𗥐 𗥑 𗥒 𗥓 𗥔 𗥕 𗥖 𗥗 𗥘 𗥙 𗥚 𗥛 𗥜 𗥝 𗥞 𗥟 𗥠 𗥡 𗥢 𗥣 𗥤 𗥥 𗥦 𗥧 𗥨 𗥩 𗥪 𗥫 𗥬 𗥭 𗥮 𗥯 𗥰 𗥱 𗥲 𗥳 𗥴 𗥵 𗥶 𗥷 𗥸 𗥹 𗥺 𗥻 𗥼 𗥽 𗥾 𗥿 𗦀 𗦁 𗦂 𗦃 𗦄 𗦅 𗦆 𗦇 𗦈 𗦉 𗦊 𗦋 𗦌 𗦍 𗦎 𗦏 𗦐 𗦑 𗦒 𗦓 𗦔 𗦕 𗦖 𗦗 𗦘 𗦙 𗦚 𗦛 𗦜 𗦝 𗦞 𗦟 𗦠 𗦡 𗦢 𗦣 𗦤 𗦥 𗦦 𗦧 𗦨 𗦩 𗦪 𗦫 𗦬 𗦭 𗦮 𗦯 𗦰 𗦱 𗦲 𗦳 𗦴 𗦵 𗦶 𗦷 𗦸 𗦹 𗦺 𗦻 𗦼 𗦽 𗦾 𗦿 𗧀 𗧁 𗧂 𗧃 𗧄 𗧅 𗧆 𗧇 𗧈 𗧉 𗧊 𗧋 𗧌 𗧍 𗧎 𗧏 𗧐 𗧑 𗧒 𗧓 𗧔 𗧕 𗧖 𗧗 𗧘 𗧙 𗧚 𗧛 𗧜 𗧝 𗧞 𗧟 𗧠 𗧡 𗧢 𗧣 𗧤 𗧥 𗧦 𗧧 𗧨 𗧩 𗧪 𗧫 𗧬 𗧭 𗧮 𗧯 𗧰 𗧱 𗧲 𗧳 𗧴 𗧵 𗧶 𗧷 𗧸 𗧹 𗧺 𗧻 𗧼 𗧽 𗧾 𗧿</t>
        </is>
      </c>
      <c r="P444" s="37" t="inlineStr">
        <is>
          <t>𗤀 𗤁 𗤂 𗤃 𗤄 𗤅 𗤆 𗤇 𗤈 𗤉 𗤊 𗤋 𗤌 𗤍 𗤎 𗤏 𗤐 𗤑 𗤒 𗤓 𗤔 𗤕 𗤖 𗤗 𗤘 𗤙 𗤚 𗤛 𗤜 𗤝 𗤞 𗤟 𗤠 𗤡 𗤢 𗤣 𗤤 𗤥 𗤦 𗤧 𗤨 𗤩 𗤪 𗤫 𗤬 𗤭 𗤮 𗤯 𗤰 𗤱 𗤲 𗤳 𗤴 𗤵 𗤶 𗤷 𗤸 𗤹 𗤺 𗤻 𗤼 𗤽 𗤾 𗤿 𗥀 𗥁 𗥂 𗥃 𗥄 𗥅 𗥆 𗥇 𗥈 𗥉 𗥊 𗥋 𗥌 𗥍 𗥎 𗥏 𗥐 𗥑 𗥒 𗥓 𗥔 𗥕 𗥖 𗥗 𗥘 𗥙 𗥚 𗥛 𗥜 𗥝 𗥞 𗥟 𗥠 𗥡 𗥢 𗥣 𗥤 𗥥 𗥦 𗥧 𗥨 𗥩 𗥪 𗥫 𗥬 𗥭 𗥮 𗥯 𗥰 𗥱 𗥲 𗥳 𗥴 𗥵 𗥶 𗥷 𗥸 𗥹 𗥺 𗥻 𗥼 𗥽 𗥾 𗥿 𗦀 𗦁 𗦂 𗦃 𗦄 𗦅 𗦆 𗦇 𗦈 𗦉 𗦊 𗦋 𗦌 𗦍 𗦎 𗦏 𗦐 𗦑 𗦒 𗦓 𗦔 𗦕 𗦖 𗦗 𗦘 𗦙 𗦚 𗦛 𗦜 𗦝 𗦞 𗦟 𗦠 𗦡 𗦢 𗦣 𗦤 𗦥 𗦦 𗦧 𗦨 𗦩 𗦪 𗦫 𗦬 𗦭 𗦮 𗦯 𗦰 𗦱 𗦲 𗦳 𗦴 𗦵 𗦶 𗦷 𗦸 𗦹 𗦺 𗦻 𗦼 𗦽 𗦾 𗦿 𗧀 𗧁 𗧂 𗧃 𗧄 𗧅 𗧆 𗧇 𗧈 𗧉 𗧊 𗧋 𗧌 𗧍 𗧎 𗧏 𗧐 𗧑 𗧒 𗧓 𗧔 𗧕 𗧖 𗧗 𗧘 𗧙 𗧚 𗧛 𗧜 𗧝 𗧞 𗧟 𗧠 𗧡 𗧢 𗧣 𗧤 𗧥 𗧦 𗧧 𗧨 𗧩 𗧪 𗧫 𗧬 𗧭 𗧮 𗧯 𗧰 𗧱 𗧲 𗧳 𗧴 𗧵 𗧶 𗧷 𗧸 𗧹 𗧺 𗧻 𗧼 𗧽 𗧾 𗧿</t>
        </is>
      </c>
      <c r="Q444" s="38" t="inlineStr">
        <is>
          <t>𗤀 𗤁 𗤂 𗤃 𗤄 𗤅 𗤆 𗤇 𗤈 𗤉 𗤊 𗤋 𗤌 𗤍 𗤎 𗤏 𗤐 𗤑 𗤒 𗤓 𗤔 𗤕 𗤖 𗤗 𗤘 𗤙 𗤚 𗤛 𗤜 𗤝 𗤞 𗤟 𗤠 𗤡 𗤢 𗤣 𗤤 𗤥 𗤦 𗤧 𗤨 𗤩 𗤪 𗤫 𗤬 𗤭 𗤮 𗤯 𗤰 𗤱 𗤲 𗤳 𗤴 𗤵 𗤶 𗤷 𗤸 𗤹 𗤺 𗤻 𗤼 𗤽 𗤾 𗤿 𗥀 𗥁 𗥂 𗥃 𗥄 𗥅 𗥆 𗥇 𗥈 𗥉 𗥊 𗥋 𗥌 𗥍 𗥎 𗥏 𗥐 𗥑 𗥒 𗥓 𗥔 𗥕 𗥖 𗥗 𗥘 𗥙 𗥚 𗥛 𗥜 𗥝 𗥞 𗥟 𗥠 𗥡 𗥢 𗥣 𗥤 𗥥 𗥦 𗥧 𗥨 𗥩 𗥪 𗥫 𗥬 𗥭 𗥮 𗥯 𗥰 𗥱 𗥲 𗥳 𗥴 𗥵 𗥶 𗥷 𗥸 𗥹 𗥺 𗥻 𗥼 𗥽 𗥾 𗥿 𗦀 𗦁 𗦂 𗦃 𗦄 𗦅 𗦆 𗦇 𗦈 𗦉 𗦊 𗦋 𗦌 𗦍 𗦎 𗦏 𗦐 𗦑 𗦒 𗦓 𗦔 𗦕 𗦖 𗦗 𗦘 𗦙 𗦚 𗦛 𗦜 𗦝 𗦞 𗦟 𗦠 𗦡 𗦢 𗦣 𗦤 𗦥 𗦦 𗦧 𗦨 𗦩 𗦪 𗦫 𗦬 𗦭 𗦮 𗦯 𗦰 𗦱 𗦲 𗦳 𗦴 𗦵 𗦶 𗦷 𗦸 𗦹 𗦺 𗦻 𗦼 𗦽 𗦾 𗦿 𗧀 𗧁 𗧂 𗧃 𗧄 𗧅 𗧆 𗧇 𗧈 𗧉 𗧊 𗧋 𗧌 𗧍 𗧎 𗧏 𗧐 𗧑 𗧒 𗧓 𗧔 𗧕 𗧖 𗧗 𗧘 𗧙 𗧚 𗧛 𗧜 𗧝 𗧞 𗧟 𗧠 𗧡 𗧢 𗧣 𗧤 𗧥 𗧦 𗧧 𗧨 𗧩 𗧪 𗧫 𗧬 𗧭 𗧮 𗧯 𗧰 𗧱 𗧲 𗧳 𗧴 𗧵 𗧶 𗧷 𗧸 𗧹 𗧺 𗧻 𗧼 𗧽 𗧾 𗧿</t>
        </is>
      </c>
      <c r="R444" s="43" t="inlineStr"/>
      <c r="S444" s="40" t="n"/>
      <c r="V444" s="14">
        <f>(LEN(O444)+1)/2</f>
        <v/>
      </c>
      <c r="W444" s="14">
        <f>ROUNDDOWN((LEN(P444)+1)/2,0)</f>
        <v/>
      </c>
      <c r="X444" s="14">
        <f>ROUNDDOWN((LEN(Q444)+1)/2,0)</f>
        <v/>
      </c>
      <c r="Y444" s="14">
        <f>ROUNDDOWN((LEN(R444)+1)/2,0)</f>
        <v/>
      </c>
      <c r="Z444" s="14">
        <f>ROUNDDOWN((LEN(S444)+1)/2,0)</f>
        <v/>
      </c>
      <c r="AA444" s="56" t="n">
        <v>46150.55866897856</v>
      </c>
    </row>
    <row r="445" ht="102" customHeight="1">
      <c r="B445" s="46" t="inlineStr">
        <is>
          <t>U+17A00-U+17AFF</t>
        </is>
      </c>
      <c r="C445" s="46" t="inlineStr">
        <is>
          <t>Tangut</t>
        </is>
      </c>
      <c r="D445" s="54">
        <f>HEX2DEC(MID(B445,3,FIND("-",E445)-3))</f>
        <v/>
      </c>
      <c r="E445" s="46" t="inlineStr">
        <is>
          <t>U+17000-U+187FF</t>
        </is>
      </c>
      <c r="F445" s="12" t="n">
        <v>4</v>
      </c>
      <c r="J445" s="19">
        <f>ROUNDDOWN(W445,0)/$V445</f>
        <v/>
      </c>
      <c r="K445" s="19">
        <f>ROUNDDOWN(X445,0)/$V445</f>
        <v/>
      </c>
      <c r="L445" s="19">
        <f>ROUNDDOWN(Y445,0)/$V445</f>
        <v/>
      </c>
      <c r="M445" s="19">
        <f>ROUNDDOWN(Z445,0)/$V445</f>
        <v/>
      </c>
      <c r="O445" s="36" t="inlineStr">
        <is>
          <t>𗨀 𗨁 𗨂 𗨃 𗨄 𗨅 𗨆 𗨇 𗨈 𗨉 𗨊 𗨋 𗨌 𗨍 𗨎 𗨏 𗨐 𗨑 𗨒 𗨓 𗨔 𗨕 𗨖 𗨗 𗨘 𗨙 𗨚 𗨛 𗨜 𗨝 𗨞 𗨟 𗨠 𗨡 𗨢 𗨣 𗨤 𗨥 𗨦 𗨧 𗨨 𗨩 𗨪 𗨫 𗨬 𗨭 𗨮 𗨯 𗨰 𗨱 𗨲 𗨳 𗨴 𗨵 𗨶 𗨷 𗨸 𗨹 𗨺 𗨻 𗨼 𗨽 𗨾 𗨿 𗩀 𗩁 𗩂 𗩃 𗩄 𗩅 𗩆 𗩇 𗩈 𗩉 𗩊 𗩋 𗩌 𗩍 𗩎 𗩏 𗩐 𗩑 𗩒 𗩓 𗩔 𗩕 𗩖 𗩗 𗩘 𗩙 𗩚 𗩛 𗩜 𗩝 𗩞 𗩟 𗩠 𗩡 𗩢 𗩣 𗩤 𗩥 𗩦 𗩧 𗩨 𗩩 𗩪 𗩫 𗩬 𗩭 𗩮 𗩯 𗩰 𗩱 𗩲 𗩳 𗩴 𗩵 𗩶 𗩷 𗩸 𗩹 𗩺 𗩻 𗩼 𗩽 𗩾 𗩿 𗪀 𗪁 𗪂 𗪃 𗪄 𗪅 𗪆 𗪇 𗪈 𗪉 𗪊 𗪋 𗪌 𗪍 𗪎 𗪏 𗪐 𗪑 𗪒 𗪓 𗪔 𗪕 𗪖 𗪗 𗪘 𗪙 𗪚 𗪛 𗪜 𗪝 𗪞 𗪟 𗪠 𗪡 𗪢 𗪣 𗪤 𗪥 𗪦 𗪧 𗪨 𗪩 𗪪 𗪫 𗪬 𗪭 𗪮 𗪯 𗪰 𗪱 𗪲 𗪳 𗪴 𗪵 𗪶 𗪷 𗪸 𗪹 𗪺 𗪻 𗪼 𗪽 𗪾 𗪿 𗫀 𗫁 𗫂 𗫃 𗫄 𗫅 𗫆 𗫇 𗫈 𗫉 𗫊 𗫋 𗫌 𗫍 𗫎 𗫏 𗫐 𗫑 𗫒 𗫓 𗫔 𗫕 𗫖 𗫗 𗫘 𗫙 𗫚 𗫛 𗫜 𗫝 𗫞 𗫟 𗫠 𗫡 𗫢 𗫣 𗫤 𗫥 𗫦 𗫧 𗫨 𗫩 𗫪 𗫫 𗫬 𗫭 𗫮 𗫯 𗫰 𗫱 𗫲 𗫳 𗫴 𗫵 𗫶 𗫷 𗫸 𗫹 𗫺 𗫻 𗫼 𗫽 𗫾 𗫿</t>
        </is>
      </c>
      <c r="P445" s="37" t="inlineStr">
        <is>
          <t>𗨀 𗨁 𗨂 𗨃 𗨄 𗨅 𗨆 𗨇 𗨈 𗨉 𗨊 𗨋 𗨌 𗨍 𗨎 𗨏 𗨐 𗨑 𗨒 𗨓 𗨔 𗨕 𗨖 𗨗 𗨘 𗨙 𗨚 𗨛 𗨜 𗨝 𗨞 𗨟 𗨠 𗨡 𗨢 𗨣 𗨤 𗨥 𗨦 𗨧 𗨨 𗨩 𗨪 𗨫 𗨬 𗨭 𗨮 𗨯 𗨰 𗨱 𗨲 𗨳 𗨴 𗨵 𗨶 𗨷 𗨸 𗨹 𗨺 𗨻 𗨼 𗨽 𗨾 𗨿 𗩀 𗩁 𗩂 𗩃 𗩄 𗩅 𗩆 𗩇 𗩈 𗩉 𗩊 𗩋 𗩌 𗩍 𗩎 𗩏 𗩐 𗩑 𗩒 𗩓 𗩔 𗩕 𗩖 𗩗 𗩘 𗩙 𗩚 𗩛 𗩜 𗩝 𗩞 𗩟 𗩠 𗩡 𗩢 𗩣 𗩤 𗩥 𗩦 𗩧 𗩨 𗩩 𗩪 𗩫 𗩬 𗩭 𗩮 𗩯 𗩰 𗩱 𗩲 𗩳 𗩴 𗩵 𗩶 𗩷 𗩸 𗩹 𗩺 𗩻 𗩼 𗩽 𗩾 𗩿 𗪀 𗪁 𗪂 𗪃 𗪄 𗪅 𗪆 𗪇 𗪈 𗪉 𗪊 𗪋 𗪌 𗪍 𗪎 𗪏 𗪐 𗪑 𗪒 𗪓 𗪔 𗪕 𗪖 𗪗 𗪘 𗪙 𗪚 𗪛 𗪜 𗪝 𗪞 𗪟 𗪠 𗪡 𗪢 𗪣 𗪤 𗪥 𗪦 𗪧 𗪨 𗪩 𗪪 𗪫 𗪬 𗪭 𗪮 𗪯 𗪰 𗪱 𗪲 𗪳 𗪴 𗪵 𗪶 𗪷 𗪸 𗪹 𗪺 𗪻 𗪼 𗪽 𗪾 𗪿 𗫀 𗫁 𗫂 𗫃 𗫄 𗫅 𗫆 𗫇 𗫈 𗫉 𗫊 𗫋 𗫌 𗫍 𗫎 𗫏 𗫐 𗫑 𗫒 𗫓 𗫔 𗫕 𗫖 𗫗 𗫘 𗫙 𗫚 𗫛 𗫜 𗫝 𗫞 𗫟 𗫠 𗫡 𗫢 𗫣 𗫤 𗫥 𗫦 𗫧 𗫨 𗫩 𗫪 𗫫 𗫬 𗫭 𗫮 𗫯 𗫰 𗫱 𗫲 𗫳 𗫴 𗫵 𗫶 𗫷 𗫸 𗫹 𗫺 𗫻 𗫼 𗫽 𗫾 𗫿</t>
        </is>
      </c>
      <c r="Q445" s="38" t="inlineStr">
        <is>
          <t>𗨀 𗨁 𗨂 𗨃 𗨄 𗨅 𗨆 𗨇 𗨈 𗨉 𗨊 𗨋 𗨌 𗨍 𗨎 𗨏 𗨐 𗨑 𗨒 𗨓 𗨔 𗨕 𗨖 𗨗 𗨘 𗨙 𗨚 𗨛 𗨜 𗨝 𗨞 𗨟 𗨠 𗨡 𗨢 𗨣 𗨤 𗨥 𗨦 𗨧 𗨨 𗨩 𗨪 𗨫 𗨬 𗨭 𗨮 𗨯 𗨰 𗨱 𗨲 𗨳 𗨴 𗨵 𗨶 𗨷 𗨸 𗨹 𗨺 𗨻 𗨼 𗨽 𗨾 𗨿 𗩀 𗩁 𗩂 𗩃 𗩄 𗩅 𗩆 𗩇 𗩈 𗩉 𗩊 𗩋 𗩌 𗩍 𗩎 𗩏 𗩐 𗩑 𗩒 𗩓 𗩔 𗩕 𗩖 𗩗 𗩘 𗩙 𗩚 𗩛 𗩜 𗩝 𗩞 𗩟 𗩠 𗩡 𗩢 𗩣 𗩤 𗩥 𗩦 𗩧 𗩨 𗩩 𗩪 𗩫 𗩬 𗩭 𗩮 𗩯 𗩰 𗩱 𗩲 𗩳 𗩴 𗩵 𗩶 𗩷 𗩸 𗩹 𗩺 𗩻 𗩼 𗩽 𗩾 𗩿 𗪀 𗪁 𗪂 𗪃 𗪄 𗪅 𗪆 𗪇 𗪈 𗪉 𗪊 𗪋 𗪌 𗪍 𗪎 𗪏 𗪐 𗪑 𗪒 𗪓 𗪔 𗪕 𗪖 𗪗 𗪘 𗪙 𗪚 𗪛 𗪜 𗪝 𗪞 𗪟 𗪠 𗪡 𗪢 𗪣 𗪤 𗪥 𗪦 𗪧 𗪨 𗪩 𗪪 𗪫 𗪬 𗪭 𗪮 𗪯 𗪰 𗪱 𗪲 𗪳 𗪴 𗪵 𗪶 𗪷 𗪸 𗪹 𗪺 𗪻 𗪼 𗪽 𗪾 𗪿 𗫀 𗫁 𗫂 𗫃 𗫄 𗫅 𗫆 𗫇 𗫈 𗫉 𗫊 𗫋 𗫌 𗫍 𗫎 𗫏 𗫐 𗫑 𗫒 𗫓 𗫔 𗫕 𗫖 𗫗 𗫘 𗫙 𗫚 𗫛 𗫜 𗫝 𗫞 𗫟 𗫠 𗫡 𗫢 𗫣 𗫤 𗫥 𗫦 𗫧 𗫨 𗫩 𗫪 𗫫 𗫬 𗫭 𗫮 𗫯 𗫰 𗫱 𗫲 𗫳 𗫴 𗫵 𗫶 𗫷 𗫸 𗫹 𗫺 𗫻 𗫼 𗫽 𗫾 𗫿</t>
        </is>
      </c>
      <c r="R445" s="43" t="inlineStr"/>
      <c r="S445" s="40" t="n"/>
      <c r="V445" s="14">
        <f>(LEN(O445)+1)/2</f>
        <v/>
      </c>
      <c r="W445" s="14">
        <f>ROUNDDOWN((LEN(P445)+1)/2,0)</f>
        <v/>
      </c>
      <c r="X445" s="14">
        <f>ROUNDDOWN((LEN(Q445)+1)/2,0)</f>
        <v/>
      </c>
      <c r="Y445" s="14">
        <f>ROUNDDOWN((LEN(R445)+1)/2,0)</f>
        <v/>
      </c>
      <c r="Z445" s="14">
        <f>ROUNDDOWN((LEN(S445)+1)/2,0)</f>
        <v/>
      </c>
      <c r="AA445" s="56" t="n">
        <v>46150.55867000997</v>
      </c>
    </row>
    <row r="446" ht="102" customHeight="1">
      <c r="B446" s="46" t="inlineStr">
        <is>
          <t>U+17B00-U+17BFF</t>
        </is>
      </c>
      <c r="C446" s="46" t="inlineStr">
        <is>
          <t>Tangut</t>
        </is>
      </c>
      <c r="D446" s="54">
        <f>HEX2DEC(MID(B446,3,FIND("-",E446)-3))</f>
        <v/>
      </c>
      <c r="E446" s="46" t="inlineStr">
        <is>
          <t>U+17000-U+187FF</t>
        </is>
      </c>
      <c r="F446" s="12" t="n">
        <v>4</v>
      </c>
      <c r="J446" s="19">
        <f>ROUNDDOWN(W446,0)/$V446</f>
        <v/>
      </c>
      <c r="K446" s="19">
        <f>ROUNDDOWN(X446,0)/$V446</f>
        <v/>
      </c>
      <c r="L446" s="19">
        <f>ROUNDDOWN(Y446,0)/$V446</f>
        <v/>
      </c>
      <c r="M446" s="19">
        <f>ROUNDDOWN(Z446,0)/$V446</f>
        <v/>
      </c>
      <c r="O446" s="36" t="inlineStr">
        <is>
          <t>𗬀 𗬁 𗬂 𗬃 𗬄 𗬅 𗬆 𗬇 𗬈 𗬉 𗬊 𗬋 𗬌 𗬍 𗬎 𗬏 𗬐 𗬑 𗬒 𗬓 𗬔 𗬕 𗬖 𗬗 𗬘 𗬙 𗬚 𗬛 𗬜 𗬝 𗬞 𗬟 𗬠 𗬡 𗬢 𗬣 𗬤 𗬥 𗬦 𗬧 𗬨 𗬩 𗬪 𗬫 𗬬 𗬭 𗬮 𗬯 𗬰 𗬱 𗬲 𗬳 𗬴 𗬵 𗬶 𗬷 𗬸 𗬹 𗬺 𗬻 𗬼 𗬽 𗬾 𗬿 𗭀 𗭁 𗭂 𗭃 𗭄 𗭅 𗭆 𗭇 𗭈 𗭉 𗭊 𗭋 𗭌 𗭍 𗭎 𗭏 𗭐 𗭑 𗭒 𗭓 𗭔 𗭕 𗭖 𗭗 𗭘 𗭙 𗭚 𗭛 𗭜 𗭝 𗭞 𗭟 𗭠 𗭡 𗭢 𗭣 𗭤 𗭥 𗭦 𗭧 𗭨 𗭩 𗭪 𗭫 𗭬 𗭭 𗭮 𗭯 𗭰 𗭱 𗭲 𗭳 𗭴 𗭵 𗭶 𗭷 𗭸 𗭹 𗭺 𗭻 𗭼 𗭽 𗭾 𗭿 𗮀 𗮁 𗮂 𗮃 𗮄 𗮅 𗮆 𗮇 𗮈 𗮉 𗮊 𗮋 𗮌 𗮍 𗮎 𗮏 𗮐 𗮑 𗮒 𗮓 𗮔 𗮕 𗮖 𗮗 𗮘 𗮙 𗮚 𗮛 𗮜 𗮝 𗮞 𗮟 𗮠 𗮡 𗮢 𗮣 𗮤 𗮥 𗮦 𗮧 𗮨 𗮩 𗮪 𗮫 𗮬 𗮭 𗮮 𗮯 𗮰 𗮱 𗮲 𗮳 𗮴 𗮵 𗮶 𗮷 𗮸 𗮹 𗮺 𗮻 𗮼 𗮽 𗮾 𗮿 𗯀 𗯁 𗯂 𗯃 𗯄 𗯅 𗯆 𗯇 𗯈 𗯉 𗯊 𗯋 𗯌 𗯍 𗯎 𗯏 𗯐 𗯑 𗯒 𗯓 𗯔 𗯕 𗯖 𗯗 𗯘 𗯙 𗯚 𗯛 𗯜 𗯝 𗯞 𗯟 𗯠 𗯡 𗯢 𗯣 𗯤 𗯥 𗯦 𗯧 𗯨 𗯩 𗯪 𗯫 𗯬 𗯭 𗯮 𗯯 𗯰 𗯱 𗯲 𗯳 𗯴 𗯵 𗯶 𗯷 𗯸 𗯹 𗯺 𗯻 𗯼 𗯽 𗯾 𗯿</t>
        </is>
      </c>
      <c r="P446" s="37" t="inlineStr">
        <is>
          <t>𗬀 𗬁 𗬂 𗬃 𗬄 𗬅 𗬆 𗬇 𗬈 𗬉 𗬊 𗬋 𗬌 𗬍 𗬎 𗬏 𗬐 𗬑 𗬒 𗬓 𗬔 𗬕 𗬖 𗬗 𗬘 𗬙 𗬚 𗬛 𗬜 𗬝 𗬞 𗬟 𗬠 𗬡 𗬢 𗬣 𗬤 𗬥 𗬦 𗬧 𗬨 𗬩 𗬪 𗬫 𗬬 𗬭 𗬮 𗬯 𗬰 𗬱 𗬲 𗬳 𗬴 𗬵 𗬶 𗬷 𗬸 𗬹 𗬺 𗬻 𗬼 𗬽 𗬾 𗬿 𗭀 𗭁 𗭂 𗭃 𗭄 𗭅 𗭆 𗭇 𗭈 𗭉 𗭊 𗭋 𗭌 𗭍 𗭎 𗭏 𗭐 𗭑 𗭒 𗭓 𗭔 𗭕 𗭖 𗭗 𗭘 𗭙 𗭚 𗭛 𗭜 𗭝 𗭞 𗭟 𗭠 𗭡 𗭢 𗭣 𗭤 𗭥 𗭦 𗭧 𗭨 𗭩 𗭪 𗭫 𗭬 𗭭 𗭮 𗭯 𗭰 𗭱 𗭲 𗭳 𗭴 𗭵 𗭶 𗭷 𗭸 𗭹 𗭺 𗭻 𗭼 𗭽 𗭾 𗭿 𗮀 𗮁 𗮂 𗮃 𗮄 𗮅 𗮆 𗮇 𗮈 𗮉 𗮊 𗮋 𗮌 𗮍 𗮎 𗮏 𗮐 𗮑 𗮒 𗮓 𗮔 𗮕 𗮖 𗮗 𗮘 𗮙 𗮚 𗮛 𗮜 𗮝 𗮞 𗮟 𗮠 𗮡 𗮢 𗮣 𗮤 𗮥 𗮦 𗮧 𗮨 𗮩 𗮪 𗮫 𗮬 𗮭 𗮮 𗮯 𗮰 𗮱 𗮲 𗮳 𗮴 𗮵 𗮶 𗮷 𗮸 𗮹 𗮺 𗮻 𗮼 𗮽 𗮾 𗮿 𗯀 𗯁 𗯂 𗯃 𗯄 𗯅 𗯆 𗯇 𗯈 𗯉 𗯊 𗯋 𗯌 𗯍 𗯎 𗯏 𗯐 𗯑 𗯒 𗯓 𗯔 𗯕 𗯖 𗯗 𗯘 𗯙 𗯚 𗯛 𗯜 𗯝 𗯞 𗯟 𗯠 𗯡 𗯢 𗯣 𗯤 𗯥 𗯦 𗯧 𗯨 𗯩 𗯪 𗯫 𗯬 𗯭 𗯮 𗯯 𗯰 𗯱 𗯲 𗯳 𗯴 𗯵 𗯶 𗯷 𗯸 𗯹 𗯺 𗯻 𗯼 𗯽 𗯾 𗯿</t>
        </is>
      </c>
      <c r="Q446" s="38" t="inlineStr">
        <is>
          <t>𗬀 𗬁 𗬂 𗬃 𗬄 𗬅 𗬆 𗬇 𗬈 𗬉 𗬊 𗬋 𗬌 𗬍 𗬎 𗬏 𗬐 𗬑 𗬒 𗬓 𗬔 𗬕 𗬖 𗬗 𗬘 𗬙 𗬚 𗬛 𗬜 𗬝 𗬞 𗬟 𗬠 𗬡 𗬢 𗬣 𗬤 𗬥 𗬦 𗬧 𗬨 𗬩 𗬪 𗬫 𗬬 𗬭 𗬮 𗬯 𗬰 𗬱 𗬲 𗬳 𗬴 𗬵 𗬶 𗬷 𗬸 𗬹 𗬺 𗬻 𗬼 𗬽 𗬾 𗬿 𗭀 𗭁 𗭂 𗭃 𗭄 𗭅 𗭆 𗭇 𗭈 𗭉 𗭊 𗭋 𗭌 𗭍 𗭎 𗭏 𗭐 𗭑 𗭒 𗭓 𗭔 𗭕 𗭖 𗭗 𗭘 𗭙 𗭚 𗭛 𗭜 𗭝 𗭞 𗭟 𗭠 𗭡 𗭢 𗭣 𗭤 𗭥 𗭦 𗭧 𗭨 𗭩 𗭪 𗭫 𗭬 𗭭 𗭮 𗭯 𗭰 𗭱 𗭲 𗭳 𗭴 𗭵 𗭶 𗭷 𗭸 𗭹 𗭺 𗭻 𗭼 𗭽 𗭾 𗭿 𗮀 𗮁 𗮂 𗮃 𗮄 𗮅 𗮆 𗮇 𗮈 𗮉 𗮊 𗮋 𗮌 𗮍 𗮎 𗮏 𗮐 𗮑 𗮒 𗮓 𗮔 𗮕 𗮖 𗮗 𗮘 𗮙 𗮚 𗮛 𗮜 𗮝 𗮞 𗮟 𗮠 𗮡 𗮢 𗮣 𗮤 𗮥 𗮦 𗮧 𗮨 𗮩 𗮪 𗮫 𗮬 𗮭 𗮮 𗮯 𗮰 𗮱 𗮲 𗮳 𗮴 𗮵 𗮶 𗮷 𗮸 𗮹 𗮺 𗮻 𗮼 𗮽 𗮾 𗮿 𗯀 𗯁 𗯂 𗯃 𗯄 𗯅 𗯆 𗯇 𗯈 𗯉 𗯊 𗯋 𗯌 𗯍 𗯎 𗯏 𗯐 𗯑 𗯒 𗯓 𗯔 𗯕 𗯖 𗯗 𗯘 𗯙 𗯚 𗯛 𗯜 𗯝 𗯞 𗯟 𗯠 𗯡 𗯢 𗯣 𗯤 𗯥 𗯦 𗯧 𗯨 𗯩 𗯪 𗯫 𗯬 𗯭 𗯮 𗯯 𗯰 𗯱 𗯲 𗯳 𗯴 𗯵 𗯶 𗯷 𗯸 𗯹 𗯺 𗯻 𗯼 𗯽 𗯾 𗯿</t>
        </is>
      </c>
      <c r="R446" s="43" t="inlineStr"/>
      <c r="S446" s="40" t="n"/>
      <c r="V446" s="14">
        <f>(LEN(O446)+1)/2</f>
        <v/>
      </c>
      <c r="W446" s="14">
        <f>ROUNDDOWN((LEN(P446)+1)/2,0)</f>
        <v/>
      </c>
      <c r="X446" s="14">
        <f>ROUNDDOWN((LEN(Q446)+1)/2,0)</f>
        <v/>
      </c>
      <c r="Y446" s="14">
        <f>ROUNDDOWN((LEN(R446)+1)/2,0)</f>
        <v/>
      </c>
      <c r="Z446" s="14">
        <f>ROUNDDOWN((LEN(S446)+1)/2,0)</f>
        <v/>
      </c>
      <c r="AA446" s="56" t="n">
        <v>46150.55867106397</v>
      </c>
    </row>
    <row r="447" ht="102" customHeight="1">
      <c r="B447" s="46" t="inlineStr">
        <is>
          <t>U+17C00-U+17CFF</t>
        </is>
      </c>
      <c r="C447" s="46" t="inlineStr">
        <is>
          <t>Tangut</t>
        </is>
      </c>
      <c r="D447" s="54">
        <f>HEX2DEC(MID(B447,3,FIND("-",E447)-3))</f>
        <v/>
      </c>
      <c r="E447" s="46" t="inlineStr">
        <is>
          <t>U+17000-U+187FF</t>
        </is>
      </c>
      <c r="F447" s="12" t="n">
        <v>4</v>
      </c>
      <c r="J447" s="19">
        <f>ROUNDDOWN(W447,0)/$V447</f>
        <v/>
      </c>
      <c r="K447" s="19">
        <f>ROUNDDOWN(X447,0)/$V447</f>
        <v/>
      </c>
      <c r="L447" s="19">
        <f>ROUNDDOWN(Y447,0)/$V447</f>
        <v/>
      </c>
      <c r="M447" s="19">
        <f>ROUNDDOWN(Z447,0)/$V447</f>
        <v/>
      </c>
      <c r="O447" s="36" t="inlineStr">
        <is>
          <t>𗰀 𗰁 𗰂 𗰃 𗰄 𗰅 𗰆 𗰇 𗰈 𗰉 𗰊 𗰋 𗰌 𗰍 𗰎 𗰏 𗰐 𗰑 𗰒 𗰓 𗰔 𗰕 𗰖 𗰗 𗰘 𗰙 𗰚 𗰛 𗰜 𗰝 𗰞 𗰟 𗰠 𗰡 𗰢 𗰣 𗰤 𗰥 𗰦 𗰧 𗰨 𗰩 𗰪 𗰫 𗰬 𗰭 𗰮 𗰯 𗰰 𗰱 𗰲 𗰳 𗰴 𗰵 𗰶 𗰷 𗰸 𗰹 𗰺 𗰻 𗰼 𗰽 𗰾 𗰿 𗱀 𗱁 𗱂 𗱃 𗱄 𗱅 𗱆 𗱇 𗱈 𗱉 𗱊 𗱋 𗱌 𗱍 𗱎 𗱏 𗱐 𗱑 𗱒 𗱓 𗱔 𗱕 𗱖 𗱗 𗱘 𗱙 𗱚 𗱛 𗱜 𗱝 𗱞 𗱟 𗱠 𗱡 𗱢 𗱣 𗱤 𗱥 𗱦 𗱧 𗱨 𗱩 𗱪 𗱫 𗱬 𗱭 𗱮 𗱯 𗱰 𗱱 𗱲 𗱳 𗱴 𗱵 𗱶 𗱷 𗱸 𗱹 𗱺 𗱻 𗱼 𗱽 𗱾 𗱿 𗲀 𗲁 𗲂 𗲃 𗲄 𗲅 𗲆 𗲇 𗲈 𗲉 𗲊 𗲋 𗲌 𗲍 𗲎 𗲏 𗲐 𗲑 𗲒 𗲓 𗲔 𗲕 𗲖 𗲗 𗲘 𗲙 𗲚 𗲛 𗲜 𗲝 𗲞 𗲟 𗲠 𗲡 𗲢 𗲣 𗲤 𗲥 𗲦 𗲧 𗲨 𗲩 𗲪 𗲫 𗲬 𗲭 𗲮 𗲯 𗲰 𗲱 𗲲 𗲳 𗲴 𗲵 𗲶 𗲷 𗲸 𗲹 𗲺 𗲻 𗲼 𗲽 𗲾 𗲿 𗳀 𗳁 𗳂 𗳃 𗳄 𗳅 𗳆 𗳇 𗳈 𗳉 𗳊 𗳋 𗳌 𗳍 𗳎 𗳏 𗳐 𗳑 𗳒 𗳓 𗳔 𗳕 𗳖 𗳗 𗳘 𗳙 𗳚 𗳛 𗳜 𗳝 𗳞 𗳟 𗳠 𗳡 𗳢 𗳣 𗳤 𗳥 𗳦 𗳧 𗳨 𗳩 𗳪 𗳫 𗳬 𗳭 𗳮 𗳯 𗳰 𗳱 𗳲 𗳳 𗳴 𗳵 𗳶 𗳷 𗳸 𗳹 𗳺 𗳻 𗳼 𗳽 𗳾 𗳿</t>
        </is>
      </c>
      <c r="P447" s="37" t="inlineStr">
        <is>
          <t>𗰀 𗰁 𗰂 𗰃 𗰄 𗰅 𗰆 𗰇 𗰈 𗰉 𗰊 𗰋 𗰌 𗰍 𗰎 𗰏 𗰐 𗰑 𗰒 𗰓 𗰔 𗰕 𗰖 𗰗 𗰘 𗰙 𗰚 𗰛 𗰜 𗰝 𗰞 𗰟 𗰠 𗰡 𗰢 𗰣 𗰤 𗰥 𗰦 𗰧 𗰨 𗰩 𗰪 𗰫 𗰬 𗰭 𗰮 𗰯 𗰰 𗰱 𗰲 𗰳 𗰴 𗰵 𗰶 𗰷 𗰸 𗰹 𗰺 𗰻 𗰼 𗰽 𗰾 𗰿 𗱀 𗱁 𗱂 𗱃 𗱄 𗱅 𗱆 𗱇 𗱈 𗱉 𗱊 𗱋 𗱌 𗱍 𗱎 𗱏 𗱐 𗱑 𗱒 𗱓 𗱔 𗱕 𗱖 𗱗 𗱘 𗱙 𗱚 𗱛 𗱜 𗱝 𗱞 𗱟 𗱠 𗱡 𗱢 𗱣 𗱤 𗱥 𗱦 𗱧 𗱨 𗱩 𗱪 𗱫 𗱬 𗱭 𗱮 𗱯 𗱰 𗱱 𗱲 𗱳 𗱴 𗱵 𗱶 𗱷 𗱸 𗱹 𗱺 𗱻 𗱼 𗱽 𗱾 𗱿 𗲀 𗲁 𗲂 𗲃 𗲄 𗲅 𗲆 𗲇 𗲈 𗲉 𗲊 𗲋 𗲌 𗲍 𗲎 𗲏 𗲐 𗲑 𗲒 𗲓 𗲔 𗲕 𗲖 𗲗 𗲘 𗲙 𗲚 𗲛 𗲜 𗲝 𗲞 𗲟 𗲠 𗲡 𗲢 𗲣 𗲤 𗲥 𗲦 𗲧 𗲨 𗲩 𗲪 𗲫 𗲬 𗲭 𗲮 𗲯 𗲰 𗲱 𗲲 𗲳 𗲴 𗲵 𗲶 𗲷 𗲸 𗲹 𗲺 𗲻 𗲼 𗲽 𗲾 𗲿 𗳀 𗳁 𗳂 𗳃 𗳄 𗳅 𗳆 𗳇 𗳈 𗳉 𗳊 𗳋 𗳌 𗳍 𗳎 𗳏 𗳐 𗳑 𗳒 𗳓 𗳔 𗳕 𗳖 𗳗 𗳘 𗳙 𗳚 𗳛 𗳜 𗳝 𗳞 𗳟 𗳠 𗳡 𗳢 𗳣 𗳤 𗳥 𗳦 𗳧 𗳨 𗳩 𗳪 𗳫 𗳬 𗳭 𗳮 𗳯 𗳰 𗳱 𗳲 𗳳 𗳴 𗳵 𗳶 𗳷 𗳸 𗳹 𗳺 𗳻 𗳼 𗳽 𗳾 𗳿</t>
        </is>
      </c>
      <c r="Q447" s="38" t="inlineStr">
        <is>
          <t>𗰀 𗰁 𗰂 𗰃 𗰄 𗰅 𗰆 𗰇 𗰈 𗰉 𗰊 𗰋 𗰌 𗰍 𗰎 𗰏 𗰐 𗰑 𗰒 𗰓 𗰔 𗰕 𗰖 𗰗 𗰘 𗰙 𗰚 𗰛 𗰜 𗰝 𗰞 𗰟 𗰠 𗰡 𗰢 𗰣 𗰤 𗰥 𗰦 𗰧 𗰨 𗰩 𗰪 𗰫 𗰬 𗰭 𗰮 𗰯 𗰰 𗰱 𗰲 𗰳 𗰴 𗰵 𗰶 𗰷 𗰸 𗰹 𗰺 𗰻 𗰼 𗰽 𗰾 𗰿 𗱀 𗱁 𗱂 𗱃 𗱄 𗱅 𗱆 𗱇 𗱈 𗱉 𗱊 𗱋 𗱌 𗱍 𗱎 𗱏 𗱐 𗱑 𗱒 𗱓 𗱔 𗱕 𗱖 𗱗 𗱘 𗱙 𗱚 𗱛 𗱜 𗱝 𗱞 𗱟 𗱠 𗱡 𗱢 𗱣 𗱤 𗱥 𗱦 𗱧 𗱨 𗱩 𗱪 𗱫 𗱬 𗱭 𗱮 𗱯 𗱰 𗱱 𗱲 𗱳 𗱴 𗱵 𗱶 𗱷 𗱸 𗱹 𗱺 𗱻 𗱼 𗱽 𗱾 𗱿 𗲀 𗲁 𗲂 𗲃 𗲄 𗲅 𗲆 𗲇 𗲈 𗲉 𗲊 𗲋 𗲌 𗲍 𗲎 𗲏 𗲐 𗲑 𗲒 𗲓 𗲔 𗲕 𗲖 𗲗 𗲘 𗲙 𗲚 𗲛 𗲜 𗲝 𗲞 𗲟 𗲠 𗲡 𗲢 𗲣 𗲤 𗲥 𗲦 𗲧 𗲨 𗲩 𗲪 𗲫 𗲬 𗲭 𗲮 𗲯 𗲰 𗲱 𗲲 𗲳 𗲴 𗲵 𗲶 𗲷 𗲸 𗲹 𗲺 𗲻 𗲼 𗲽 𗲾 𗲿 𗳀 𗳁 𗳂 𗳃 𗳄 𗳅 𗳆 𗳇 𗳈 𗳉 𗳊 𗳋 𗳌 𗳍 𗳎 𗳏 𗳐 𗳑 𗳒 𗳓 𗳔 𗳕 𗳖 𗳗 𗳘 𗳙 𗳚 𗳛 𗳜 𗳝 𗳞 𗳟 𗳠 𗳡 𗳢 𗳣 𗳤 𗳥 𗳦 𗳧 𗳨 𗳩 𗳪 𗳫 𗳬 𗳭 𗳮 𗳯 𗳰 𗳱 𗳲 𗳳 𗳴 𗳵 𗳶 𗳷 𗳸 𗳹 𗳺 𗳻 𗳼 𗳽 𗳾 𗳿</t>
        </is>
      </c>
      <c r="R447" s="43" t="inlineStr"/>
      <c r="S447" s="40" t="n"/>
      <c r="V447" s="14">
        <f>(LEN(O447)+1)/2</f>
        <v/>
      </c>
      <c r="W447" s="14">
        <f>ROUNDDOWN((LEN(P447)+1)/2,0)</f>
        <v/>
      </c>
      <c r="X447" s="14">
        <f>ROUNDDOWN((LEN(Q447)+1)/2,0)</f>
        <v/>
      </c>
      <c r="Y447" s="14">
        <f>ROUNDDOWN((LEN(R447)+1)/2,0)</f>
        <v/>
      </c>
      <c r="Z447" s="14">
        <f>ROUNDDOWN((LEN(S447)+1)/2,0)</f>
        <v/>
      </c>
      <c r="AA447" s="56" t="n">
        <v>46150.55867212279</v>
      </c>
    </row>
    <row r="448" ht="102" customHeight="1">
      <c r="B448" s="46" t="inlineStr">
        <is>
          <t>U+17D00-U+17DFF</t>
        </is>
      </c>
      <c r="C448" s="46" t="inlineStr">
        <is>
          <t>Tangut</t>
        </is>
      </c>
      <c r="D448" s="54">
        <f>HEX2DEC(MID(B448,3,FIND("-",E448)-3))</f>
        <v/>
      </c>
      <c r="E448" s="46" t="inlineStr">
        <is>
          <t>U+17000-U+187FF</t>
        </is>
      </c>
      <c r="F448" s="12" t="n">
        <v>4</v>
      </c>
      <c r="J448" s="19">
        <f>ROUNDDOWN(W448,0)/$V448</f>
        <v/>
      </c>
      <c r="K448" s="19">
        <f>ROUNDDOWN(X448,0)/$V448</f>
        <v/>
      </c>
      <c r="L448" s="19">
        <f>ROUNDDOWN(Y448,0)/$V448</f>
        <v/>
      </c>
      <c r="M448" s="19">
        <f>ROUNDDOWN(Z448,0)/$V448</f>
        <v/>
      </c>
      <c r="O448" s="36" t="inlineStr">
        <is>
          <t>𗴀 𗴁 𗴂 𗴃 𗴄 𗴅 𗴆 𗴇 𗴈 𗴉 𗴊 𗴋 𗴌 𗴍 𗴎 𗴏 𗴐 𗴑 𗴒 𗴓 𗴔 𗴕 𗴖 𗴗 𗴘 𗴙 𗴚 𗴛 𗴜 𗴝 𗴞 𗴟 𗴠 𗴡 𗴢 𗴣 𗴤 𗴥 𗴦 𗴧 𗴨 𗴩 𗴪 𗴫 𗴬 𗴭 𗴮 𗴯 𗴰 𗴱 𗴲 𗴳 𗴴 𗴵 𗴶 𗴷 𗴸 𗴹 𗴺 𗴻 𗴼 𗴽 𗴾 𗴿 𗵀 𗵁 𗵂 𗵃 𗵄 𗵅 𗵆 𗵇 𗵈 𗵉 𗵊 𗵋 𗵌 𗵍 𗵎 𗵏 𗵐 𗵑 𗵒 𗵓 𗵔 𗵕 𗵖 𗵗 𗵘 𗵙 𗵚 𗵛 𗵜 𗵝 𗵞 𗵟 𗵠 𗵡 𗵢 𗵣 𗵤 𗵥 𗵦 𗵧 𗵨 𗵩 𗵪 𗵫 𗵬 𗵭 𗵮 𗵯 𗵰 𗵱 𗵲 𗵳 𗵴 𗵵 𗵶 𗵷 𗵸 𗵹 𗵺 𗵻 𗵼 𗵽 𗵾 𗵿 𗶀 𗶁 𗶂 𗶃 𗶄 𗶅 𗶆 𗶇 𗶈 𗶉 𗶊 𗶋 𗶌 𗶍 𗶎 𗶏 𗶐 𗶑 𗶒 𗶓 𗶔 𗶕 𗶖 𗶗 𗶘 𗶙 𗶚 𗶛 𗶜 𗶝 𗶞 𗶟 𗶠 𗶡 𗶢 𗶣 𗶤 𗶥 𗶦 𗶧 𗶨 𗶩 𗶪 𗶫 𗶬 𗶭 𗶮 𗶯 𗶰 𗶱 𗶲 𗶳 𗶴 𗶵 𗶶 𗶷 𗶸 𗶹 𗶺 𗶻 𗶼 𗶽 𗶾 𗶿 𗷀 𗷁 𗷂 𗷃 𗷄 𗷅 𗷆 𗷇 𗷈 𗷉 𗷊 𗷋 𗷌 𗷍 𗷎 𗷏 𗷐 𗷑 𗷒 𗷓 𗷔 𗷕 𗷖 𗷗 𗷘 𗷙 𗷚 𗷛 𗷜 𗷝 𗷞 𗷟 𗷠 𗷡 𗷢 𗷣 𗷤 𗷥 𗷦 𗷧 𗷨 𗷩 𗷪 𗷫 𗷬 𗷭 𗷮 𗷯 𗷰 𗷱 𗷲 𗷳 𗷴 𗷵 𗷶 𗷷 𗷸 𗷹 𗷺 𗷻 𗷼 𗷽 𗷾 𗷿</t>
        </is>
      </c>
      <c r="P448" s="37" t="inlineStr">
        <is>
          <t>𗴀 𗴁 𗴂 𗴃 𗴄 𗴅 𗴆 𗴇 𗴈 𗴉 𗴊 𗴋 𗴌 𗴍 𗴎 𗴏 𗴐 𗴑 𗴒 𗴓 𗴔 𗴕 𗴖 𗴗 𗴘 𗴙 𗴚 𗴛 𗴜 𗴝 𗴞 𗴟 𗴠 𗴡 𗴢 𗴣 𗴤 𗴥 𗴦 𗴧 𗴨 𗴩 𗴪 𗴫 𗴬 𗴭 𗴮 𗴯 𗴰 𗴱 𗴲 𗴳 𗴴 𗴵 𗴶 𗴷 𗴸 𗴹 𗴺 𗴻 𗴼 𗴽 𗴾 𗴿 𗵀 𗵁 𗵂 𗵃 𗵄 𗵅 𗵆 𗵇 𗵈 𗵉 𗵊 𗵋 𗵌 𗵍 𗵎 𗵏 𗵐 𗵑 𗵒 𗵓 𗵔 𗵕 𗵖 𗵗 𗵘 𗵙 𗵚 𗵛 𗵜 𗵝 𗵞 𗵟 𗵠 𗵡 𗵢 𗵣 𗵤 𗵥 𗵦 𗵧 𗵨 𗵩 𗵪 𗵫 𗵬 𗵭 𗵮 𗵯 𗵰 𗵱 𗵲 𗵳 𗵴 𗵵 𗵶 𗵷 𗵸 𗵹 𗵺 𗵻 𗵼 𗵽 𗵾 𗵿 𗶀 𗶁 𗶂 𗶃 𗶄 𗶅 𗶆 𗶇 𗶈 𗶉 𗶊 𗶋 𗶌 𗶍 𗶎 𗶏 𗶐 𗶑 𗶒 𗶓 𗶔 𗶕 𗶖 𗶗 𗶘 𗶙 𗶚 𗶛 𗶜 𗶝 𗶞 𗶟 𗶠 𗶡 𗶢 𗶣 𗶤 𗶥 𗶦 𗶧 𗶨 𗶩 𗶪 𗶫 𗶬 𗶭 𗶮 𗶯 𗶰 𗶱 𗶲 𗶳 𗶴 𗶵 𗶶 𗶷 𗶸 𗶹 𗶺 𗶻 𗶼 𗶽 𗶾 𗶿 𗷀 𗷁 𗷂 𗷃 𗷄 𗷅 𗷆 𗷇 𗷈 𗷉 𗷊 𗷋 𗷌 𗷍 𗷎 𗷏 𗷐 𗷑 𗷒 𗷓 𗷔 𗷕 𗷖 𗷗 𗷘 𗷙 𗷚 𗷛 𗷜 𗷝 𗷞 𗷟 𗷠 𗷡 𗷢 𗷣 𗷤 𗷥 𗷦 𗷧 𗷨 𗷩 𗷪 𗷫 𗷬 𗷭 𗷮 𗷯 𗷰 𗷱 𗷲 𗷳 𗷴 𗷵 𗷶 𗷷 𗷸 𗷹 𗷺 𗷻 𗷼 𗷽 𗷾 𗷿</t>
        </is>
      </c>
      <c r="Q448" s="38" t="inlineStr">
        <is>
          <t>𗴀 𗴁 𗴂 𗴃 𗴄 𗴅 𗴆 𗴇 𗴈 𗴉 𗴊 𗴋 𗴌 𗴍 𗴎 𗴏 𗴐 𗴑 𗴒 𗴓 𗴔 𗴕 𗴖 𗴗 𗴘 𗴙 𗴚 𗴛 𗴜 𗴝 𗴞 𗴟 𗴠 𗴡 𗴢 𗴣 𗴤 𗴥 𗴦 𗴧 𗴨 𗴩 𗴪 𗴫 𗴬 𗴭 𗴮 𗴯 𗴰 𗴱 𗴲 𗴳 𗴴 𗴵 𗴶 𗴷 𗴸 𗴹 𗴺 𗴻 𗴼 𗴽 𗴾 𗴿 𗵀 𗵁 𗵂 𗵃 𗵄 𗵅 𗵆 𗵇 𗵈 𗵉 𗵊 𗵋 𗵌 𗵍 𗵎 𗵏 𗵐 𗵑 𗵒 𗵓 𗵔 𗵕 𗵖 𗵗 𗵘 𗵙 𗵚 𗵛 𗵜 𗵝 𗵞 𗵟 𗵠 𗵡 𗵢 𗵣 𗵤 𗵥 𗵦 𗵧 𗵨 𗵩 𗵪 𗵫 𗵬 𗵭 𗵮 𗵯 𗵰 𗵱 𗵲 𗵳 𗵴 𗵵 𗵶 𗵷 𗵸 𗵹 𗵺 𗵻 𗵼 𗵽 𗵾 𗵿 𗶀 𗶁 𗶂 𗶃 𗶄 𗶅 𗶆 𗶇 𗶈 𗶉 𗶊 𗶋 𗶌 𗶍 𗶎 𗶏 𗶐 𗶑 𗶒 𗶓 𗶔 𗶕 𗶖 𗶗 𗶘 𗶙 𗶚 𗶛 𗶜 𗶝 𗶞 𗶟 𗶠 𗶡 𗶢 𗶣 𗶤 𗶥 𗶦 𗶧 𗶨 𗶩 𗶪 𗶫 𗶬 𗶭 𗶮 𗶯 𗶰 𗶱 𗶲 𗶳 𗶴 𗶵 𗶶 𗶷 𗶸 𗶹 𗶺 𗶻 𗶼 𗶽 𗶾 𗶿 𗷀 𗷁 𗷂 𗷃 𗷄 𗷅 𗷆 𗷇 𗷈 𗷉 𗷊 𗷋 𗷌 𗷍 𗷎 𗷏 𗷐 𗷑 𗷒 𗷓 𗷔 𗷕 𗷖 𗷗 𗷘 𗷙 𗷚 𗷛 𗷜 𗷝 𗷞 𗷟 𗷠 𗷡 𗷢 𗷣 𗷤 𗷥 𗷦 𗷧 𗷨 𗷩 𗷪 𗷫 𗷬 𗷭 𗷮 𗷯 𗷰 𗷱 𗷲 𗷳 𗷴 𗷵 𗷶 𗷷 𗷸 𗷹 𗷺 𗷻 𗷼 𗷽 𗷾 𗷿</t>
        </is>
      </c>
      <c r="R448" s="43" t="inlineStr"/>
      <c r="S448" s="40" t="n"/>
      <c r="V448" s="14">
        <f>(LEN(O448)+1)/2</f>
        <v/>
      </c>
      <c r="W448" s="14">
        <f>ROUNDDOWN((LEN(P448)+1)/2,0)</f>
        <v/>
      </c>
      <c r="X448" s="14">
        <f>ROUNDDOWN((LEN(Q448)+1)/2,0)</f>
        <v/>
      </c>
      <c r="Y448" s="14">
        <f>ROUNDDOWN((LEN(R448)+1)/2,0)</f>
        <v/>
      </c>
      <c r="Z448" s="14">
        <f>ROUNDDOWN((LEN(S448)+1)/2,0)</f>
        <v/>
      </c>
      <c r="AA448" s="56" t="n">
        <v>46150.5586731884</v>
      </c>
    </row>
    <row r="449" ht="102" customHeight="1">
      <c r="B449" s="46" t="inlineStr">
        <is>
          <t>U+17E00-U+17EFF</t>
        </is>
      </c>
      <c r="C449" s="46" t="inlineStr">
        <is>
          <t>Tangut</t>
        </is>
      </c>
      <c r="D449" s="54">
        <f>HEX2DEC(MID(B449,3,FIND("-",E449)-3))</f>
        <v/>
      </c>
      <c r="E449" s="46" t="inlineStr">
        <is>
          <t>U+17000-U+187FF</t>
        </is>
      </c>
      <c r="F449" s="12" t="n">
        <v>4</v>
      </c>
      <c r="J449" s="19">
        <f>ROUNDDOWN(W449,0)/$V449</f>
        <v/>
      </c>
      <c r="K449" s="19">
        <f>ROUNDDOWN(X449,0)/$V449</f>
        <v/>
      </c>
      <c r="L449" s="19">
        <f>ROUNDDOWN(Y449,0)/$V449</f>
        <v/>
      </c>
      <c r="M449" s="19">
        <f>ROUNDDOWN(Z449,0)/$V449</f>
        <v/>
      </c>
      <c r="O449" s="36" t="inlineStr">
        <is>
          <t>𗸀 𗸁 𗸂 𗸃 𗸄 𗸅 𗸆 𗸇 𗸈 𗸉 𗸊 𗸋 𗸌 𗸍 𗸎 𗸏 𗸐 𗸑 𗸒 𗸓 𗸔 𗸕 𗸖 𗸗 𗸘 𗸙 𗸚 𗸛 𗸜 𗸝 𗸞 𗸟 𗸠 𗸡 𗸢 𗸣 𗸤 𗸥 𗸦 𗸧 𗸨 𗸩 𗸪 𗸫 𗸬 𗸭 𗸮 𗸯 𗸰 𗸱 𗸲 𗸳 𗸴 𗸵 𗸶 𗸷 𗸸 𗸹 𗸺 𗸻 𗸼 𗸽 𗸾 𗸿 𗹀 𗹁 𗹂 𗹃 𗹄 𗹅 𗹆 𗹇 𗹈 𗹉 𗹊 𗹋 𗹌 𗹍 𗹎 𗹏 𗹐 𗹑 𗹒 𗹓 𗹔 𗹕 𗹖 𗹗 𗹘 𗹙 𗹚 𗹛 𗹜 𗹝 𗹞 𗹟 𗹠 𗹡 𗹢 𗹣 𗹤 𗹥 𗹦 𗹧 𗹨 𗹩 𗹪 𗹫 𗹬 𗹭 𗹮 𗹯 𗹰 𗹱 𗹲 𗹳 𗹴 𗹵 𗹶 𗹷 𗹸 𗹹 𗹺 𗹻 𗹼 𗹽 𗹾 𗹿 𗺀 𗺁 𗺂 𗺃 𗺄 𗺅 𗺆 𗺇 𗺈 𗺉 𗺊 𗺋 𗺌 𗺍 𗺎 𗺏 𗺐 𗺑 𗺒 𗺓 𗺔 𗺕 𗺖 𗺗 𗺘 𗺙 𗺚 𗺛 𗺜 𗺝 𗺞 𗺟 𗺠 𗺡 𗺢 𗺣 𗺤 𗺥 𗺦 𗺧 𗺨 𗺩 𗺪 𗺫 𗺬 𗺭 𗺮 𗺯 𗺰 𗺱 𗺲 𗺳 𗺴 𗺵 𗺶 𗺷 𗺸 𗺹 𗺺 𗺻 𗺼 𗺽 𗺾 𗺿 𗻀 𗻁 𗻂 𗻃 𗻄 𗻅 𗻆 𗻇 𗻈 𗻉 𗻊 𗻋 𗻌 𗻍 𗻎 𗻏 𗻐 𗻑 𗻒 𗻓 𗻔 𗻕 𗻖 𗻗 𗻘 𗻙 𗻚 𗻛 𗻜 𗻝 𗻞 𗻟 𗻠 𗻡 𗻢 𗻣 𗻤 𗻥 𗻦 𗻧 𗻨 𗻩 𗻪 𗻫 𗻬 𗻭 𗻮 𗻯 𗻰 𗻱 𗻲 𗻳 𗻴 𗻵 𗻶 𗻷 𗻸 𗻹 𗻺 𗻻 𗻼 𗻽 𗻾 𗻿</t>
        </is>
      </c>
      <c r="P449" s="37" t="inlineStr">
        <is>
          <t>𗸀 𗸁 𗸂 𗸃 𗸄 𗸅 𗸆 𗸇 𗸈 𗸉 𗸊 𗸋 𗸌 𗸍 𗸎 𗸏 𗸐 𗸑 𗸒 𗸓 𗸔 𗸕 𗸖 𗸗 𗸘 𗸙 𗸚 𗸛 𗸜 𗸝 𗸞 𗸟 𗸠 𗸡 𗸢 𗸣 𗸤 𗸥 𗸦 𗸧 𗸨 𗸩 𗸪 𗸫 𗸬 𗸭 𗸮 𗸯 𗸰 𗸱 𗸲 𗸳 𗸴 𗸵 𗸶 𗸷 𗸸 𗸹 𗸺 𗸻 𗸼 𗸽 𗸾 𗸿 𗹀 𗹁 𗹂 𗹃 𗹄 𗹅 𗹆 𗹇 𗹈 𗹉 𗹊 𗹋 𗹌 𗹍 𗹎 𗹏 𗹐 𗹑 𗹒 𗹓 𗹔 𗹕 𗹖 𗹗 𗹘 𗹙 𗹚 𗹛 𗹜 𗹝 𗹞 𗹟 𗹠 𗹡 𗹢 𗹣 𗹤 𗹥 𗹦 𗹧 𗹨 𗹩 𗹪 𗹫 𗹬 𗹭 𗹮 𗹯 𗹰 𗹱 𗹲 𗹳 𗹴 𗹵 𗹶 𗹷 𗹸 𗹹 𗹺 𗹻 𗹼 𗹽 𗹾 𗹿 𗺀 𗺁 𗺂 𗺃 𗺄 𗺅 𗺆 𗺇 𗺈 𗺉 𗺊 𗺋 𗺌 𗺍 𗺎 𗺏 𗺐 𗺑 𗺒 𗺓 𗺔 𗺕 𗺖 𗺗 𗺘 𗺙 𗺚 𗺛 𗺜 𗺝 𗺞 𗺟 𗺠 𗺡 𗺢 𗺣 𗺤 𗺥 𗺦 𗺧 𗺨 𗺩 𗺪 𗺫 𗺬 𗺭 𗺮 𗺯 𗺰 𗺱 𗺲 𗺳 𗺴 𗺵 𗺶 𗺷 𗺸 𗺹 𗺺 𗺻 𗺼 𗺽 𗺾 𗺿 𗻀 𗻁 𗻂 𗻃 𗻄 𗻅 𗻆 𗻇 𗻈 𗻉 𗻊 𗻋 𗻌 𗻍 𗻎 𗻏 𗻐 𗻑 𗻒 𗻓 𗻔 𗻕 𗻖 𗻗 𗻘 𗻙 𗻚 𗻛 𗻜 𗻝 𗻞 𗻟 𗻠 𗻡 𗻢 𗻣 𗻤 𗻥 𗻦 𗻧 𗻨 𗻩 𗻪 𗻫 𗻬 𗻭 𗻮 𗻯 𗻰 𗻱 𗻲 𗻳 𗻴 𗻵 𗻶 𗻷 𗻸 𗻹 𗻺 𗻻 𗻼 𗻽 𗻾 𗻿</t>
        </is>
      </c>
      <c r="Q449" s="38" t="inlineStr">
        <is>
          <t>𗸀 𗸁 𗸂 𗸃 𗸄 𗸅 𗸆 𗸇 𗸈 𗸉 𗸊 𗸋 𗸌 𗸍 𗸎 𗸏 𗸐 𗸑 𗸒 𗸓 𗸔 𗸕 𗸖 𗸗 𗸘 𗸙 𗸚 𗸛 𗸜 𗸝 𗸞 𗸟 𗸠 𗸡 𗸢 𗸣 𗸤 𗸥 𗸦 𗸧 𗸨 𗸩 𗸪 𗸫 𗸬 𗸭 𗸮 𗸯 𗸰 𗸱 𗸲 𗸳 𗸴 𗸵 𗸶 𗸷 𗸸 𗸹 𗸺 𗸻 𗸼 𗸽 𗸾 𗸿 𗹀 𗹁 𗹂 𗹃 𗹄 𗹅 𗹆 𗹇 𗹈 𗹉 𗹊 𗹋 𗹌 𗹍 𗹎 𗹏 𗹐 𗹑 𗹒 𗹓 𗹔 𗹕 𗹖 𗹗 𗹘 𗹙 𗹚 𗹛 𗹜 𗹝 𗹞 𗹟 𗹠 𗹡 𗹢 𗹣 𗹤 𗹥 𗹦 𗹧 𗹨 𗹩 𗹪 𗹫 𗹬 𗹭 𗹮 𗹯 𗹰 𗹱 𗹲 𗹳 𗹴 𗹵 𗹶 𗹷 𗹸 𗹹 𗹺 𗹻 𗹼 𗹽 𗹾 𗹿 𗺀 𗺁 𗺂 𗺃 𗺄 𗺅 𗺆 𗺇 𗺈 𗺉 𗺊 𗺋 𗺌 𗺍 𗺎 𗺏 𗺐 𗺑 𗺒 𗺓 𗺔 𗺕 𗺖 𗺗 𗺘 𗺙 𗺚 𗺛 𗺜 𗺝 𗺞 𗺟 𗺠 𗺡 𗺢 𗺣 𗺤 𗺥 𗺦 𗺧 𗺨 𗺩 𗺪 𗺫 𗺬 𗺭 𗺮 𗺯 𗺰 𗺱 𗺲 𗺳 𗺴 𗺵 𗺶 𗺷 𗺸 𗺹 𗺺 𗺻 𗺼 𗺽 𗺾 𗺿 𗻀 𗻁 𗻂 𗻃 𗻄 𗻅 𗻆 𗻇 𗻈 𗻉 𗻊 𗻋 𗻌 𗻍 𗻎 𗻏 𗻐 𗻑 𗻒 𗻓 𗻔 𗻕 𗻖 𗻗 𗻘 𗻙 𗻚 𗻛 𗻜 𗻝 𗻞 𗻟 𗻠 𗻡 𗻢 𗻣 𗻤 𗻥 𗻦 𗻧 𗻨 𗻩 𗻪 𗻫 𗻬 𗻭 𗻮 𗻯 𗻰 𗻱 𗻲 𗻳 𗻴 𗻵 𗻶 𗻷 𗻸 𗻹 𗻺 𗻻 𗻼 𗻽 𗻾 𗻿</t>
        </is>
      </c>
      <c r="R449" s="43" t="inlineStr"/>
      <c r="S449" s="40" t="n"/>
      <c r="V449" s="14">
        <f>(LEN(O449)+1)/2</f>
        <v/>
      </c>
      <c r="W449" s="14">
        <f>ROUNDDOWN((LEN(P449)+1)/2,0)</f>
        <v/>
      </c>
      <c r="X449" s="14">
        <f>ROUNDDOWN((LEN(Q449)+1)/2,0)</f>
        <v/>
      </c>
      <c r="Y449" s="14">
        <f>ROUNDDOWN((LEN(R449)+1)/2,0)</f>
        <v/>
      </c>
      <c r="Z449" s="14">
        <f>ROUNDDOWN((LEN(S449)+1)/2,0)</f>
        <v/>
      </c>
      <c r="AA449" s="56" t="n">
        <v>46150.5586742696</v>
      </c>
    </row>
    <row r="450" ht="102" customHeight="1">
      <c r="B450" s="46" t="inlineStr">
        <is>
          <t>U+17F00-U+17FFF</t>
        </is>
      </c>
      <c r="C450" s="46" t="inlineStr">
        <is>
          <t>Tangut</t>
        </is>
      </c>
      <c r="D450" s="54">
        <f>HEX2DEC(MID(B450,3,FIND("-",E450)-3))</f>
        <v/>
      </c>
      <c r="E450" s="46" t="inlineStr">
        <is>
          <t>U+17000-U+187FF</t>
        </is>
      </c>
      <c r="F450" s="12" t="n">
        <v>4</v>
      </c>
      <c r="J450" s="19">
        <f>ROUNDDOWN(W450,0)/$V450</f>
        <v/>
      </c>
      <c r="K450" s="19">
        <f>ROUNDDOWN(X450,0)/$V450</f>
        <v/>
      </c>
      <c r="L450" s="19">
        <f>ROUNDDOWN(Y450,0)/$V450</f>
        <v/>
      </c>
      <c r="M450" s="19">
        <f>ROUNDDOWN(Z450,0)/$V450</f>
        <v/>
      </c>
      <c r="O450" s="36" t="inlineStr">
        <is>
          <t>𗼀 𗼁 𗼂 𗼃 𗼄 𗼅 𗼆 𗼇 𗼈 𗼉 𗼊 𗼋 𗼌 𗼍 𗼎 𗼏 𗼐 𗼑 𗼒 𗼓 𗼔 𗼕 𗼖 𗼗 𗼘 𗼙 𗼚 𗼛 𗼜 𗼝 𗼞 𗼟 𗼠 𗼡 𗼢 𗼣 𗼤 𗼥 𗼦 𗼧 𗼨 𗼩 𗼪 𗼫 𗼬 𗼭 𗼮 𗼯 𗼰 𗼱 𗼲 𗼳 𗼴 𗼵 𗼶 𗼷 𗼸 𗼹 𗼺 𗼻 𗼼 𗼽 𗼾 𗼿 𗽀 𗽁 𗽂 𗽃 𗽄 𗽅 𗽆 𗽇 𗽈 𗽉 𗽊 𗽋 𗽌 𗽍 𗽎 𗽏 𗽐 𗽑 𗽒 𗽓 𗽔 𗽕 𗽖 𗽗 𗽘 𗽙 𗽚 𗽛 𗽜 𗽝 𗽞 𗽟 𗽠 𗽡 𗽢 𗽣 𗽤 𗽥 𗽦 𗽧 𗽨 𗽩 𗽪 𗽫 𗽬 𗽭 𗽮 𗽯 𗽰 𗽱 𗽲 𗽳 𗽴 𗽵 𗽶 𗽷 𗽸 𗽹 𗽺 𗽻 𗽼 𗽽 𗽾 𗽿 𗾀 𗾁 𗾂 𗾃 𗾄 𗾅 𗾆 𗾇 𗾈 𗾉 𗾊 𗾋 𗾌 𗾍 𗾎 𗾏 𗾐 𗾑 𗾒 𗾓 𗾔 𗾕 𗾖 𗾗 𗾘 𗾙 𗾚 𗾛 𗾜 𗾝 𗾞 𗾟 𗾠 𗾡 𗾢 𗾣 𗾤 𗾥 𗾦 𗾧 𗾨 𗾩 𗾪 𗾫 𗾬 𗾭 𗾮 𗾯 𗾰 𗾱 𗾲 𗾳 𗾴 𗾵 𗾶 𗾷 𗾸 𗾹 𗾺 𗾻 𗾼 𗾽 𗾾 𗾿 𗿀 𗿁 𗿂 𗿃 𗿄 𗿅 𗿆 𗿇 𗿈 𗿉 𗿊 𗿋 𗿌 𗿍 𗿎 𗿏 𗿐 𗿑 𗿒 𗿓 𗿔 𗿕 𗿖 𗿗 𗿘 𗿙 𗿚 𗿛 𗿜 𗿝 𗿞 𗿟 𗿠 𗿡 𗿢 𗿣 𗿤 𗿥 𗿦 𗿧 𗿨 𗿩 𗿪 𗿫 𗿬 𗿭 𗿮 𗿯 𗿰 𗿱 𗿲 𗿳 𗿴 𗿵 𗿶 𗿷 𗿸 𗿹 𗿺 𗿻 𗿼 𗿽 𗿾 𗿿</t>
        </is>
      </c>
      <c r="P450" s="37" t="inlineStr">
        <is>
          <t>𗼀 𗼁 𗼂 𗼃 𗼄 𗼅 𗼆 𗼇 𗼈 𗼉 𗼊 𗼋 𗼌 𗼍 𗼎 𗼏 𗼐 𗼑 𗼒 𗼓 𗼔 𗼕 𗼖 𗼗 𗼘 𗼙 𗼚 𗼛 𗼜 𗼝 𗼞 𗼟 𗼠 𗼡 𗼢 𗼣 𗼤 𗼥 𗼦 𗼧 𗼨 𗼩 𗼪 𗼫 𗼬 𗼭 𗼮 𗼯 𗼰 𗼱 𗼲 𗼳 𗼴 𗼵 𗼶 𗼷 𗼸 𗼹 𗼺 𗼻 𗼼 𗼽 𗼾 𗼿 𗽀 𗽁 𗽂 𗽃 𗽄 𗽅 𗽆 𗽇 𗽈 𗽉 𗽊 𗽋 𗽌 𗽍 𗽎 𗽏 𗽐 𗽑 𗽒 𗽓 𗽔 𗽕 𗽖 𗽗 𗽘 𗽙 𗽚 𗽛 𗽜 𗽝 𗽞 𗽟 𗽠 𗽡 𗽢 𗽣 𗽤 𗽥 𗽦 𗽧 𗽨 𗽩 𗽪 𗽫 𗽬 𗽭 𗽮 𗽯 𗽰 𗽱 𗽲 𗽳 𗽴 𗽵 𗽶 𗽷 𗽸 𗽹 𗽺 𗽻 𗽼 𗽽 𗽾 𗽿 𗾀 𗾁 𗾂 𗾃 𗾄 𗾅 𗾆 𗾇 𗾈 𗾉 𗾊 𗾋 𗾌 𗾍 𗾎 𗾏 𗾐 𗾑 𗾒 𗾓 𗾔 𗾕 𗾖 𗾗 𗾘 𗾙 𗾚 𗾛 𗾜 𗾝 𗾞 𗾟 𗾠 𗾡 𗾢 𗾣 𗾤 𗾥 𗾦 𗾧 𗾨 𗾩 𗾪 𗾫 𗾬 𗾭 𗾮 𗾯 𗾰 𗾱 𗾲 𗾳 𗾴 𗾵 𗾶 𗾷 𗾸 𗾹 𗾺 𗾻 𗾼 𗾽 𗾾 𗾿 𗿀 𗿁 𗿂 𗿃 𗿄 𗿅 𗿆 𗿇 𗿈 𗿉 𗿊 𗿋 𗿌 𗿍 𗿎 𗿏 𗿐 𗿑 𗿒 𗿓 𗿔 𗿕 𗿖 𗿗 𗿘 𗿙 𗿚 𗿛 𗿜 𗿝 𗿞 𗿟 𗿠 𗿡 𗿢 𗿣 𗿤 𗿥 𗿦 𗿧 𗿨 𗿩 𗿪 𗿫 𗿬 𗿭 𗿮 𗿯 𗿰 𗿱 𗿲 𗿳 𗿴 𗿵 𗿶 𗿷 𗿸 𗿹 𗿺 𗿻 𗿼 𗿽 𗿾 𗿿</t>
        </is>
      </c>
      <c r="Q450" s="38" t="inlineStr">
        <is>
          <t>𗼀 𗼁 𗼂 𗼃 𗼄 𗼅 𗼆 𗼇 𗼈 𗼉 𗼊 𗼋 𗼌 𗼍 𗼎 𗼏 𗼐 𗼑 𗼒 𗼓 𗼔 𗼕 𗼖 𗼗 𗼘 𗼙 𗼚 𗼛 𗼜 𗼝 𗼞 𗼟 𗼠 𗼡 𗼢 𗼣 𗼤 𗼥 𗼦 𗼧 𗼨 𗼩 𗼪 𗼫 𗼬 𗼭 𗼮 𗼯 𗼰 𗼱 𗼲 𗼳 𗼴 𗼵 𗼶 𗼷 𗼸 𗼹 𗼺 𗼻 𗼼 𗼽 𗼾 𗼿 𗽀 𗽁 𗽂 𗽃 𗽄 𗽅 𗽆 𗽇 𗽈 𗽉 𗽊 𗽋 𗽌 𗽍 𗽎 𗽏 𗽐 𗽑 𗽒 𗽓 𗽔 𗽕 𗽖 𗽗 𗽘 𗽙 𗽚 𗽛 𗽜 𗽝 𗽞 𗽟 𗽠 𗽡 𗽢 𗽣 𗽤 𗽥 𗽦 𗽧 𗽨 𗽩 𗽪 𗽫 𗽬 𗽭 𗽮 𗽯 𗽰 𗽱 𗽲 𗽳 𗽴 𗽵 𗽶 𗽷 𗽸 𗽹 𗽺 𗽻 𗽼 𗽽 𗽾 𗽿 𗾀 𗾁 𗾂 𗾃 𗾄 𗾅 𗾆 𗾇 𗾈 𗾉 𗾊 𗾋 𗾌 𗾍 𗾎 𗾏 𗾐 𗾑 𗾒 𗾓 𗾔 𗾕 𗾖 𗾗 𗾘 𗾙 𗾚 𗾛 𗾜 𗾝 𗾞 𗾟 𗾠 𗾡 𗾢 𗾣 𗾤 𗾥 𗾦 𗾧 𗾨 𗾩 𗾪 𗾫 𗾬 𗾭 𗾮 𗾯 𗾰 𗾱 𗾲 𗾳 𗾴 𗾵 𗾶 𗾷 𗾸 𗾹 𗾺 𗾻 𗾼 𗾽 𗾾 𗾿 𗿀 𗿁 𗿂 𗿃 𗿄 𗿅 𗿆 𗿇 𗿈 𗿉 𗿊 𗿋 𗿌 𗿍 𗿎 𗿏 𗿐 𗿑 𗿒 𗿓 𗿔 𗿕 𗿖 𗿗 𗿘 𗿙 𗿚 𗿛 𗿜 𗿝 𗿞 𗿟 𗿠 𗿡 𗿢 𗿣 𗿤 𗿥 𗿦 𗿧 𗿨 𗿩 𗿪 𗿫 𗿬 𗿭 𗿮 𗿯 𗿰 𗿱 𗿲 𗿳 𗿴 𗿵 𗿶 𗿷 𗿸 𗿹 𗿺 𗿻 𗿼 𗿽 𗿾 𗿿</t>
        </is>
      </c>
      <c r="R450" s="43" t="inlineStr"/>
      <c r="S450" s="40" t="n"/>
      <c r="V450" s="14">
        <f>(LEN(O450)+1)/2</f>
        <v/>
      </c>
      <c r="W450" s="14">
        <f>ROUNDDOWN((LEN(P450)+1)/2,0)</f>
        <v/>
      </c>
      <c r="X450" s="14">
        <f>ROUNDDOWN((LEN(Q450)+1)/2,0)</f>
        <v/>
      </c>
      <c r="Y450" s="14">
        <f>ROUNDDOWN((LEN(R450)+1)/2,0)</f>
        <v/>
      </c>
      <c r="Z450" s="14">
        <f>ROUNDDOWN((LEN(S450)+1)/2,0)</f>
        <v/>
      </c>
      <c r="AA450" s="56" t="n">
        <v>46150.55867533451</v>
      </c>
    </row>
    <row r="451" ht="102" customHeight="1">
      <c r="B451" s="46" t="inlineStr">
        <is>
          <t>U+18000-U+180FE</t>
        </is>
      </c>
      <c r="C451" s="46" t="inlineStr">
        <is>
          <t>Tangut</t>
        </is>
      </c>
      <c r="D451" s="54">
        <f>HEX2DEC(MID(B451,3,FIND("-",E451)-3))</f>
        <v/>
      </c>
      <c r="E451" s="46" t="inlineStr">
        <is>
          <t>U+17000-U+187FF</t>
        </is>
      </c>
      <c r="F451" s="12" t="n">
        <v>4</v>
      </c>
      <c r="J451" s="19">
        <f>ROUNDDOWN(W451,0)/$V451</f>
        <v/>
      </c>
      <c r="K451" s="19">
        <f>ROUNDDOWN(X451,0)/$V451</f>
        <v/>
      </c>
      <c r="L451" s="19">
        <f>ROUNDDOWN(Y451,0)/$V451</f>
        <v/>
      </c>
      <c r="M451" s="19">
        <f>ROUNDDOWN(Z451,0)/$V451</f>
        <v/>
      </c>
      <c r="O451" s="36" t="inlineStr">
        <is>
          <t>𘀀 𘀁 𘀂 𘀃 𘀄 𘀅 𘀆 𘀇 𘀈 𘀉 𘀊 𘀋 𘀌 𘀍 𘀎 𘀏 𘀐 𘀑 𘀒 𘀓 𘀔 𘀕 𘀖 𘀗 𘀘 𘀙 𘀚 𘀛 𘀜 𘀝 𘀞 𘀟 𘀠 𘀡 𘀢 𘀣 𘀤 𘀥 𘀦 𘀧 𘀨 𘀩 𘀪 𘀫 𘀬 𘀭 𘀮 𘀯 𘀰 𘀱 𘀲 𘀳 𘀴 𘀵 𘀶 𘀷 𘀸 𘀹 𘀺 𘀻 𘀼 𘀽 𘀾 𘀿 𘁀 𘁁 𘁂 𘁃 𘁄 𘁅 𘁆 𘁇 𘁈 𘁉 𘁊 𘁋 𘁌 𘁍 𘁎 𘁏 𘁐 𘁑 𘁒 𘁓 𘁔 𘁕 𘁖 𘁗 𘁘 𘁙 𘁚 𘁛 𘁜 𘁝 𘁞 𘁟 𘁠 𘁡 𘁢 𘁣 𘁤 𘁥 𘁦 𘁧 𘁨 𘁩 𘁪 𘁫 𘁬 𘁭 𘁮 𘁯 𘁰 𘁱 𘁲 𘁳 𘁴 𘁵 𘁶 𘁷 𘁸 𘁹 𘁺 𘁻 𘁼 𘁽 𘁾 𘁿 𘂀 𘂁 𘂂 𘂃 𘂄 𘂅 𘂆 𘂇 𘂈 𘂉 𘂊 𘂋 𘂌 𘂍 𘂎 𘂏 𘂐 𘂑 𘂒 𘂓 𘂔 𘂕 𘂖 𘂗 𘂘 𘂙 𘂚 𘂛 𘂜 𘂝 𘂞 𘂟 𘂠 𘂡 𘂢 𘂣 𘂤 𘂥 𘂦 𘂧 𘂨 𘂩 𘂪 𘂫 𘂬 𘂭 𘂮 𘂯 𘂰 𘂱 𘂲 𘂳 𘂴 𘂵 𘂶 𘂷 𘂸 𘂹 𘂺 𘂻 𘂼 𘂽 𘂾 𘂿 𘃀 𘃁 𘃂 𘃃 𘃄 𘃅 𘃆 𘃇 𘃈 𘃉 𘃊 𘃋 𘃌 𘃍 𘃎 𘃏 𘃐 𘃑 𘃒 𘃓 𘃔 𘃕 𘃖 𘃗 𘃘 𘃙 𘃚 𘃛 𘃜 𘃝 𘃞 𘃟 𘃠 𘃡 𘃢 𘃣 𘃤 𘃥 𘃦 𘃧 𘃨 𘃩 𘃪 𘃫 𘃬 𘃭 𘃮 𘃯 𘃰 𘃱 𘃲 𘃳 𘃴 𘃵 𘃶 𘃷 𘃸 𘃹 𘃺 𘃻 𘃼 𘃽 𘃾</t>
        </is>
      </c>
      <c r="P451" s="37" t="inlineStr">
        <is>
          <t>𘀀 𘀁 𘀂 𘀃 𘀄 𘀅 𘀆 𘀇 𘀈 𘀉 𘀊 𘀋 𘀌 𘀍 𘀎 𘀏 𘀐 𘀑 𘀒 𘀓 𘀔 𘀕 𘀖 𘀗 𘀘 𘀙 𘀚 𘀛 𘀜 𘀝 𘀞 𘀟 𘀠 𘀡 𘀢 𘀣 𘀤 𘀥 𘀦 𘀧 𘀨 𘀩 𘀪 𘀫 𘀬 𘀭 𘀮 𘀯 𘀰 𘀱 𘀲 𘀳 𘀴 𘀵 𘀶 𘀷 𘀸 𘀹 𘀺 𘀻 𘀼 𘀽 𘀾 𘀿 𘁀 𘁁 𘁂 𘁃 𘁄 𘁅 𘁆 𘁇 𘁈 𘁉 𘁊 𘁋 𘁌 𘁍 𘁎 𘁏 𘁐 𘁑 𘁒 𘁓 𘁔 𘁕 𘁖 𘁗 𘁘 𘁙 𘁚 𘁛 𘁜 𘁝 𘁞 𘁟 𘁠 𘁡 𘁢 𘁣 𘁤 𘁥 𘁦 𘁧 𘁨 𘁩 𘁪 𘁫 𘁬 𘁭 𘁮 𘁯 𘁰 𘁱 𘁲 𘁳 𘁴 𘁵 𘁶 𘁷 𘁸 𘁹 𘁺 𘁻 𘁼 𘁽 𘁾 𘁿 𘂀 𘂁 𘂂 𘂃 𘂄 𘂅 𘂆 𘂇 𘂈 𘂉 𘂊 𘂋 𘂌 𘂍 𘂎 𘂏 𘂐 𘂑 𘂒 𘂓 𘂔 𘂕 𘂖 𘂗 𘂘 𘂙 𘂚 𘂛 𘂜 𘂝 𘂞 𘂟 𘂠 𘂡 𘂢 𘂣 𘂤 𘂥 𘂦 𘂧 𘂨 𘂩 𘂪 𘂫 𘂬 𘂭 𘂮 𘂯 𘂰 𘂱 𘂲 𘂳 𘂴 𘂵 𘂶 𘂷 𘂸 𘂹 𘂺 𘂻 𘂼 𘂽 𘂾 𘂿 𘃀 𘃁 𘃂 𘃃 𘃄 𘃅 𘃆 𘃇 𘃈 𘃉 𘃊 𘃋 𘃌 𘃍 𘃎 𘃏 𘃐 𘃑 𘃒 𘃓 𘃔 𘃕 𘃖 𘃗 𘃘 𘃙 𘃚 𘃛 𘃜 𘃝 𘃞 𘃟 𘃠 𘃡 𘃢 𘃣 𘃤 𘃥 𘃦 𘃧 𘃨 𘃩 𘃪 𘃫 𘃬 𘃭 𘃮 𘃯 𘃰 𘃱 𘃲 𘃳 𘃴 𘃵 𘃶 𘃷 𘃸 𘃹 𘃺 𘃻 𘃼 𘃽 𘃾</t>
        </is>
      </c>
      <c r="Q451" s="38" t="inlineStr">
        <is>
          <t>𘀀 𘀁 𘀂 𘀃 𘀄 𘀅 𘀆 𘀇 𘀈 𘀉 𘀊 𘀋 𘀌 𘀍 𘀎 𘀏 𘀐 𘀑 𘀒 𘀓 𘀔 𘀕 𘀖 𘀗 𘀘 𘀙 𘀚 𘀛 𘀜 𘀝 𘀞 𘀟 𘀠 𘀡 𘀢 𘀣 𘀤 𘀥 𘀦 𘀧 𘀨 𘀩 𘀪 𘀫 𘀬 𘀭 𘀮 𘀯 𘀰 𘀱 𘀲 𘀳 𘀴 𘀵 𘀶 𘀷 𘀸 𘀹 𘀺 𘀻 𘀼 𘀽 𘀾 𘀿 𘁀 𘁁 𘁂 𘁃 𘁄 𘁅 𘁆 𘁇 𘁈 𘁉 𘁊 𘁋 𘁌 𘁍 𘁎 𘁏 𘁐 𘁑 𘁒 𘁓 𘁔 𘁕 𘁖 𘁗 𘁘 𘁙 𘁚 𘁛 𘁜 𘁝 𘁞 𘁟 𘁠 𘁡 𘁢 𘁣 𘁤 𘁥 𘁦 𘁧 𘁨 𘁩 𘁪 𘁫 𘁬 𘁭 𘁮 𘁯 𘁰 𘁱 𘁲 𘁳 𘁴 𘁵 𘁶 𘁷 𘁸 𘁹 𘁺 𘁻 𘁼 𘁽 𘁾 𘁿 𘂀 𘂁 𘂂 𘂃 𘂄 𘂅 𘂆 𘂇 𘂈 𘂉 𘂊 𘂋 𘂌 𘂍 𘂎 𘂏 𘂐 𘂑 𘂒 𘂓 𘂔 𘂕 𘂖 𘂗 𘂘 𘂙 𘂚 𘂛 𘂜 𘂝 𘂞 𘂟 𘂠 𘂡 𘂢 𘂣 𘂤 𘂥 𘂦 𘂧 𘂨 𘂩 𘂪 𘂫 𘂬 𘂭 𘂮 𘂯 𘂰 𘂱 𘂲 𘂳 𘂴 𘂵 𘂶 𘂷 𘂸 𘂹 𘂺 𘂻 𘂼 𘂽 𘂾 𘂿 𘃀 𘃁 𘃂 𘃃 𘃄 𘃅 𘃆 𘃇 𘃈 𘃉 𘃊 𘃋 𘃌 𘃍 𘃎 𘃏 𘃐 𘃑 𘃒 𘃓 𘃔 𘃕 𘃖 𘃗 𘃘 𘃙 𘃚 𘃛 𘃜 𘃝 𘃞 𘃟 𘃠 𘃡 𘃢 𘃣 𘃤 𘃥 𘃦 𘃧 𘃨 𘃩 𘃪 𘃫 𘃬 𘃭 𘃮 𘃯 𘃰 𘃱 𘃲 𘃳 𘃴 𘃵 𘃶 𘃷 𘃸 𘃹 𘃺 𘃻 𘃼 𘃽 𘃾</t>
        </is>
      </c>
      <c r="R451" s="43" t="inlineStr"/>
      <c r="S451" s="40" t="n"/>
      <c r="V451" s="14">
        <f>(LEN(O451)+1)/2</f>
        <v/>
      </c>
      <c r="W451" s="14">
        <f>ROUNDDOWN((LEN(P451)+1)/2,0)</f>
        <v/>
      </c>
      <c r="X451" s="14">
        <f>ROUNDDOWN((LEN(Q451)+1)/2,0)</f>
        <v/>
      </c>
      <c r="Y451" s="14">
        <f>ROUNDDOWN((LEN(R451)+1)/2,0)</f>
        <v/>
      </c>
      <c r="Z451" s="14">
        <f>ROUNDDOWN((LEN(S451)+1)/2,0)</f>
        <v/>
      </c>
      <c r="AA451" s="56" t="n">
        <v>46150.55867637317</v>
      </c>
    </row>
    <row r="452" ht="102" customHeight="1">
      <c r="B452" s="46" t="inlineStr">
        <is>
          <t>U+180FF-U+181FD</t>
        </is>
      </c>
      <c r="C452" s="46" t="inlineStr">
        <is>
          <t>Tangut</t>
        </is>
      </c>
      <c r="D452" s="54">
        <f>HEX2DEC(MID(B452,3,FIND("-",E452)-3))</f>
        <v/>
      </c>
      <c r="E452" s="46" t="inlineStr">
        <is>
          <t>U+17000-U+187FF</t>
        </is>
      </c>
      <c r="F452" s="12" t="n">
        <v>4</v>
      </c>
      <c r="J452" s="19">
        <f>ROUNDDOWN(W452,0)/$V452</f>
        <v/>
      </c>
      <c r="K452" s="19">
        <f>ROUNDDOWN(X452,0)/$V452</f>
        <v/>
      </c>
      <c r="L452" s="19">
        <f>ROUNDDOWN(Y452,0)/$V452</f>
        <v/>
      </c>
      <c r="M452" s="19">
        <f>ROUNDDOWN(Z452,0)/$V452</f>
        <v/>
      </c>
      <c r="O452" s="36" t="inlineStr">
        <is>
          <t>𘃿 𘄀 𘄁 𘄂 𘄃 𘄄 𘄅 𘄆 𘄇 𘄈 𘄉 𘄊 𘄋 𘄌 𘄍 𘄎 𘄏 𘄐 𘄑 𘄒 𘄓 𘄔 𘄕 𘄖 𘄗 𘄘 𘄙 𘄚 𘄛 𘄜 𘄝 𘄞 𘄟 𘄠 𘄡 𘄢 𘄣 𘄤 𘄥 𘄦 𘄧 𘄨 𘄩 𘄪 𘄫 𘄬 𘄭 𘄮 𘄯 𘄰 𘄱 𘄲 𘄳 𘄴 𘄵 𘄶 𘄷 𘄸 𘄹 𘄺 𘄻 𘄼 𘄽 𘄾 𘄿 𘅀 𘅁 𘅂 𘅃 𘅄 𘅅 𘅆 𘅇 𘅈 𘅉 𘅊 𘅋 𘅌 𘅍 𘅎 𘅏 𘅐 𘅑 𘅒 𘅓 𘅔 𘅕 𘅖 𘅗 𘅘 𘅙 𘅚 𘅛 𘅜 𘅝 𘅞 𘅟 𘅠 𘅡 𘅢 𘅣 𘅤 𘅥 𘅦 𘅧 𘅨 𘅩 𘅪 𘅫 𘅬 𘅭 𘅮 𘅯 𘅰 𘅱 𘅲 𘅳 𘅴 𘅵 𘅶 𘅷 𘅸 𘅹 𘅺 𘅻 𘅼 𘅽 𘅾 𘅿 𘆀 𘆁 𘆂 𘆃 𘆄 𘆅 𘆆 𘆇 𘆈 𘆉 𘆊 𘆋 𘆌 𘆍 𘆎 𘆏 𘆐 𘆑 𘆒 𘆓 𘆔 𘆕 𘆖 𘆗 𘆘 𘆙 𘆚 𘆛 𘆜 𘆝 𘆞 𘆟 𘆠 𘆡 𘆢 𘆣 𘆤 𘆥 𘆦 𘆧 𘆨 𘆩 𘆪 𘆫 𘆬 𘆭 𘆮 𘆯 𘆰 𘆱 𘆲 𘆳 𘆴 𘆵 𘆶 𘆷 𘆸 𘆹 𘆺 𘆻 𘆼 𘆽 𘆾 𘆿 𘇀 𘇁 𘇂 𘇃 𘇄 𘇅 𘇆 𘇇 𘇈 𘇉 𘇊 𘇋 𘇌 𘇍 𘇎 𘇏 𘇐 𘇑 𘇒 𘇓 𘇔 𘇕 𘇖 𘇗 𘇘 𘇙 𘇚 𘇛 𘇜 𘇝 𘇞 𘇟 𘇠 𘇡 𘇢 𘇣 𘇤 𘇥 𘇦 𘇧 𘇨 𘇩 𘇪 𘇫 𘇬 𘇭 𘇮 𘇯 𘇰 𘇱 𘇲 𘇳 𘇴 𘇵 𘇶 𘇷 𘇸 𘇹 𘇺 𘇻 𘇼 𘇽</t>
        </is>
      </c>
      <c r="P452" s="37" t="inlineStr">
        <is>
          <t>𘃿 𘄀 𘄁 𘄂 𘄃 𘄄 𘄅 𘄆 𘄇 𘄈 𘄉 𘄊 𘄋 𘄌 𘄍 𘄎 𘄏 𘄐 𘄑 𘄒 𘄓 𘄔 𘄕 𘄖 𘄗 𘄘 𘄙 𘄚 𘄛 𘄜 𘄝 𘄞 𘄟 𘄠 𘄡 𘄢 𘄣 𘄤 𘄥 𘄦 𘄧 𘄨 𘄩 𘄪 𘄫 𘄬 𘄭 𘄮 𘄯 𘄰 𘄱 𘄲 𘄳 𘄴 𘄵 𘄶 𘄷 𘄸 𘄹 𘄺 𘄻 𘄼 𘄽 𘄾 𘄿 𘅀 𘅁 𘅂 𘅃 𘅄 𘅅 𘅆 𘅇 𘅈 𘅉 𘅊 𘅋 𘅌 𘅍 𘅎 𘅏 𘅐 𘅑 𘅒 𘅓 𘅔 𘅕 𘅖 𘅗 𘅘 𘅙 𘅚 𘅛 𘅜 𘅝 𘅞 𘅟 𘅠 𘅡 𘅢 𘅣 𘅤 𘅥 𘅦 𘅧 𘅨 𘅩 𘅪 𘅫 𘅬 𘅭 𘅮 𘅯 𘅰 𘅱 𘅲 𘅳 𘅴 𘅵 𘅶 𘅷 𘅸 𘅹 𘅺 𘅻 𘅼 𘅽 𘅾 𘅿 𘆀 𘆁 𘆂 𘆃 𘆄 𘆅 𘆆 𘆇 𘆈 𘆉 𘆊 𘆋 𘆌 𘆍 𘆎 𘆏 𘆐 𘆑 𘆒 𘆓 𘆔 𘆕 𘆖 𘆗 𘆘 𘆙 𘆚 𘆛 𘆜 𘆝 𘆞 𘆟 𘆠 𘆡 𘆢 𘆣 𘆤 𘆥 𘆦 𘆧 𘆨 𘆩 𘆪 𘆫 𘆬 𘆭 𘆮 𘆯 𘆰 𘆱 𘆲 𘆳 𘆴 𘆵 𘆶 𘆷 𘆸 𘆹 𘆺 𘆻 𘆼 𘆽 𘆾 𘆿 𘇀 𘇁 𘇂 𘇃 𘇄 𘇅 𘇆 𘇇 𘇈 𘇉 𘇊 𘇋 𘇌 𘇍 𘇎 𘇏 𘇐 𘇑 𘇒 𘇓 𘇔 𘇕 𘇖 𘇗 𘇘 𘇙 𘇚 𘇛 𘇜 𘇝 𘇞 𘇟 𘇠 𘇡 𘇢 𘇣 𘇤 𘇥 𘇦 𘇧 𘇨 𘇩 𘇪 𘇫 𘇬 𘇭 𘇮 𘇯 𘇰 𘇱 𘇲 𘇳 𘇴 𘇵 𘇶 𘇷 𘇸 𘇹 𘇺 𘇻 𘇼 𘇽</t>
        </is>
      </c>
      <c r="Q452" s="38" t="inlineStr">
        <is>
          <t>𘃿 𘄀 𘄁 𘄂 𘄃 𘄄 𘄅 𘄆 𘄇 𘄈 𘄉 𘄊 𘄋 𘄌 𘄍 𘄎 𘄏 𘄐 𘄑 𘄒 𘄓 𘄔 𘄕 𘄖 𘄗 𘄘 𘄙 𘄚 𘄛 𘄜 𘄝 𘄞 𘄟 𘄠 𘄡 𘄢 𘄣 𘄤 𘄥 𘄦 𘄧 𘄨 𘄩 𘄪 𘄫 𘄬 𘄭 𘄮 𘄯 𘄰 𘄱 𘄲 𘄳 𘄴 𘄵 𘄶 𘄷 𘄸 𘄹 𘄺 𘄻 𘄼 𘄽 𘄾 𘄿 𘅀 𘅁 𘅂 𘅃 𘅄 𘅅 𘅆 𘅇 𘅈 𘅉 𘅊 𘅋 𘅌 𘅍 𘅎 𘅏 𘅐 𘅑 𘅒 𘅓 𘅔 𘅕 𘅖 𘅗 𘅘 𘅙 𘅚 𘅛 𘅜 𘅝 𘅞 𘅟 𘅠 𘅡 𘅢 𘅣 𘅤 𘅥 𘅦 𘅧 𘅨 𘅩 𘅪 𘅫 𘅬 𘅭 𘅮 𘅯 𘅰 𘅱 𘅲 𘅳 𘅴 𘅵 𘅶 𘅷 𘅸 𘅹 𘅺 𘅻 𘅼 𘅽 𘅾 𘅿 𘆀 𘆁 𘆂 𘆃 𘆄 𘆅 𘆆 𘆇 𘆈 𘆉 𘆊 𘆋 𘆌 𘆍 𘆎 𘆏 𘆐 𘆑 𘆒 𘆓 𘆔 𘆕 𘆖 𘆗 𘆘 𘆙 𘆚 𘆛 𘆜 𘆝 𘆞 𘆟 𘆠 𘆡 𘆢 𘆣 𘆤 𘆥 𘆦 𘆧 𘆨 𘆩 𘆪 𘆫 𘆬 𘆭 𘆮 𘆯 𘆰 𘆱 𘆲 𘆳 𘆴 𘆵 𘆶 𘆷 𘆸 𘆹 𘆺 𘆻 𘆼 𘆽 𘆾 𘆿 𘇀 𘇁 𘇂 𘇃 𘇄 𘇅 𘇆 𘇇 𘇈 𘇉 𘇊 𘇋 𘇌 𘇍 𘇎 𘇏 𘇐 𘇑 𘇒 𘇓 𘇔 𘇕 𘇖 𘇗 𘇘 𘇙 𘇚 𘇛 𘇜 𘇝 𘇞 𘇟 𘇠 𘇡 𘇢 𘇣 𘇤 𘇥 𘇦 𘇧 𘇨 𘇩 𘇪 𘇫 𘇬 𘇭 𘇮 𘇯 𘇰 𘇱 𘇲 𘇳 𘇴 𘇵 𘇶 𘇷 𘇸 𘇹 𘇺 𘇻 𘇼 𘇽</t>
        </is>
      </c>
      <c r="R452" s="43" t="inlineStr"/>
      <c r="S452" s="40" t="n"/>
      <c r="V452" s="14">
        <f>(LEN(O452)+1)/2</f>
        <v/>
      </c>
      <c r="W452" s="14">
        <f>ROUNDDOWN((LEN(P452)+1)/2,0)</f>
        <v/>
      </c>
      <c r="X452" s="14">
        <f>ROUNDDOWN((LEN(Q452)+1)/2,0)</f>
        <v/>
      </c>
      <c r="Y452" s="14">
        <f>ROUNDDOWN((LEN(R452)+1)/2,0)</f>
        <v/>
      </c>
      <c r="Z452" s="14">
        <f>ROUNDDOWN((LEN(S452)+1)/2,0)</f>
        <v/>
      </c>
      <c r="AA452" s="56" t="n">
        <v>46150.55867741905</v>
      </c>
    </row>
    <row r="453" ht="102" customHeight="1">
      <c r="B453" s="46" t="inlineStr">
        <is>
          <t>U+181FE-U+182FC</t>
        </is>
      </c>
      <c r="C453" s="46" t="inlineStr">
        <is>
          <t>Tangut</t>
        </is>
      </c>
      <c r="D453" s="54">
        <f>HEX2DEC(MID(B453,3,FIND("-",E453)-3))</f>
        <v/>
      </c>
      <c r="E453" s="46" t="inlineStr">
        <is>
          <t>U+17000-U+187FF</t>
        </is>
      </c>
      <c r="F453" s="12" t="n">
        <v>4</v>
      </c>
      <c r="J453" s="19">
        <f>ROUNDDOWN(W453,0)/$V453</f>
        <v/>
      </c>
      <c r="K453" s="19">
        <f>ROUNDDOWN(X453,0)/$V453</f>
        <v/>
      </c>
      <c r="L453" s="19">
        <f>ROUNDDOWN(Y453,0)/$V453</f>
        <v/>
      </c>
      <c r="M453" s="19">
        <f>ROUNDDOWN(Z453,0)/$V453</f>
        <v/>
      </c>
      <c r="O453" s="36" t="inlineStr">
        <is>
          <t>𘇾 𘇿 𘈀 𘈁 𘈂 𘈃 𘈄 𘈅 𘈆 𘈇 𘈈 𘈉 𘈊 𘈋 𘈌 𘈍 𘈎 𘈏 𘈐 𘈑 𘈒 𘈓 𘈔 𘈕 𘈖 𘈗 𘈘 𘈙 𘈚 𘈛 𘈜 𘈝 𘈞 𘈟 𘈠 𘈡 𘈢 𘈣 𘈤 𘈥 𘈦 𘈧 𘈨 𘈩 𘈪 𘈫 𘈬 𘈭 𘈮 𘈯 𘈰 𘈱 𘈲 𘈳 𘈴 𘈵 𘈶 𘈷 𘈸 𘈹 𘈺 𘈻 𘈼 𘈽 𘈾 𘈿 𘉀 𘉁 𘉂 𘉃 𘉄 𘉅 𘉆 𘉇 𘉈 𘉉 𘉊 𘉋 𘉌 𘉍 𘉎 𘉏 𘉐 𘉑 𘉒 𘉓 𘉔 𘉕 𘉖 𘉗 𘉘 𘉙 𘉚 𘉛 𘉜 𘉝 𘉞 𘉟 𘉠 𘉡 𘉢 𘉣 𘉤 𘉥 𘉦 𘉧 𘉨 𘉩 𘉪 𘉫 𘉬 𘉭 𘉮 𘉯 𘉰 𘉱 𘉲 𘉳 𘉴 𘉵 𘉶 𘉷 𘉸 𘉹 𘉺 𘉻 𘉼 𘉽 𘉾 𘉿 𘊀 𘊁 𘊂 𘊃 𘊄 𘊅 𘊆 𘊇 𘊈 𘊉 𘊊 𘊋 𘊌 𘊍 𘊎 𘊏 𘊐 𘊑 𘊒 𘊓 𘊔 𘊕 𘊖 𘊗 𘊘 𘊙 𘊚 𘊛 𘊜 𘊝 𘊞 𘊟 𘊠 𘊡 𘊢 𘊣 𘊤 𘊥 𘊦 𘊧 𘊨 𘊩 𘊪 𘊫 𘊬 𘊭 𘊮 𘊯 𘊰 𘊱 𘊲 𘊳 𘊴 𘊵 𘊶 𘊷 𘊸 𘊹 𘊺 𘊻 𘊼 𘊽 𘊾 𘊿 𘋀 𘋁 𘋂 𘋃 𘋄 𘋅 𘋆 𘋇 𘋈 𘋉 𘋊 𘋋 𘋌 𘋍 𘋎 𘋏 𘋐 𘋑 𘋒 𘋓 𘋔 𘋕 𘋖 𘋗 𘋘 𘋙 𘋚 𘋛 𘋜 𘋝 𘋞 𘋟 𘋠 𘋡 𘋢 𘋣 𘋤 𘋥 𘋦 𘋧 𘋨 𘋩 𘋪 𘋫 𘋬 𘋭 𘋮 𘋯 𘋰 𘋱 𘋲 𘋳 𘋴 𘋵 𘋶 𘋷 𘋸 𘋹 𘋺 𘋻 𘋼</t>
        </is>
      </c>
      <c r="P453" s="37" t="inlineStr">
        <is>
          <t>𘇾 𘇿 𘈀 𘈁 𘈂 𘈃 𘈄 𘈅 𘈆 𘈇 𘈈 𘈉 𘈊 𘈋 𘈌 𘈍 𘈎 𘈏 𘈐 𘈑 𘈒 𘈓 𘈔 𘈕 𘈖 𘈗 𘈘 𘈙 𘈚 𘈛 𘈜 𘈝 𘈞 𘈟 𘈠 𘈡 𘈢 𘈣 𘈤 𘈥 𘈦 𘈧 𘈨 𘈩 𘈪 𘈫 𘈬 𘈭 𘈮 𘈯 𘈰 𘈱 𘈲 𘈳 𘈴 𘈵 𘈶 𘈷 𘈸 𘈹 𘈺 𘈻 𘈼 𘈽 𘈾 𘈿 𘉀 𘉁 𘉂 𘉃 𘉄 𘉅 𘉆 𘉇 𘉈 𘉉 𘉊 𘉋 𘉌 𘉍 𘉎 𘉏 𘉐 𘉑 𘉒 𘉓 𘉔 𘉕 𘉖 𘉗 𘉘 𘉙 𘉚 𘉛 𘉜 𘉝 𘉞 𘉟 𘉠 𘉡 𘉢 𘉣 𘉤 𘉥 𘉦 𘉧 𘉨 𘉩 𘉪 𘉫 𘉬 𘉭 𘉮 𘉯 𘉰 𘉱 𘉲 𘉳 𘉴 𘉵 𘉶 𘉷 𘉸 𘉹 𘉺 𘉻 𘉼 𘉽 𘉾 𘉿 𘊀 𘊁 𘊂 𘊃 𘊄 𘊅 𘊆 𘊇 𘊈 𘊉 𘊊 𘊋 𘊌 𘊍 𘊎 𘊏 𘊐 𘊑 𘊒 𘊓 𘊔 𘊕 𘊖 𘊗 𘊘 𘊙 𘊚 𘊛 𘊜 𘊝 𘊞 𘊟 𘊠 𘊡 𘊢 𘊣 𘊤 𘊥 𘊦 𘊧 𘊨 𘊩 𘊪 𘊫 𘊬 𘊭 𘊮 𘊯 𘊰 𘊱 𘊲 𘊳 𘊴 𘊵 𘊶 𘊷 𘊸 𘊹 𘊺 𘊻 𘊼 𘊽 𘊾 𘊿 𘋀 𘋁 𘋂 𘋃 𘋄 𘋅 𘋆 𘋇 𘋈 𘋉 𘋊 𘋋 𘋌 𘋍 𘋎 𘋏 𘋐 𘋑 𘋒 𘋓 𘋔 𘋕 𘋖 𘋗 𘋘 𘋙 𘋚 𘋛 𘋜 𘋝 𘋞 𘋟 𘋠 𘋡 𘋢 𘋣 𘋤 𘋥 𘋦 𘋧 𘋨 𘋩 𘋪 𘋫 𘋬 𘋭 𘋮 𘋯 𘋰 𘋱 𘋲 𘋳 𘋴 𘋵 𘋶 𘋷 𘋸 𘋹 𘋺 𘋻 𘋼</t>
        </is>
      </c>
      <c r="Q453" s="38" t="inlineStr">
        <is>
          <t>𘇾 𘇿 𘈀 𘈁 𘈂 𘈃 𘈄 𘈅 𘈆 𘈇 𘈈 𘈉 𘈊 𘈋 𘈌 𘈍 𘈎 𘈏 𘈐 𘈑 𘈒 𘈓 𘈔 𘈕 𘈖 𘈗 𘈘 𘈙 𘈚 𘈛 𘈜 𘈝 𘈞 𘈟 𘈠 𘈡 𘈢 𘈣 𘈤 𘈥 𘈦 𘈧 𘈨 𘈩 𘈪 𘈫 𘈬 𘈭 𘈮 𘈯 𘈰 𘈱 𘈲 𘈳 𘈴 𘈵 𘈶 𘈷 𘈸 𘈹 𘈺 𘈻 𘈼 𘈽 𘈾 𘈿 𘉀 𘉁 𘉂 𘉃 𘉄 𘉅 𘉆 𘉇 𘉈 𘉉 𘉊 𘉋 𘉌 𘉍 𘉎 𘉏 𘉐 𘉑 𘉒 𘉓 𘉔 𘉕 𘉖 𘉗 𘉘 𘉙 𘉚 𘉛 𘉜 𘉝 𘉞 𘉟 𘉠 𘉡 𘉢 𘉣 𘉤 𘉥 𘉦 𘉧 𘉨 𘉩 𘉪 𘉫 𘉬 𘉭 𘉮 𘉯 𘉰 𘉱 𘉲 𘉳 𘉴 𘉵 𘉶 𘉷 𘉸 𘉹 𘉺 𘉻 𘉼 𘉽 𘉾 𘉿 𘊀 𘊁 𘊂 𘊃 𘊄 𘊅 𘊆 𘊇 𘊈 𘊉 𘊊 𘊋 𘊌 𘊍 𘊎 𘊏 𘊐 𘊑 𘊒 𘊓 𘊔 𘊕 𘊖 𘊗 𘊘 𘊙 𘊚 𘊛 𘊜 𘊝 𘊞 𘊟 𘊠 𘊡 𘊢 𘊣 𘊤 𘊥 𘊦 𘊧 𘊨 𘊩 𘊪 𘊫 𘊬 𘊭 𘊮 𘊯 𘊰 𘊱 𘊲 𘊳 𘊴 𘊵 𘊶 𘊷 𘊸 𘊹 𘊺 𘊻 𘊼 𘊽 𘊾 𘊿 𘋀 𘋁 𘋂 𘋃 𘋄 𘋅 𘋆 𘋇 𘋈 𘋉 𘋊 𘋋 𘋌 𘋍 𘋎 𘋏 𘋐 𘋑 𘋒 𘋓 𘋔 𘋕 𘋖 𘋗 𘋘 𘋙 𘋚 𘋛 𘋜 𘋝 𘋞 𘋟 𘋠 𘋡 𘋢 𘋣 𘋤 𘋥 𘋦 𘋧 𘋨 𘋩 𘋪 𘋫 𘋬 𘋭 𘋮 𘋯 𘋰 𘋱 𘋲 𘋳 𘋴 𘋵 𘋶 𘋷 𘋸 𘋹 𘋺 𘋻 𘋼</t>
        </is>
      </c>
      <c r="R453" s="43" t="inlineStr"/>
      <c r="S453" s="40" t="n"/>
      <c r="V453" s="14">
        <f>(LEN(O453)+1)/2</f>
        <v/>
      </c>
      <c r="W453" s="14">
        <f>ROUNDDOWN((LEN(P453)+1)/2,0)</f>
        <v/>
      </c>
      <c r="X453" s="14">
        <f>ROUNDDOWN((LEN(Q453)+1)/2,0)</f>
        <v/>
      </c>
      <c r="Y453" s="14">
        <f>ROUNDDOWN((LEN(R453)+1)/2,0)</f>
        <v/>
      </c>
      <c r="Z453" s="14">
        <f>ROUNDDOWN((LEN(S453)+1)/2,0)</f>
        <v/>
      </c>
      <c r="AA453" s="56" t="n">
        <v>46150.55867848291</v>
      </c>
    </row>
    <row r="454" ht="102" customHeight="1">
      <c r="B454" s="46" t="inlineStr">
        <is>
          <t>U+182FD-U+183FB</t>
        </is>
      </c>
      <c r="C454" s="46" t="inlineStr">
        <is>
          <t>Tangut</t>
        </is>
      </c>
      <c r="D454" s="54">
        <f>HEX2DEC(MID(B454,3,FIND("-",E454)-3))</f>
        <v/>
      </c>
      <c r="E454" s="46" t="inlineStr">
        <is>
          <t>U+17000-U+187FF</t>
        </is>
      </c>
      <c r="F454" s="12" t="n">
        <v>4</v>
      </c>
      <c r="J454" s="19">
        <f>ROUNDDOWN(W454,0)/$V454</f>
        <v/>
      </c>
      <c r="K454" s="19">
        <f>ROUNDDOWN(X454,0)/$V454</f>
        <v/>
      </c>
      <c r="L454" s="19">
        <f>ROUNDDOWN(Y454,0)/$V454</f>
        <v/>
      </c>
      <c r="M454" s="19">
        <f>ROUNDDOWN(Z454,0)/$V454</f>
        <v/>
      </c>
      <c r="O454" s="36" t="inlineStr">
        <is>
          <t>𘋽 𘋾 𘋿 𘌀 𘌁 𘌂 𘌃 𘌄 𘌅 𘌆 𘌇 𘌈 𘌉 𘌊 𘌋 𘌌 𘌍 𘌎 𘌏 𘌐 𘌑 𘌒 𘌓 𘌔 𘌕 𘌖 𘌗 𘌘 𘌙 𘌚 𘌛 𘌜 𘌝 𘌞 𘌟 𘌠 𘌡 𘌢 𘌣 𘌤 𘌥 𘌦 𘌧 𘌨 𘌩 𘌪 𘌫 𘌬 𘌭 𘌮 𘌯 𘌰 𘌱 𘌲 𘌳 𘌴 𘌵 𘌶 𘌷 𘌸 𘌹 𘌺 𘌻 𘌼 𘌽 𘌾 𘌿 𘍀 𘍁 𘍂 𘍃 𘍄 𘍅 𘍆 𘍇 𘍈 𘍉 𘍊 𘍋 𘍌 𘍍 𘍎 𘍏 𘍐 𘍑 𘍒 𘍓 𘍔 𘍕 𘍖 𘍗 𘍘 𘍙 𘍚 𘍛 𘍜 𘍝 𘍞 𘍟 𘍠 𘍡 𘍢 𘍣 𘍤 𘍥 𘍦 𘍧 𘍨 𘍩 𘍪 𘍫 𘍬 𘍭 𘍮 𘍯 𘍰 𘍱 𘍲 𘍳 𘍴 𘍵 𘍶 𘍷 𘍸 𘍹 𘍺 𘍻 𘍼 𘍽 𘍾 𘍿 𘎀 𘎁 𘎂 𘎃 𘎄 𘎅 𘎆 𘎇 𘎈 𘎉 𘎊 𘎋 𘎌 𘎍 𘎎 𘎏 𘎐 𘎑 𘎒 𘎓 𘎔 𘎕 𘎖 𘎗 𘎘 𘎙 𘎚 𘎛 𘎜 𘎝 𘎞 𘎟 𘎠 𘎡 𘎢 𘎣 𘎤 𘎥 𘎦 𘎧 𘎨 𘎩 𘎪 𘎫 𘎬 𘎭 𘎮 𘎯 𘎰 𘎱 𘎲 𘎳 𘎴 𘎵 𘎶 𘎷 𘎸 𘎹 𘎺 𘎻 𘎼 𘎽 𘎾 𘎿 𘏀 𘏁 𘏂 𘏃 𘏄 𘏅 𘏆 𘏇 𘏈 𘏉 𘏊 𘏋 𘏌 𘏍 𘏎 𘏏 𘏐 𘏑 𘏒 𘏓 𘏔 𘏕 𘏖 𘏗 𘏘 𘏙 𘏚 𘏛 𘏜 𘏝 𘏞 𘏟 𘏠 𘏡 𘏢 𘏣 𘏤 𘏥 𘏦 𘏧 𘏨 𘏩 𘏪 𘏫 𘏬 𘏭 𘏮 𘏯 𘏰 𘏱 𘏲 𘏳 𘏴 𘏵 𘏶 𘏷 𘏸 𘏹 𘏺 𘏻</t>
        </is>
      </c>
      <c r="P454" s="37" t="inlineStr">
        <is>
          <t>𘋽 𘋾 𘋿 𘌀 𘌁 𘌂 𘌃 𘌄 𘌅 𘌆 𘌇 𘌈 𘌉 𘌊 𘌋 𘌌 𘌍 𘌎 𘌏 𘌐 𘌑 𘌒 𘌓 𘌔 𘌕 𘌖 𘌗 𘌘 𘌙 𘌚 𘌛 𘌜 𘌝 𘌞 𘌟 𘌠 𘌡 𘌢 𘌣 𘌤 𘌥 𘌦 𘌧 𘌨 𘌩 𘌪 𘌫 𘌬 𘌭 𘌮 𘌯 𘌰 𘌱 𘌲 𘌳 𘌴 𘌵 𘌶 𘌷 𘌸 𘌹 𘌺 𘌻 𘌼 𘌽 𘌾 𘌿 𘍀 𘍁 𘍂 𘍃 𘍄 𘍅 𘍆 𘍇 𘍈 𘍉 𘍊 𘍋 𘍌 𘍍 𘍎 𘍏 𘍐 𘍑 𘍒 𘍓 𘍔 𘍕 𘍖 𘍗 𘍘 𘍙 𘍚 𘍛 𘍜 𘍝 𘍞 𘍟 𘍠 𘍡 𘍢 𘍣 𘍤 𘍥 𘍦 𘍧 𘍨 𘍩 𘍪 𘍫 𘍬 𘍭 𘍮 𘍯 𘍰 𘍱 𘍲 𘍳 𘍴 𘍵 𘍶 𘍷 𘍸 𘍹 𘍺 𘍻 𘍼 𘍽 𘍾 𘍿 𘎀 𘎁 𘎂 𘎃 𘎄 𘎅 𘎆 𘎇 𘎈 𘎉 𘎊 𘎋 𘎌 𘎍 𘎎 𘎏 𘎐 𘎑 𘎒 𘎓 𘎔 𘎕 𘎖 𘎗 𘎘 𘎙 𘎚 𘎛 𘎜 𘎝 𘎞 𘎟 𘎠 𘎡 𘎢 𘎣 𘎤 𘎥 𘎦 𘎧 𘎨 𘎩 𘎪 𘎫 𘎬 𘎭 𘎮 𘎯 𘎰 𘎱 𘎲 𘎳 𘎴 𘎵 𘎶 𘎷 𘎸 𘎹 𘎺 𘎻 𘎼 𘎽 𘎾 𘎿 𘏀 𘏁 𘏂 𘏃 𘏄 𘏅 𘏆 𘏇 𘏈 𘏉 𘏊 𘏋 𘏌 𘏍 𘏎 𘏏 𘏐 𘏑 𘏒 𘏓 𘏔 𘏕 𘏖 𘏗 𘏘 𘏙 𘏚 𘏛 𘏜 𘏝 𘏞 𘏟 𘏠 𘏡 𘏢 𘏣 𘏤 𘏥 𘏦 𘏧 𘏨 𘏩 𘏪 𘏫 𘏬 𘏭 𘏮 𘏯 𘏰 𘏱 𘏲 𘏳 𘏴 𘏵 𘏶 𘏷 𘏸 𘏹 𘏺 𘏻</t>
        </is>
      </c>
      <c r="Q454" s="38" t="inlineStr">
        <is>
          <t>𘋽 𘋾 𘋿 𘌀 𘌁 𘌂 𘌃 𘌄 𘌅 𘌆 𘌇 𘌈 𘌉 𘌊 𘌋 𘌌 𘌍 𘌎 𘌏 𘌐 𘌑 𘌒 𘌓 𘌔 𘌕 𘌖 𘌗 𘌘 𘌙 𘌚 𘌛 𘌜 𘌝 𘌞 𘌟 𘌠 𘌡 𘌢 𘌣 𘌤 𘌥 𘌦 𘌧 𘌨 𘌩 𘌪 𘌫 𘌬 𘌭 𘌮 𘌯 𘌰 𘌱 𘌲 𘌳 𘌴 𘌵 𘌶 𘌷 𘌸 𘌹 𘌺 𘌻 𘌼 𘌽 𘌾 𘌿 𘍀 𘍁 𘍂 𘍃 𘍄 𘍅 𘍆 𘍇 𘍈 𘍉 𘍊 𘍋 𘍌 𘍍 𘍎 𘍏 𘍐 𘍑 𘍒 𘍓 𘍔 𘍕 𘍖 𘍗 𘍘 𘍙 𘍚 𘍛 𘍜 𘍝 𘍞 𘍟 𘍠 𘍡 𘍢 𘍣 𘍤 𘍥 𘍦 𘍧 𘍨 𘍩 𘍪 𘍫 𘍬 𘍭 𘍮 𘍯 𘍰 𘍱 𘍲 𘍳 𘍴 𘍵 𘍶 𘍷 𘍸 𘍹 𘍺 𘍻 𘍼 𘍽 𘍾 𘍿 𘎀 𘎁 𘎂 𘎃 𘎄 𘎅 𘎆 𘎇 𘎈 𘎉 𘎊 𘎋 𘎌 𘎍 𘎎 𘎏 𘎐 𘎑 𘎒 𘎓 𘎔 𘎕 𘎖 𘎗 𘎘 𘎙 𘎚 𘎛 𘎜 𘎝 𘎞 𘎟 𘎠 𘎡 𘎢 𘎣 𘎤 𘎥 𘎦 𘎧 𘎨 𘎩 𘎪 𘎫 𘎬 𘎭 𘎮 𘎯 𘎰 𘎱 𘎲 𘎳 𘎴 𘎵 𘎶 𘎷 𘎸 𘎹 𘎺 𘎻 𘎼 𘎽 𘎾 𘎿 𘏀 𘏁 𘏂 𘏃 𘏄 𘏅 𘏆 𘏇 𘏈 𘏉 𘏊 𘏋 𘏌 𘏍 𘏎 𘏏 𘏐 𘏑 𘏒 𘏓 𘏔 𘏕 𘏖 𘏗 𘏘 𘏙 𘏚 𘏛 𘏜 𘏝 𘏞 𘏟 𘏠 𘏡 𘏢 𘏣 𘏤 𘏥 𘏦 𘏧 𘏨 𘏩 𘏪 𘏫 𘏬 𘏭 𘏮 𘏯 𘏰 𘏱 𘏲 𘏳 𘏴 𘏵 𘏶 𘏷 𘏸 𘏹 𘏺 𘏻</t>
        </is>
      </c>
      <c r="R454" s="43" t="inlineStr"/>
      <c r="S454" s="40" t="n"/>
      <c r="V454" s="14">
        <f>(LEN(O454)+1)/2</f>
        <v/>
      </c>
      <c r="W454" s="14">
        <f>ROUNDDOWN((LEN(P454)+1)/2,0)</f>
        <v/>
      </c>
      <c r="X454" s="14">
        <f>ROUNDDOWN((LEN(Q454)+1)/2,0)</f>
        <v/>
      </c>
      <c r="Y454" s="14">
        <f>ROUNDDOWN((LEN(R454)+1)/2,0)</f>
        <v/>
      </c>
      <c r="Z454" s="14">
        <f>ROUNDDOWN((LEN(S454)+1)/2,0)</f>
        <v/>
      </c>
      <c r="AA454" s="56" t="n">
        <v>46150.55867953609</v>
      </c>
    </row>
    <row r="455" ht="102" customHeight="1">
      <c r="B455" s="46" t="inlineStr">
        <is>
          <t>U+183FC-U+184FA</t>
        </is>
      </c>
      <c r="C455" s="46" t="inlineStr">
        <is>
          <t>Tangut</t>
        </is>
      </c>
      <c r="D455" s="54">
        <f>HEX2DEC(MID(B455,3,FIND("-",E455)-3))</f>
        <v/>
      </c>
      <c r="E455" s="46" t="inlineStr">
        <is>
          <t>U+17000-U+187FF</t>
        </is>
      </c>
      <c r="F455" s="12" t="n">
        <v>4</v>
      </c>
      <c r="J455" s="19">
        <f>ROUNDDOWN(W455,0)/$V455</f>
        <v/>
      </c>
      <c r="K455" s="19">
        <f>ROUNDDOWN(X455,0)/$V455</f>
        <v/>
      </c>
      <c r="L455" s="19">
        <f>ROUNDDOWN(Y455,0)/$V455</f>
        <v/>
      </c>
      <c r="M455" s="19">
        <f>ROUNDDOWN(Z455,0)/$V455</f>
        <v/>
      </c>
      <c r="O455" s="36" t="inlineStr">
        <is>
          <t>𘏼 𘏽 𘏾 𘏿 𘐀 𘐁 𘐂 𘐃 𘐄 𘐅 𘐆 𘐇 𘐈 𘐉 𘐊 𘐋 𘐌 𘐍 𘐎 𘐏 𘐐 𘐑 𘐒 𘐓 𘐔 𘐕 𘐖 𘐗 𘐘 𘐙 𘐚 𘐛 𘐜 𘐝 𘐞 𘐟 𘐠 𘐡 𘐢 𘐣 𘐤 𘐥 𘐦 𘐧 𘐨 𘐩 𘐪 𘐫 𘐬 𘐭 𘐮 𘐯 𘐰 𘐱 𘐲 𘐳 𘐴 𘐵 𘐶 𘐷 𘐸 𘐹 𘐺 𘐻 𘐼 𘐽 𘐾 𘐿 𘑀 𘑁 𘑂 𘑃 𘑄 𘑅 𘑆 𘑇 𘑈 𘑉 𘑊 𘑋 𘑌 𘑍 𘑎 𘑏 𘑐 𘑑 𘑒 𘑓 𘑔 𘑕 𘑖 𘑗 𘑘 𘑙 𘑚 𘑛 𘑜 𘑝 𘑞 𘑟 𘑠 𘑡 𘑢 𘑣 𘑤 𘑥 𘑦 𘑧 𘑨 𘑩 𘑪 𘑫 𘑬 𘑭 𘑮 𘑯 𘑰 𘑱 𘑲 𘑳 𘑴 𘑵 𘑶 𘑷 𘑸 𘑹 𘑺 𘑻 𘑼 𘑽 𘑾 𘑿 𘒀 𘒁 𘒂 𘒃 𘒄 𘒅 𘒆 𘒇 𘒈 𘒉 𘒊 𘒋 𘒌 𘒍 𘒎 𘒏 𘒐 𘒑 𘒒 𘒓 𘒔 𘒕 𘒖 𘒗 𘒘 𘒙 𘒚 𘒛 𘒜 𘒝 𘒞 𘒟 𘒠 𘒡 𘒢 𘒣 𘒤 𘒥 𘒦 𘒧 𘒨 𘒩 𘒪 𘒫 𘒬 𘒭 𘒮 𘒯 𘒰 𘒱 𘒲 𘒳 𘒴 𘒵 𘒶 𘒷 𘒸 𘒹 𘒺 𘒻 𘒼 𘒽 𘒾 𘒿 𘓀 𘓁 𘓂 𘓃 𘓄 𘓅 𘓆 𘓇 𘓈 𘓉 𘓊 𘓋 𘓌 𘓍 𘓎 𘓏 𘓐 𘓑 𘓒 𘓓 𘓔 𘓕 𘓖 𘓗 𘓘 𘓙 𘓚 𘓛 𘓜 𘓝 𘓞 𘓟 𘓠 𘓡 𘓢 𘓣 𘓤 𘓥 𘓦 𘓧 𘓨 𘓩 𘓪 𘓫 𘓬 𘓭 𘓮 𘓯 𘓰 𘓱 𘓲 𘓳 𘓴 𘓵 𘓶 𘓷 𘓸 𘓹 𘓺</t>
        </is>
      </c>
      <c r="P455" s="37" t="inlineStr">
        <is>
          <t>𘏼 𘏽 𘏾 𘏿 𘐀 𘐁 𘐂 𘐃 𘐄 𘐅 𘐆 𘐇 𘐈 𘐉 𘐊 𘐋 𘐌 𘐍 𘐎 𘐏 𘐐 𘐑 𘐒 𘐓 𘐔 𘐕 𘐖 𘐗 𘐘 𘐙 𘐚 𘐛 𘐜 𘐝 𘐞 𘐟 𘐠 𘐡 𘐢 𘐣 𘐤 𘐥 𘐦 𘐧 𘐨 𘐩 𘐪 𘐫 𘐬 𘐭 𘐮 𘐯 𘐰 𘐱 𘐲 𘐳 𘐴 𘐵 𘐶 𘐷 𘐸 𘐹 𘐺 𘐻 𘐼 𘐽 𘐾 𘐿 𘑀 𘑁 𘑂 𘑃 𘑄 𘑅 𘑆 𘑇 𘑈 𘑉 𘑊 𘑋 𘑌 𘑍 𘑎 𘑏 𘑐 𘑑 𘑒 𘑓 𘑔 𘑕 𘑖 𘑗 𘑘 𘑙 𘑚 𘑛 𘑜 𘑝 𘑞 𘑟 𘑠 𘑡 𘑢 𘑣 𘑤 𘑥 𘑦 𘑧 𘑨 𘑩 𘑪 𘑫 𘑬 𘑭 𘑮 𘑯 𘑰 𘑱 𘑲 𘑳 𘑴 𘑵 𘑶 𘑷 𘑸 𘑹 𘑺 𘑻 𘑼 𘑽 𘑾 𘑿 𘒀 𘒁 𘒂 𘒃 𘒄 𘒅 𘒆 𘒇 𘒈 𘒉 𘒊 𘒋 𘒌 𘒍 𘒎 𘒏 𘒐 𘒑 𘒒 𘒓 𘒔 𘒕 𘒖 𘒗 𘒘 𘒙 𘒚 𘒛 𘒜 𘒝 𘒞 𘒟 𘒠 𘒡 𘒢 𘒣 𘒤 𘒥 𘒦 𘒧 𘒨 𘒩 𘒪 𘒫 𘒬 𘒭 𘒮 𘒯 𘒰 𘒱 𘒲 𘒳 𘒴 𘒵 𘒶 𘒷 𘒸 𘒹 𘒺 𘒻 𘒼 𘒽 𘒾 𘒿 𘓀 𘓁 𘓂 𘓃 𘓄 𘓅 𘓆 𘓇 𘓈 𘓉 𘓊 𘓋 𘓌 𘓍 𘓎 𘓏 𘓐 𘓑 𘓒 𘓓 𘓔 𘓕 𘓖 𘓗 𘓘 𘓙 𘓚 𘓛 𘓜 𘓝 𘓞 𘓟 𘓠 𘓡 𘓢 𘓣 𘓤 𘓥 𘓦 𘓧 𘓨 𘓩 𘓪 𘓫 𘓬 𘓭 𘓮 𘓯 𘓰 𘓱 𘓲 𘓳 𘓴 𘓵 𘓶 𘓷 𘓸 𘓹 𘓺</t>
        </is>
      </c>
      <c r="Q455" s="38" t="inlineStr">
        <is>
          <t>𘏼 𘏽 𘏾 𘏿 𘐀 𘐁 𘐂 𘐃 𘐄 𘐅 𘐆 𘐇 𘐈 𘐉 𘐊 𘐋 𘐌 𘐍 𘐎 𘐏 𘐐 𘐑 𘐒 𘐓 𘐔 𘐕 𘐖 𘐗 𘐘 𘐙 𘐚 𘐛 𘐜 𘐝 𘐞 𘐟 𘐠 𘐡 𘐢 𘐣 𘐤 𘐥 𘐦 𘐧 𘐨 𘐩 𘐪 𘐫 𘐬 𘐭 𘐮 𘐯 𘐰 𘐱 𘐲 𘐳 𘐴 𘐵 𘐶 𘐷 𘐸 𘐹 𘐺 𘐻 𘐼 𘐽 𘐾 𘐿 𘑀 𘑁 𘑂 𘑃 𘑄 𘑅 𘑆 𘑇 𘑈 𘑉 𘑊 𘑋 𘑌 𘑍 𘑎 𘑏 𘑐 𘑑 𘑒 𘑓 𘑔 𘑕 𘑖 𘑗 𘑘 𘑙 𘑚 𘑛 𘑜 𘑝 𘑞 𘑟 𘑠 𘑡 𘑢 𘑣 𘑤 𘑥 𘑦 𘑧 𘑨 𘑩 𘑪 𘑫 𘑬 𘑭 𘑮 𘑯 𘑰 𘑱 𘑲 𘑳 𘑴 𘑵 𘑶 𘑷 𘑸 𘑹 𘑺 𘑻 𘑼 𘑽 𘑾 𘑿 𘒀 𘒁 𘒂 𘒃 𘒄 𘒅 𘒆 𘒇 𘒈 𘒉 𘒊 𘒋 𘒌 𘒍 𘒎 𘒏 𘒐 𘒑 𘒒 𘒓 𘒔 𘒕 𘒖 𘒗 𘒘 𘒙 𘒚 𘒛 𘒜 𘒝 𘒞 𘒟 𘒠 𘒡 𘒢 𘒣 𘒤 𘒥 𘒦 𘒧 𘒨 𘒩 𘒪 𘒫 𘒬 𘒭 𘒮 𘒯 𘒰 𘒱 𘒲 𘒳 𘒴 𘒵 𘒶 𘒷 𘒸 𘒹 𘒺 𘒻 𘒼 𘒽 𘒾 𘒿 𘓀 𘓁 𘓂 𘓃 𘓄 𘓅 𘓆 𘓇 𘓈 𘓉 𘓊 𘓋 𘓌 𘓍 𘓎 𘓏 𘓐 𘓑 𘓒 𘓓 𘓔 𘓕 𘓖 𘓗 𘓘 𘓙 𘓚 𘓛 𘓜 𘓝 𘓞 𘓟 𘓠 𘓡 𘓢 𘓣 𘓤 𘓥 𘓦 𘓧 𘓨 𘓩 𘓪 𘓫 𘓬 𘓭 𘓮 𘓯 𘓰 𘓱 𘓲 𘓳 𘓴 𘓵 𘓶 𘓷 𘓸 𘓹 𘓺</t>
        </is>
      </c>
      <c r="R455" s="43" t="inlineStr"/>
      <c r="S455" s="40" t="n"/>
      <c r="V455" s="14">
        <f>(LEN(O455)+1)/2</f>
        <v/>
      </c>
      <c r="W455" s="14">
        <f>ROUNDDOWN((LEN(P455)+1)/2,0)</f>
        <v/>
      </c>
      <c r="X455" s="14">
        <f>ROUNDDOWN((LEN(Q455)+1)/2,0)</f>
        <v/>
      </c>
      <c r="Y455" s="14">
        <f>ROUNDDOWN((LEN(R455)+1)/2,0)</f>
        <v/>
      </c>
      <c r="Z455" s="14">
        <f>ROUNDDOWN((LEN(S455)+1)/2,0)</f>
        <v/>
      </c>
      <c r="AA455" s="56" t="n">
        <v>46150.55868059931</v>
      </c>
    </row>
    <row r="456" ht="102" customHeight="1">
      <c r="B456" s="46" t="inlineStr">
        <is>
          <t>U+184FB-U+185F9</t>
        </is>
      </c>
      <c r="C456" s="46" t="inlineStr">
        <is>
          <t>Tangut</t>
        </is>
      </c>
      <c r="D456" s="54">
        <f>HEX2DEC(MID(B456,3,FIND("-",E456)-3))</f>
        <v/>
      </c>
      <c r="E456" s="46" t="inlineStr">
        <is>
          <t>U+17000-U+187FF</t>
        </is>
      </c>
      <c r="F456" s="12" t="n">
        <v>4</v>
      </c>
      <c r="J456" s="19">
        <f>ROUNDDOWN(W456,0)/$V456</f>
        <v/>
      </c>
      <c r="K456" s="19">
        <f>ROUNDDOWN(X456,0)/$V456</f>
        <v/>
      </c>
      <c r="L456" s="19">
        <f>ROUNDDOWN(Y456,0)/$V456</f>
        <v/>
      </c>
      <c r="M456" s="19">
        <f>ROUNDDOWN(Z456,0)/$V456</f>
        <v/>
      </c>
      <c r="O456" s="36" t="inlineStr">
        <is>
          <t>𘓻 𘓼 𘓽 𘓾 𘓿 𘔀 𘔁 𘔂 𘔃 𘔄 𘔅 𘔆 𘔇 𘔈 𘔉 𘔊 𘔋 𘔌 𘔍 𘔎 𘔏 𘔐 𘔑 𘔒 𘔓 𘔔 𘔕 𘔖 𘔗 𘔘 𘔙 𘔚 𘔛 𘔜 𘔝 𘔞 𘔟 𘔠 𘔡 𘔢 𘔣 𘔤 𘔥 𘔦 𘔧 𘔨 𘔩 𘔪 𘔫 𘔬 𘔭 𘔮 𘔯 𘔰 𘔱 𘔲 𘔳 𘔴 𘔵 𘔶 𘔷 𘔸 𘔹 𘔺 𘔻 𘔼 𘔽 𘔾 𘔿 𘕀 𘕁 𘕂 𘕃 𘕄 𘕅 𘕆 𘕇 𘕈 𘕉 𘕊 𘕋 𘕌 𘕍 𘕎 𘕏 𘕐 𘕑 𘕒 𘕓 𘕔 𘕕 𘕖 𘕗 𘕘 𘕙 𘕚 𘕛 𘕜 𘕝 𘕞 𘕟 𘕠 𘕡 𘕢 𘕣 𘕤 𘕥 𘕦 𘕧 𘕨 𘕩 𘕪 𘕫 𘕬 𘕭 𘕮 𘕯 𘕰 𘕱 𘕲 𘕳 𘕴 𘕵 𘕶 𘕷 𘕸 𘕹 𘕺 𘕻 𘕼 𘕽 𘕾 𘕿 𘖀 𘖁 𘖂 𘖃 𘖄 𘖅 𘖆 𘖇 𘖈 𘖉 𘖊 𘖋 𘖌 𘖍 𘖎 𘖏 𘖐 𘖑 𘖒 𘖓 𘖔 𘖕 𘖖 𘖗 𘖘 𘖙 𘖚 𘖛 𘖜 𘖝 𘖞 𘖟 𘖠 𘖡 𘖢 𘖣 𘖤 𘖥 𘖦 𘖧 𘖨 𘖩 𘖪 𘖫 𘖬 𘖭 𘖮 𘖯 𘖰 𘖱 𘖲 𘖳 𘖴 𘖵 𘖶 𘖷 𘖸 𘖹 𘖺 𘖻 𘖼 𘖽 𘖾 𘖿 𘗀 𘗁 𘗂 𘗃 𘗄 𘗅 𘗆 𘗇 𘗈 𘗉 𘗊 𘗋 𘗌 𘗍 𘗎 𘗏 𘗐 𘗑 𘗒 𘗓 𘗔 𘗕 𘗖 𘗗 𘗘 𘗙 𘗚 𘗛 𘗜 𘗝 𘗞 𘗟 𘗠 𘗡 𘗢 𘗣 𘗤 𘗥 𘗦 𘗧 𘗨 𘗩 𘗪 𘗫 𘗬 𘗭 𘗮 𘗯 𘗰 𘗱 𘗲 𘗳 𘗴 𘗵 𘗶 𘗷 𘗸 𘗹</t>
        </is>
      </c>
      <c r="P456" s="37" t="inlineStr">
        <is>
          <t>𘓻 𘓼 𘓽 𘓾 𘓿 𘔀 𘔁 𘔂 𘔃 𘔄 𘔅 𘔆 𘔇 𘔈 𘔉 𘔊 𘔋 𘔌 𘔍 𘔎 𘔏 𘔐 𘔑 𘔒 𘔓 𘔔 𘔕 𘔖 𘔗 𘔘 𘔙 𘔚 𘔛 𘔜 𘔝 𘔞 𘔟 𘔠 𘔡 𘔢 𘔣 𘔤 𘔥 𘔦 𘔧 𘔨 𘔩 𘔪 𘔫 𘔬 𘔭 𘔮 𘔯 𘔰 𘔱 𘔲 𘔳 𘔴 𘔵 𘔶 𘔷 𘔸 𘔹 𘔺 𘔻 𘔼 𘔽 𘔾 𘔿 𘕀 𘕁 𘕂 𘕃 𘕄 𘕅 𘕆 𘕇 𘕈 𘕉 𘕊 𘕋 𘕌 𘕍 𘕎 𘕏 𘕐 𘕑 𘕒 𘕓 𘕔 𘕕 𘕖 𘕗 𘕘 𘕙 𘕚 𘕛 𘕜 𘕝 𘕞 𘕟 𘕠 𘕡 𘕢 𘕣 𘕤 𘕥 𘕦 𘕧 𘕨 𘕩 𘕪 𘕫 𘕬 𘕭 𘕮 𘕯 𘕰 𘕱 𘕲 𘕳 𘕴 𘕵 𘕶 𘕷 𘕸 𘕹 𘕺 𘕻 𘕼 𘕽 𘕾 𘕿 𘖀 𘖁 𘖂 𘖃 𘖄 𘖅 𘖆 𘖇 𘖈 𘖉 𘖊 𘖋 𘖌 𘖍 𘖎 𘖏 𘖐 𘖑 𘖒 𘖓 𘖔 𘖕 𘖖 𘖗 𘖘 𘖙 𘖚 𘖛 𘖜 𘖝 𘖞 𘖟 𘖠 𘖡 𘖢 𘖣 𘖤 𘖥 𘖦 𘖧 𘖨 𘖩 𘖪 𘖫 𘖬 𘖭 𘖮 𘖯 𘖰 𘖱 𘖲 𘖳 𘖴 𘖵 𘖶 𘖷 𘖸 𘖹 𘖺 𘖻 𘖼 𘖽 𘖾 𘖿 𘗀 𘗁 𘗂 𘗃 𘗄 𘗅 𘗆 𘗇 𘗈 𘗉 𘗊 𘗋 𘗌 𘗍 𘗎 𘗏 𘗐 𘗑 𘗒 𘗓 𘗔 𘗕 𘗖 𘗗 𘗘 𘗙 𘗚 𘗛 𘗜 𘗝 𘗞 𘗟 𘗠 𘗡 𘗢 𘗣 𘗤 𘗥 𘗦 𘗧 𘗨 𘗩 𘗪 𘗫 𘗬 𘗭 𘗮 𘗯 𘗰 𘗱 𘗲 𘗳 𘗴 𘗵 𘗶 𘗷 𘗸 𘗹</t>
        </is>
      </c>
      <c r="Q456" s="38" t="inlineStr">
        <is>
          <t>𘓻 𘓼 𘓽 𘓾 𘓿 𘔀 𘔁 𘔂 𘔃 𘔄 𘔅 𘔆 𘔇 𘔈 𘔉 𘔊 𘔋 𘔌 𘔍 𘔎 𘔏 𘔐 𘔑 𘔒 𘔓 𘔔 𘔕 𘔖 𘔗 𘔘 𘔙 𘔚 𘔛 𘔜 𘔝 𘔞 𘔟 𘔠 𘔡 𘔢 𘔣 𘔤 𘔥 𘔦 𘔧 𘔨 𘔩 𘔪 𘔫 𘔬 𘔭 𘔮 𘔯 𘔰 𘔱 𘔲 𘔳 𘔴 𘔵 𘔶 𘔷 𘔸 𘔹 𘔺 𘔻 𘔼 𘔽 𘔾 𘔿 𘕀 𘕁 𘕂 𘕃 𘕄 𘕅 𘕆 𘕇 𘕈 𘕉 𘕊 𘕋 𘕌 𘕍 𘕎 𘕏 𘕐 𘕑 𘕒 𘕓 𘕔 𘕕 𘕖 𘕗 𘕘 𘕙 𘕚 𘕛 𘕜 𘕝 𘕞 𘕟 𘕠 𘕡 𘕢 𘕣 𘕤 𘕥 𘕦 𘕧 𘕨 𘕩 𘕪 𘕫 𘕬 𘕭 𘕮 𘕯 𘕰 𘕱 𘕲 𘕳 𘕴 𘕵 𘕶 𘕷 𘕸 𘕹 𘕺 𘕻 𘕼 𘕽 𘕾 𘕿 𘖀 𘖁 𘖂 𘖃 𘖄 𘖅 𘖆 𘖇 𘖈 𘖉 𘖊 𘖋 𘖌 𘖍 𘖎 𘖏 𘖐 𘖑 𘖒 𘖓 𘖔 𘖕 𘖖 𘖗 𘖘 𘖙 𘖚 𘖛 𘖜 𘖝 𘖞 𘖟 𘖠 𘖡 𘖢 𘖣 𘖤 𘖥 𘖦 𘖧 𘖨 𘖩 𘖪 𘖫 𘖬 𘖭 𘖮 𘖯 𘖰 𘖱 𘖲 𘖳 𘖴 𘖵 𘖶 𘖷 𘖸 𘖹 𘖺 𘖻 𘖼 𘖽 𘖾 𘖿 𘗀 𘗁 𘗂 𘗃 𘗄 𘗅 𘗆 𘗇 𘗈 𘗉 𘗊 𘗋 𘗌 𘗍 𘗎 𘗏 𘗐 𘗑 𘗒 𘗓 𘗔 𘗕 𘗖 𘗗 𘗘 𘗙 𘗚 𘗛 𘗜 𘗝 𘗞 𘗟 𘗠 𘗡 𘗢 𘗣 𘗤 𘗥 𘗦 𘗧 𘗨 𘗩 𘗪 𘗫 𘗬 𘗭 𘗮 𘗯 𘗰 𘗱 𘗲 𘗳 𘗴 𘗵 𘗶 𘗷 𘗸 𘗹</t>
        </is>
      </c>
      <c r="R456" s="43" t="inlineStr"/>
      <c r="S456" s="40" t="n"/>
      <c r="V456" s="14">
        <f>(LEN(O456)+1)/2</f>
        <v/>
      </c>
      <c r="W456" s="14">
        <f>ROUNDDOWN((LEN(P456)+1)/2,0)</f>
        <v/>
      </c>
      <c r="X456" s="14">
        <f>ROUNDDOWN((LEN(Q456)+1)/2,0)</f>
        <v/>
      </c>
      <c r="Y456" s="14">
        <f>ROUNDDOWN((LEN(R456)+1)/2,0)</f>
        <v/>
      </c>
      <c r="Z456" s="14">
        <f>ROUNDDOWN((LEN(S456)+1)/2,0)</f>
        <v/>
      </c>
      <c r="AA456" s="56" t="n">
        <v>46150.55868165523</v>
      </c>
    </row>
    <row r="457" ht="102" customHeight="1">
      <c r="B457" s="46" t="inlineStr">
        <is>
          <t>U+185FA-U+186F8</t>
        </is>
      </c>
      <c r="C457" s="46" t="inlineStr">
        <is>
          <t>Tangut</t>
        </is>
      </c>
      <c r="D457" s="54">
        <f>HEX2DEC(MID(B457,3,FIND("-",E457)-3))</f>
        <v/>
      </c>
      <c r="E457" s="46" t="inlineStr">
        <is>
          <t>U+17000-U+187FF</t>
        </is>
      </c>
      <c r="F457" s="12" t="n">
        <v>4</v>
      </c>
      <c r="J457" s="19">
        <f>ROUNDDOWN(W457,0)/$V457</f>
        <v/>
      </c>
      <c r="K457" s="19">
        <f>ROUNDDOWN(X457,0)/$V457</f>
        <v/>
      </c>
      <c r="L457" s="19">
        <f>ROUNDDOWN(Y457,0)/$V457</f>
        <v/>
      </c>
      <c r="M457" s="19">
        <f>ROUNDDOWN(Z457,0)/$V457</f>
        <v/>
      </c>
      <c r="O457" s="36" t="inlineStr">
        <is>
          <t>𘗺 𘗻 𘗼 𘗽 𘗾 𘗿 𘘀 𘘁 𘘂 𘘃 𘘄 𘘅 𘘆 𘘇 𘘈 𘘉 𘘊 𘘋 𘘌 𘘍 𘘎 𘘏 𘘐 𘘑 𘘒 𘘓 𘘔 𘘕 𘘖 𘘗 𘘘 𘘙 𘘚 𘘛 𘘜 𘘝 𘘞 𘘟 𘘠 𘘡 𘘢 𘘣 𘘤 𘘥 𘘦 𘘧 𘘨 𘘩 𘘪 𘘫 𘘬 𘘭 𘘮 𘘯 𘘰 𘘱 𘘲 𘘳 𘘴 𘘵 𘘶 𘘷 𘘸 𘘹 𘘺 𘘻 𘘼 𘘽 𘘾 𘘿 𘙀 𘙁 𘙂 𘙃 𘙄 𘙅 𘙆 𘙇 𘙈 𘙉 𘙊 𘙋 𘙌 𘙍 𘙎 𘙏 𘙐 𘙑 𘙒 𘙓 𘙔 𘙕 𘙖 𘙗 𘙘 𘙙 𘙚 𘙛 𘙜 𘙝 𘙞 𘙟 𘙠 𘙡 𘙢 𘙣 𘙤 𘙥 𘙦 𘙧 𘙨 𘙩 𘙪 𘙫 𘙬 𘙭 𘙮 𘙯 𘙰 𘙱 𘙲 𘙳 𘙴 𘙵 𘙶 𘙷 𘙸 𘙹 𘙺 𘙻 𘙼 𘙽 𘙾 𘙿 𘚀 𘚁 𘚂 𘚃 𘚄 𘚅 𘚆 𘚇 𘚈 𘚉 𘚊 𘚋 𘚌 𘚍 𘚎 𘚏 𘚐 𘚑 𘚒 𘚓 𘚔 𘚕 𘚖 𘚗 𘚘 𘚙 𘚚 𘚛 𘚜 𘚝 𘚞 𘚟 𘚠 𘚡 𘚢 𘚣 𘚤 𘚥 𘚦 𘚧 𘚨 𘚩 𘚪 𘚫 𘚬 𘚭 𘚮 𘚯 𘚰 𘚱 𘚲 𘚳 𘚴 𘚵 𘚶 𘚷 𘚸 𘚹 𘚺 𘚻 𘚼 𘚽 𘚾 𘚿 𘛀 𘛁 𘛂 𘛃 𘛄 𘛅 𘛆 𘛇 𘛈 𘛉 𘛊 𘛋 𘛌 𘛍 𘛎 𘛏 𘛐 𘛑 𘛒 𘛓 𘛔 𘛕 𘛖 𘛗 𘛘 𘛙 𘛚 𘛛 𘛜 𘛝 𘛞 𘛟 𘛠 𘛡 𘛢 𘛣 𘛤 𘛥 𘛦 𘛧 𘛨 𘛩 𘛪 𘛫 𘛬 𘛭 𘛮 𘛯 𘛰 𘛱 𘛲 𘛳 𘛴 𘛵 𘛶 𘛷 𘛸</t>
        </is>
      </c>
      <c r="P457" s="37" t="inlineStr">
        <is>
          <t>𘗺 𘗻 𘗼 𘗽 𘗾 𘗿 𘘀 𘘁 𘘂 𘘃 𘘄 𘘅 𘘆 𘘇 𘘈 𘘉 𘘊 𘘋 𘘌 𘘍 𘘎 𘘏 𘘐 𘘑 𘘒 𘘓 𘘔 𘘕 𘘖 𘘗 𘘘 𘘙 𘘚 𘘛 𘘜 𘘝 𘘞 𘘟 𘘠 𘘡 𘘢 𘘣 𘘤 𘘥 𘘦 𘘧 𘘨 𘘩 𘘪 𘘫 𘘬 𘘭 𘘮 𘘯 𘘰 𘘱 𘘲 𘘳 𘘴 𘘵 𘘶 𘘷 𘘸 𘘹 𘘺 𘘻 𘘼 𘘽 𘘾 𘘿 𘙀 𘙁 𘙂 𘙃 𘙄 𘙅 𘙆 𘙇 𘙈 𘙉 𘙊 𘙋 𘙌 𘙍 𘙎 𘙏 𘙐 𘙑 𘙒 𘙓 𘙔 𘙕 𘙖 𘙗 𘙘 𘙙 𘙚 𘙛 𘙜 𘙝 𘙞 𘙟 𘙠 𘙡 𘙢 𘙣 𘙤 𘙥 𘙦 𘙧 𘙨 𘙩 𘙪 𘙫 𘙬 𘙭 𘙮 𘙯 𘙰 𘙱 𘙲 𘙳 𘙴 𘙵 𘙶 𘙷 𘙸 𘙹 𘙺 𘙻 𘙼 𘙽 𘙾 𘙿 𘚀 𘚁 𘚂 𘚃 𘚄 𘚅 𘚆 𘚇 𘚈 𘚉 𘚊 𘚋 𘚌 𘚍 𘚎 𘚏 𘚐 𘚑 𘚒 𘚓 𘚔 𘚕 𘚖 𘚗 𘚘 𘚙 𘚚 𘚛 𘚜 𘚝 𘚞 𘚟 𘚠 𘚡 𘚢 𘚣 𘚤 𘚥 𘚦 𘚧 𘚨 𘚩 𘚪 𘚫 𘚬 𘚭 𘚮 𘚯 𘚰 𘚱 𘚲 𘚳 𘚴 𘚵 𘚶 𘚷 𘚸 𘚹 𘚺 𘚻 𘚼 𘚽 𘚾 𘚿 𘛀 𘛁 𘛂 𘛃 𘛄 𘛅 𘛆 𘛇 𘛈 𘛉 𘛊 𘛋 𘛌 𘛍 𘛎 𘛏 𘛐 𘛑 𘛒 𘛓 𘛔 𘛕 𘛖 𘛗 𘛘 𘛙 𘛚 𘛛 𘛜 𘛝 𘛞 𘛟 𘛠 𘛡 𘛢 𘛣 𘛤 𘛥 𘛦 𘛧 𘛨 𘛩 𘛪 𘛫 𘛬 𘛭 𘛮 𘛯 𘛰 𘛱 𘛲 𘛳 𘛴 𘛵 𘛶 𘛷 𘛸</t>
        </is>
      </c>
      <c r="Q457" s="38" t="inlineStr">
        <is>
          <t>𘗺 𘗻 𘗼 𘗽 𘗾 𘗿 𘘀 𘘁 𘘂 𘘃 𘘄 𘘅 𘘆 𘘇 𘘈 𘘉 𘘊 𘘋 𘘌 𘘍 𘘎 𘘏 𘘐 𘘑 𘘒 𘘓 𘘔 𘘕 𘘖 𘘗 𘘘 𘘙 𘘚 𘘛 𘘜 𘘝 𘘞 𘘟 𘘠 𘘡 𘘢 𘘣 𘘤 𘘥 𘘦 𘘧 𘘨 𘘩 𘘪 𘘫 𘘬 𘘭 𘘮 𘘯 𘘰 𘘱 𘘲 𘘳 𘘴 𘘵 𘘶 𘘷 𘘸 𘘹 𘘺 𘘻 𘘼 𘘽 𘘾 𘘿 𘙀 𘙁 𘙂 𘙃 𘙄 𘙅 𘙆 𘙇 𘙈 𘙉 𘙊 𘙋 𘙌 𘙍 𘙎 𘙏 𘙐 𘙑 𘙒 𘙓 𘙔 𘙕 𘙖 𘙗 𘙘 𘙙 𘙚 𘙛 𘙜 𘙝 𘙞 𘙟 𘙠 𘙡 𘙢 𘙣 𘙤 𘙥 𘙦 𘙧 𘙨 𘙩 𘙪 𘙫 𘙬 𘙭 𘙮 𘙯 𘙰 𘙱 𘙲 𘙳 𘙴 𘙵 𘙶 𘙷 𘙸 𘙹 𘙺 𘙻 𘙼 𘙽 𘙾 𘙿 𘚀 𘚁 𘚂 𘚃 𘚄 𘚅 𘚆 𘚇 𘚈 𘚉 𘚊 𘚋 𘚌 𘚍 𘚎 𘚏 𘚐 𘚑 𘚒 𘚓 𘚔 𘚕 𘚖 𘚗 𘚘 𘚙 𘚚 𘚛 𘚜 𘚝 𘚞 𘚟 𘚠 𘚡 𘚢 𘚣 𘚤 𘚥 𘚦 𘚧 𘚨 𘚩 𘚪 𘚫 𘚬 𘚭 𘚮 𘚯 𘚰 𘚱 𘚲 𘚳 𘚴 𘚵 𘚶 𘚷 𘚸 𘚹 𘚺 𘚻 𘚼 𘚽 𘚾 𘚿 𘛀 𘛁 𘛂 𘛃 𘛄 𘛅 𘛆 𘛇 𘛈 𘛉 𘛊 𘛋 𘛌 𘛍 𘛎 𘛏 𘛐 𘛑 𘛒 𘛓 𘛔 𘛕 𘛖 𘛗 𘛘 𘛙 𘛚 𘛛 𘛜 𘛝 𘛞 𘛟 𘛠 𘛡 𘛢 𘛣 𘛤 𘛥 𘛦 𘛧 𘛨 𘛩 𘛪 𘛫 𘛬 𘛭 𘛮 𘛯 𘛰 𘛱 𘛲 𘛳 𘛴 𘛵 𘛶 𘛷 𘛸</t>
        </is>
      </c>
      <c r="R457" s="43" t="inlineStr"/>
      <c r="S457" s="40" t="n"/>
      <c r="V457" s="14">
        <f>(LEN(O457)+1)/2</f>
        <v/>
      </c>
      <c r="W457" s="14">
        <f>ROUNDDOWN((LEN(P457)+1)/2,0)</f>
        <v/>
      </c>
      <c r="X457" s="14">
        <f>ROUNDDOWN((LEN(Q457)+1)/2,0)</f>
        <v/>
      </c>
      <c r="Y457" s="14">
        <f>ROUNDDOWN((LEN(R457)+1)/2,0)</f>
        <v/>
      </c>
      <c r="Z457" s="14">
        <f>ROUNDDOWN((LEN(S457)+1)/2,0)</f>
        <v/>
      </c>
      <c r="AA457" s="56" t="n">
        <v>46150.55868269945</v>
      </c>
    </row>
    <row r="458" ht="102" customHeight="1">
      <c r="B458" s="46" t="inlineStr">
        <is>
          <t>U+186F9-U+187F7</t>
        </is>
      </c>
      <c r="C458" s="46" t="inlineStr">
        <is>
          <t>Tangut</t>
        </is>
      </c>
      <c r="D458" s="54">
        <f>HEX2DEC(MID(B458,3,FIND("-",E458)-3))</f>
        <v/>
      </c>
      <c r="E458" s="46" t="inlineStr">
        <is>
          <t>U+17000-U+187FF</t>
        </is>
      </c>
      <c r="F458" s="12" t="n">
        <v>4</v>
      </c>
      <c r="J458" s="19">
        <f>ROUNDDOWN(W458,0)/$V458</f>
        <v/>
      </c>
      <c r="K458" s="19">
        <f>ROUNDDOWN(X458,0)/$V458</f>
        <v/>
      </c>
      <c r="L458" s="19">
        <f>ROUNDDOWN(Y458,0)/$V458</f>
        <v/>
      </c>
      <c r="M458" s="19">
        <f>ROUNDDOWN(Z458,0)/$V458</f>
        <v/>
      </c>
      <c r="O458" s="36" t="inlineStr">
        <is>
          <t>𘛹 𘛺 𘛻 𘛼 𘛽 𘛾 𘛿 𘜀 𘜁 𘜂 𘜃 𘜄 𘜅 𘜆 𘜇 𘜈 𘜉 𘜊 𘜋 𘜌 𘜍 𘜎 𘜏 𘜐 𘜑 𘜒 𘜓 𘜔 𘜕 𘜖 𘜗 𘜘 𘜙 𘜚 𘜛 𘜜 𘜝 𘜞 𘜟 𘜠 𘜡 𘜢 𘜣 𘜤 𘜥 𘜦 𘜧 𘜨 𘜩 𘜪 𘜫 𘜬 𘜭 𘜮 𘜯 𘜰 𘜱 𘜲 𘜳 𘜴 𘜵 𘜶 𘜷 𘜸 𘜹 𘜺 𘜻 𘜼 𘜽 𘜾 𘜿 𘝀 𘝁 𘝂 𘝃 𘝄 𘝅 𘝆 𘝇 𘝈 𘝉 𘝊 𘝋 𘝌 𘝍 𘝎 𘝏 𘝐 𘝑 𘝒 𘝓 𘝔 𘝕 𘝖 𘝗 𘝘 𘝙 𘝚 𘝛 𘝜 𘝝 𘝞 𘝟 𘝠 𘝡 𘝢 𘝣 𘝤 𘝥 𘝦 𘝧 𘝨 𘝩 𘝪 𘝫 𘝬 𘝭 𘝮 𘝯 𘝰 𘝱 𘝲 𘝳 𘝴 𘝵 𘝶 𘝷 𘝸 𘝹 𘝺 𘝻 𘝼 𘝽 𘝾 𘝿 𘞀 𘞁 𘞂 𘞃 𘞄 𘞅 𘞆 𘞇 𘞈 𘞉 𘞊 𘞋 𘞌 𘞍 𘞎 𘞏 𘞐 𘞑 𘞒 𘞓 𘞔 𘞕 𘞖 𘞗 𘞘 𘞙 𘞚 𘞛 𘞜 𘞝 𘞞 𘞟 𘞠 𘞡 𘞢 𘞣 𘞤 𘞥 𘞦 𘞧 𘞨 𘞩 𘞪 𘞫 𘞬 𘞭 𘞮 𘞯 𘞰 𘞱 𘞲 𘞳 𘞴 𘞵 𘞶 𘞷 𘞸 𘞹 𘞺 𘞻 𘞼 𘞽 𘞾 𘞿 𘟀 𘟁 𘟂 𘟃 𘟄 𘟅 𘟆 𘟇 𘟈 𘟉 𘟊 𘟋 𘟌 𘟍 𘟎 𘟏 𘟐 𘟑 𘟒 𘟓 𘟔 𘟕 𘟖 𘟗 𘟘 𘟙 𘟚 𘟛 𘟜 𘟝 𘟞 𘟟 𘟠 𘟡 𘟢 𘟣 𘟤 𘟥 𘟦 𘟧 𘟨 𘟩 𘟪 𘟫 𘟬 𘟭 𘟮 𘟯 𘟰 𘟱 𘟲 𘟳 𘟴 𘟵 𘟶 𘟷</t>
        </is>
      </c>
      <c r="P458" s="37" t="inlineStr">
        <is>
          <t>𘛹 𘛺 𘛻 𘛼 𘛽 𘛾 𘛿 𘜀 𘜁 𘜂 𘜃 𘜄 𘜅 𘜆 𘜇 𘜈 𘜉 𘜊 𘜋 𘜌 𘜍 𘜎 𘜏 𘜐 𘜑 𘜒 𘜓 𘜔 𘜕 𘜖 𘜗 𘜘 𘜙 𘜚 𘜛 𘜜 𘜝 𘜞 𘜟 𘜠 𘜡 𘜢 𘜣 𘜤 𘜥 𘜦 𘜧 𘜨 𘜩 𘜪 𘜫 𘜬 𘜭 𘜮 𘜯 𘜰 𘜱 𘜲 𘜳 𘜴 𘜵 𘜶 𘜷 𘜸 𘜹 𘜺 𘜻 𘜼 𘜽 𘜾 𘜿 𘝀 𘝁 𘝂 𘝃 𘝄 𘝅 𘝆 𘝇 𘝈 𘝉 𘝊 𘝋 𘝌 𘝍 𘝎 𘝏 𘝐 𘝑 𘝒 𘝓 𘝔 𘝕 𘝖 𘝗 𘝘 𘝙 𘝚 𘝛 𘝜 𘝝 𘝞 𘝟 𘝠 𘝡 𘝢 𘝣 𘝤 𘝥 𘝦 𘝧 𘝨 𘝩 𘝪 𘝫 𘝬 𘝭 𘝮 𘝯 𘝰 𘝱 𘝲 𘝳 𘝴 𘝵 𘝶 𘝷 𘝸 𘝹 𘝺 𘝻 𘝼 𘝽 𘝾 𘝿 𘞀 𘞁 𘞂 𘞃 𘞄 𘞅 𘞆 𘞇 𘞈 𘞉 𘞊 𘞋 𘞌 𘞍 𘞎 𘞏 𘞐 𘞑 𘞒 𘞓 𘞔 𘞕 𘞖 𘞗 𘞘 𘞙 𘞚 𘞛 𘞜 𘞝 𘞞 𘞟 𘞠 𘞡 𘞢 𘞣 𘞤 𘞥 𘞦 𘞧 𘞨 𘞩 𘞪 𘞫 𘞬 𘞭 𘞮 𘞯 𘞰 𘞱 𘞲 𘞳 𘞴 𘞵 𘞶 𘞷 𘞸 𘞹 𘞺 𘞻 𘞼 𘞽 𘞾 𘞿 𘟀 𘟁 𘟂 𘟃 𘟄 𘟅 𘟆 𘟇 𘟈 𘟉 𘟊 𘟋 𘟌 𘟍 𘟎 𘟏 𘟐 𘟑 𘟒 𘟓 𘟔 𘟕 𘟖 𘟗 𘟘 𘟙 𘟚 𘟛 𘟜 𘟝 𘟞 𘟟 𘟠 𘟡 𘟢 𘟣 𘟤 𘟥 𘟦 𘟧 𘟨 𘟩 𘟪 𘟫 𘟬 𘟭 𘟮 𘟯 𘟰 𘟱 𘟲 𘟳 𘟴 𘟵 𘟶 𘟷</t>
        </is>
      </c>
      <c r="Q458" s="38" t="inlineStr">
        <is>
          <t>𘛹 𘛺 𘛻 𘛼 𘛽 𘛾 𘛿 𘜀 𘜁 𘜂 𘜃 𘜄 𘜅 𘜆 𘜇 𘜈 𘜉 𘜊 𘜋 𘜌 𘜍 𘜎 𘜏 𘜐 𘜑 𘜒 𘜓 𘜔 𘜕 𘜖 𘜗 𘜘 𘜙 𘜚 𘜛 𘜜 𘜝 𘜞 𘜟 𘜠 𘜡 𘜢 𘜣 𘜤 𘜥 𘜦 𘜧 𘜨 𘜩 𘜪 𘜫 𘜬 𘜭 𘜮 𘜯 𘜰 𘜱 𘜲 𘜳 𘜴 𘜵 𘜶 𘜷 𘜸 𘜹 𘜺 𘜻 𘜼 𘜽 𘜾 𘜿 𘝀 𘝁 𘝂 𘝃 𘝄 𘝅 𘝆 𘝇 𘝈 𘝉 𘝊 𘝋 𘝌 𘝍 𘝎 𘝏 𘝐 𘝑 𘝒 𘝓 𘝔 𘝕 𘝖 𘝗 𘝘 𘝙 𘝚 𘝛 𘝜 𘝝 𘝞 𘝟 𘝠 𘝡 𘝢 𘝣 𘝤 𘝥 𘝦 𘝧 𘝨 𘝩 𘝪 𘝫 𘝬 𘝭 𘝮 𘝯 𘝰 𘝱 𘝲 𘝳 𘝴 𘝵 𘝶 𘝷 𘝸 𘝹 𘝺 𘝻 𘝼 𘝽 𘝾 𘝿 𘞀 𘞁 𘞂 𘞃 𘞄 𘞅 𘞆 𘞇 𘞈 𘞉 𘞊 𘞋 𘞌 𘞍 𘞎 𘞏 𘞐 𘞑 𘞒 𘞓 𘞔 𘞕 𘞖 𘞗 𘞘 𘞙 𘞚 𘞛 𘞜 𘞝 𘞞 𘞟 𘞠 𘞡 𘞢 𘞣 𘞤 𘞥 𘞦 𘞧 𘞨 𘞩 𘞪 𘞫 𘞬 𘞭 𘞮 𘞯 𘞰 𘞱 𘞲 𘞳 𘞴 𘞵 𘞶 𘞷 𘞸 𘞹 𘞺 𘞻 𘞼 𘞽 𘞾 𘞿 𘟀 𘟁 𘟂 𘟃 𘟄 𘟅 𘟆 𘟇 𘟈 𘟉 𘟊 𘟋 𘟌 𘟍 𘟎 𘟏 𘟐 𘟑 𘟒 𘟓 𘟔 𘟕 𘟖 𘟗 𘟘 𘟙 𘟚 𘟛 𘟜 𘟝 𘟞 𘟟 𘟠 𘟡 𘟢 𘟣 𘟤 𘟥 𘟦 𘟧 𘟨 𘟩 𘟪 𘟫 𘟬 𘟭 𘟮 𘟯 𘟰 𘟱 𘟲 𘟳 𘟴 𘟵 𘟶 𘟷</t>
        </is>
      </c>
      <c r="R458" s="43" t="inlineStr"/>
      <c r="S458" s="40" t="n"/>
      <c r="V458" s="14">
        <f>(LEN(O458)+1)/2</f>
        <v/>
      </c>
      <c r="W458" s="14">
        <f>ROUNDDOWN((LEN(P458)+1)/2,0)</f>
        <v/>
      </c>
      <c r="X458" s="14">
        <f>ROUNDDOWN((LEN(Q458)+1)/2,0)</f>
        <v/>
      </c>
      <c r="Y458" s="14">
        <f>ROUNDDOWN((LEN(R458)+1)/2,0)</f>
        <v/>
      </c>
      <c r="Z458" s="14">
        <f>ROUNDDOWN((LEN(S458)+1)/2,0)</f>
        <v/>
      </c>
      <c r="AA458" s="56" t="n">
        <v>46150.55868374673</v>
      </c>
    </row>
    <row r="459" ht="102" customHeight="1">
      <c r="B459" s="46" t="inlineStr">
        <is>
          <t>U+18800-U+188FF</t>
        </is>
      </c>
      <c r="C459" s="46" t="inlineStr">
        <is>
          <t>Tangut Components</t>
        </is>
      </c>
      <c r="D459" s="54">
        <f>HEX2DEC(MID(B459,3,FIND("-",E459)-3))</f>
        <v/>
      </c>
      <c r="E459" s="46" t="inlineStr">
        <is>
          <t>U+18800-U+18AFF</t>
        </is>
      </c>
      <c r="F459" s="12" t="n">
        <v>4</v>
      </c>
      <c r="J459" s="19">
        <f>ROUNDDOWN(W459,0)/$V459</f>
        <v/>
      </c>
      <c r="K459" s="19">
        <f>ROUNDDOWN(X459,0)/$V459</f>
        <v/>
      </c>
      <c r="L459" s="19">
        <f>ROUNDDOWN(Y459,0)/$V459</f>
        <v/>
      </c>
      <c r="M459" s="19">
        <f>ROUNDDOWN(Z459,0)/$V459</f>
        <v/>
      </c>
      <c r="O459" s="36" t="inlineStr">
        <is>
          <t>𘠀 𘠁 𘠂 𘠃 𘠄 𘠅 𘠆 𘠇 𘠈 𘠉 𘠊 𘠋 𘠌 𘠍 𘠎 𘠏 𘠐 𘠑 𘠒 𘠓 𘠔 𘠕 𘠖 𘠗 𘠘 𘠙 𘠚 𘠛 𘠜 𘠝 𘠞 𘠟 𘠠 𘠡 𘠢 𘠣 𘠤 𘠥 𘠦 𘠧 𘠨 𘠩 𘠪 𘠫 𘠬 𘠭 𘠮 𘠯 𘠰 𘠱 𘠲 𘠳 𘠴 𘠵 𘠶 𘠷 𘠸 𘠹 𘠺 𘠻 𘠼 𘠽 𘠾 𘠿 𘡀 𘡁 𘡂 𘡃 𘡄 𘡅 𘡆 𘡇 𘡈 𘡉 𘡊 𘡋 𘡌 𘡍 𘡎 𘡏 𘡐 𘡑 𘡒 𘡓 𘡔 𘡕 𘡖 𘡗 𘡘 𘡙 𘡚 𘡛 𘡜 𘡝 𘡞 𘡟 𘡠 𘡡 𘡢 𘡣 𘡤 𘡥 𘡦 𘡧 𘡨 𘡩 𘡪 𘡫 𘡬 𘡭 𘡮 𘡯 𘡰 𘡱 𘡲 𘡳 𘡴 𘡵 𘡶 𘡷 𘡸 𘡹 𘡺 𘡻 𘡼 𘡽 𘡾 𘡿 𘢀 𘢁 𘢂 𘢃 𘢄 𘢅 𘢆 𘢇 𘢈 𘢉 𘢊 𘢋 𘢌 𘢍 𘢎 𘢏 𘢐 𘢑 𘢒 𘢓 𘢔 𘢕 𘢖 𘢗 𘢘 𘢙 𘢚 𘢛 𘢜 𘢝 𘢞 𘢟 𘢠 𘢡 𘢢 𘢣 𘢤 𘢥 𘢦 𘢧 𘢨 𘢩 𘢪 𘢫 𘢬 𘢭 𘢮 𘢯 𘢰 𘢱 𘢲 𘢳 𘢴 𘢵 𘢶 𘢷 𘢸 𘢹 𘢺 𘢻 𘢼 𘢽 𘢾 𘢿 𘣀 𘣁 𘣂 𘣃 𘣄 𘣅 𘣆 𘣇 𘣈 𘣉 𘣊 𘣋 𘣌 𘣍 𘣎 𘣏 𘣐 𘣑 𘣒 𘣓 𘣔 𘣕 𘣖 𘣗 𘣘 𘣙 𘣚 𘣛 𘣜 𘣝 𘣞 𘣟 𘣠 𘣡 𘣢 𘣣 𘣤 𘣥 𘣦 𘣧 𘣨 𘣩 𘣪 𘣫 𘣬 𘣭 𘣮 𘣯 𘣰 𘣱 𘣲 𘣳 𘣴 𘣵 𘣶 𘣷 𘣸 𘣹 𘣺 𘣻 𘣼 𘣽 𘣾 𘣿</t>
        </is>
      </c>
      <c r="P459" s="37" t="inlineStr">
        <is>
          <t>𘠀 𘠁 𘠂 𘠃 𘠄 𘠅 𘠆 𘠇 𘠈 𘠉 𘠊 𘠋 𘠌 𘠍 𘠎 𘠏 𘠐 𘠑 𘠒 𘠓 𘠔 𘠕 𘠖 𘠗 𘠘 𘠙 𘠚 𘠛 𘠜 𘠝 𘠞 𘠟 𘠠 𘠡 𘠢 𘠣 𘠤 𘠥 𘠦 𘠧 𘠨 𘠩 𘠪 𘠫 𘠬 𘠭 𘠮 𘠯 𘠰 𘠱 𘠲 𘠳 𘠴 𘠵 𘠶 𘠷 𘠸 𘠹 𘠺 𘠻 𘠼 𘠽 𘠾 𘠿 𘡀 𘡁 𘡂 𘡃 𘡄 𘡅 𘡆 𘡇 𘡈 𘡉 𘡊 𘡋 𘡌 𘡍 𘡎 𘡏 𘡐 𘡑 𘡒 𘡓 𘡔 𘡕 𘡖 𘡗 𘡘 𘡙 𘡚 𘡛 𘡜 𘡝 𘡞 𘡟 𘡠 𘡡 𘡢 𘡣 𘡤 𘡥 𘡦 𘡧 𘡨 𘡩 𘡪 𘡫 𘡬 𘡭 𘡮 𘡯 𘡰 𘡱 𘡲 𘡳 𘡴 𘡵 𘡶 𘡷 𘡸 𘡹 𘡺 𘡻 𘡼 𘡽 𘡾 𘡿 𘢀 𘢁 𘢂 𘢃 𘢄 𘢅 𘢆 𘢇 𘢈 𘢉 𘢊 𘢋 𘢌 𘢍 𘢎 𘢏 𘢐 𘢑 𘢒 𘢓 𘢔 𘢕 𘢖 𘢗 𘢘 𘢙 𘢚 𘢛 𘢜 𘢝 𘢞 𘢟 𘢠 𘢡 𘢢 𘢣 𘢤 𘢥 𘢦 𘢧 𘢨 𘢩 𘢪 𘢫 𘢬 𘢭 𘢮 𘢯 𘢰 𘢱 𘢲 𘢳 𘢴 𘢵 𘢶 𘢷 𘢸 𘢹 𘢺 𘢻 𘢼 𘢽 𘢾 𘢿 𘣀 𘣁 𘣂 𘣃 𘣄 𘣅 𘣆 𘣇 𘣈 𘣉 𘣊 𘣋 𘣌 𘣍 𘣎 𘣏 𘣐 𘣑 𘣒 𘣓 𘣔 𘣕 𘣖 𘣗 𘣘 𘣙 𘣚 𘣛 𘣜 𘣝 𘣞 𘣟 𘣠 𘣡 𘣢 𘣣 𘣤 𘣥 𘣦 𘣧 𘣨 𘣩 𘣪 𘣫 𘣬 𘣭 𘣮 𘣯 𘣰 𘣱 𘣲 𘣳 𘣴 𘣵 𘣶 𘣷 𘣸 𘣹 𘣺 𘣻 𘣼 𘣽 𘣾 𘣿</t>
        </is>
      </c>
      <c r="Q459" s="38" t="inlineStr">
        <is>
          <t>𘠀 𘠁 𘠂 𘠃 𘠄 𘠅 𘠆 𘠇 𘠈 𘠉 𘠊 𘠋 𘠌 𘠍 𘠎 𘠏 𘠐 𘠑 𘠒 𘠓 𘠔 𘠕 𘠖 𘠗 𘠘 𘠙 𘠚 𘠛 𘠜 𘠝 𘠞 𘠟 𘠠 𘠡 𘠢 𘠣 𘠤 𘠥 𘠦 𘠧 𘠨 𘠩 𘠪 𘠫 𘠬 𘠭 𘠮 𘠯 𘠰 𘠱 𘠲 𘠳 𘠴 𘠵 𘠶 𘠷 𘠸 𘠹 𘠺 𘠻 𘠼 𘠽 𘠾 𘠿 𘡀 𘡁 𘡂 𘡃 𘡄 𘡅 𘡆 𘡇 𘡈 𘡉 𘡊 𘡋 𘡌 𘡍 𘡎 𘡏 𘡐 𘡑 𘡒 𘡓 𘡔 𘡕 𘡖 𘡗 𘡘 𘡙 𘡚 𘡛 𘡜 𘡝 𘡞 𘡟 𘡠 𘡡 𘡢 𘡣 𘡤 𘡥 𘡦 𘡧 𘡨 𘡩 𘡪 𘡫 𘡬 𘡭 𘡮 𘡯 𘡰 𘡱 𘡲 𘡳 𘡴 𘡵 𘡶 𘡷 𘡸 𘡹 𘡺 𘡻 𘡼 𘡽 𘡾 𘡿 𘢀 𘢁 𘢂 𘢃 𘢄 𘢅 𘢆 𘢇 𘢈 𘢉 𘢊 𘢋 𘢌 𘢍 𘢎 𘢏 𘢐 𘢑 𘢒 𘢓 𘢔 𘢕 𘢖 𘢗 𘢘 𘢙 𘢚 𘢛 𘢜 𘢝 𘢞 𘢟 𘢠 𘢡 𘢢 𘢣 𘢤 𘢥 𘢦 𘢧 𘢨 𘢩 𘢪 𘢫 𘢬 𘢭 𘢮 𘢯 𘢰 𘢱 𘢲 𘢳 𘢴 𘢵 𘢶 𘢷 𘢸 𘢹 𘢺 𘢻 𘢼 𘢽 𘢾 𘢿 𘣀 𘣁 𘣂 𘣃 𘣄 𘣅 𘣆 𘣇 𘣈 𘣉 𘣊 𘣋 𘣌 𘣍 𘣎 𘣏 𘣐 𘣑 𘣒 𘣓 𘣔 𘣕 𘣖 𘣗 𘣘 𘣙 𘣚 𘣛 𘣜 𘣝 𘣞 𘣟 𘣠 𘣡 𘣢 𘣣 𘣤 𘣥 𘣦 𘣧 𘣨 𘣩 𘣪 𘣫 𘣬 𘣭 𘣮 𘣯 𘣰 𘣱 𘣲 𘣳 𘣴 𘣵 𘣶 𘣷 𘣸 𘣹 𘣺 𘣻 𘣼 𘣽 𘣾 𘣿</t>
        </is>
      </c>
      <c r="R459" s="43" t="inlineStr"/>
      <c r="S459" s="40" t="n"/>
      <c r="V459" s="14">
        <f>(LEN(O459)+1)/2</f>
        <v/>
      </c>
      <c r="W459" s="14">
        <f>ROUNDDOWN((LEN(P459)+1)/2,0)</f>
        <v/>
      </c>
      <c r="X459" s="14">
        <f>ROUNDDOWN((LEN(Q459)+1)/2,0)</f>
        <v/>
      </c>
      <c r="Y459" s="14">
        <f>ROUNDDOWN((LEN(R459)+1)/2,0)</f>
        <v/>
      </c>
      <c r="Z459" s="14">
        <f>ROUNDDOWN((LEN(S459)+1)/2,0)</f>
        <v/>
      </c>
      <c r="AA459" s="56" t="n">
        <v>46150.5586848309</v>
      </c>
    </row>
    <row r="460" ht="102" customHeight="1">
      <c r="B460" s="46" t="inlineStr">
        <is>
          <t>U+18900-U+189FF</t>
        </is>
      </c>
      <c r="C460" s="46" t="inlineStr">
        <is>
          <t>Tangut Components</t>
        </is>
      </c>
      <c r="D460" s="54">
        <f>HEX2DEC(MID(B460,3,FIND("-",E460)-3))</f>
        <v/>
      </c>
      <c r="E460" s="46" t="inlineStr">
        <is>
          <t>U+18800-U+18AFF</t>
        </is>
      </c>
      <c r="F460" s="12" t="n">
        <v>4</v>
      </c>
      <c r="J460" s="19">
        <f>ROUNDDOWN(W460,0)/$V460</f>
        <v/>
      </c>
      <c r="K460" s="19">
        <f>ROUNDDOWN(X460,0)/$V460</f>
        <v/>
      </c>
      <c r="L460" s="19">
        <f>ROUNDDOWN(Y460,0)/$V460</f>
        <v/>
      </c>
      <c r="M460" s="19">
        <f>ROUNDDOWN(Z460,0)/$V460</f>
        <v/>
      </c>
      <c r="O460" s="36" t="inlineStr">
        <is>
          <t>𘤀 𘤁 𘤂 𘤃 𘤄 𘤅 𘤆 𘤇 𘤈 𘤉 𘤊 𘤋 𘤌 𘤍 𘤎 𘤏 𘤐 𘤑 𘤒 𘤓 𘤔 𘤕 𘤖 𘤗 𘤘 𘤙 𘤚 𘤛 𘤜 𘤝 𘤞 𘤟 𘤠 𘤡 𘤢 𘤣 𘤤 𘤥 𘤦 𘤧 𘤨 𘤩 𘤪 𘤫 𘤬 𘤭 𘤮 𘤯 𘤰 𘤱 𘤲 𘤳 𘤴 𘤵 𘤶 𘤷 𘤸 𘤹 𘤺 𘤻 𘤼 𘤽 𘤾 𘤿 𘥀 𘥁 𘥂 𘥃 𘥄 𘥅 𘥆 𘥇 𘥈 𘥉 𘥊 𘥋 𘥌 𘥍 𘥎 𘥏 𘥐 𘥑 𘥒 𘥓 𘥔 𘥕 𘥖 𘥗 𘥘 𘥙 𘥚 𘥛 𘥜 𘥝 𘥞 𘥟 𘥠 𘥡 𘥢 𘥣 𘥤 𘥥 𘥦 𘥧 𘥨 𘥩 𘥪 𘥫 𘥬 𘥭 𘥮 𘥯 𘥰 𘥱 𘥲 𘥳 𘥴 𘥵 𘥶 𘥷 𘥸 𘥹 𘥺 𘥻 𘥼 𘥽 𘥾 𘥿 𘦀 𘦁 𘦂 𘦃 𘦄 𘦅 𘦆 𘦇 𘦈 𘦉 𘦊 𘦋 𘦌 𘦍 𘦎 𘦏 𘦐 𘦑 𘦒 𘦓 𘦔 𘦕 𘦖 𘦗 𘦘 𘦙 𘦚 𘦛 𘦜 𘦝 𘦞 𘦟 𘦠 𘦡 𘦢 𘦣 𘦤 𘦥 𘦦 𘦧 𘦨 𘦩 𘦪 𘦫 𘦬 𘦭 𘦮 𘦯 𘦰 𘦱 𘦲 𘦳 𘦴 𘦵 𘦶 𘦷 𘦸 𘦹 𘦺 𘦻 𘦼 𘦽 𘦾 𘦿 𘧀 𘧁 𘧂 𘧃 𘧄 𘧅 𘧆 𘧇 𘧈 𘧉 𘧊 𘧋 𘧌 𘧍 𘧎 𘧏 𘧐 𘧑 𘧒 𘧓 𘧔 𘧕 𘧖 𘧗 𘧘 𘧙 𘧚 𘧛 𘧜 𘧝 𘧞 𘧟 𘧠 𘧡 𘧢 𘧣 𘧤 𘧥 𘧦 𘧧 𘧨 𘧩 𘧪 𘧫 𘧬 𘧭 𘧮 𘧯 𘧰 𘧱 𘧲 𘧳 𘧴 𘧵 𘧶 𘧷 𘧸 𘧹 𘧺 𘧻 𘧼 𘧽 𘧾 𘧿</t>
        </is>
      </c>
      <c r="P460" s="37" t="inlineStr">
        <is>
          <t>𘤀 𘤁 𘤂 𘤃 𘤄 𘤅 𘤆 𘤇 𘤈 𘤉 𘤊 𘤋 𘤌 𘤍 𘤎 𘤏 𘤐 𘤑 𘤒 𘤓 𘤔 𘤕 𘤖 𘤗 𘤘 𘤙 𘤚 𘤛 𘤜 𘤝 𘤞 𘤟 𘤠 𘤡 𘤢 𘤣 𘤤 𘤥 𘤦 𘤧 𘤨 𘤩 𘤪 𘤫 𘤬 𘤭 𘤮 𘤯 𘤰 𘤱 𘤲 𘤳 𘤴 𘤵 𘤶 𘤷 𘤸 𘤹 𘤺 𘤻 𘤼 𘤽 𘤾 𘤿 𘥀 𘥁 𘥂 𘥃 𘥄 𘥅 𘥆 𘥇 𘥈 𘥉 𘥊 𘥋 𘥌 𘥍 𘥎 𘥏 𘥐 𘥑 𘥒 𘥓 𘥔 𘥕 𘥖 𘥗 𘥘 𘥙 𘥚 𘥛 𘥜 𘥝 𘥞 𘥟 𘥠 𘥡 𘥢 𘥣 𘥤 𘥥 𘥦 𘥧 𘥨 𘥩 𘥪 𘥫 𘥬 𘥭 𘥮 𘥯 𘥰 𘥱 𘥲 𘥳 𘥴 𘥵 𘥶 𘥷 𘥸 𘥹 𘥺 𘥻 𘥼 𘥽 𘥾 𘥿 𘦀 𘦁 𘦂 𘦃 𘦄 𘦅 𘦆 𘦇 𘦈 𘦉 𘦊 𘦋 𘦌 𘦍 𘦎 𘦏 𘦐 𘦑 𘦒 𘦓 𘦔 𘦕 𘦖 𘦗 𘦘 𘦙 𘦚 𘦛 𘦜 𘦝 𘦞 𘦟 𘦠 𘦡 𘦢 𘦣 𘦤 𘦥 𘦦 𘦧 𘦨 𘦩 𘦪 𘦫 𘦬 𘦭 𘦮 𘦯 𘦰 𘦱 𘦲 𘦳 𘦴 𘦵 𘦶 𘦷 𘦸 𘦹 𘦺 𘦻 𘦼 𘦽 𘦾 𘦿 𘧀 𘧁 𘧂 𘧃 𘧄 𘧅 𘧆 𘧇 𘧈 𘧉 𘧊 𘧋 𘧌 𘧍 𘧎 𘧏 𘧐 𘧑 𘧒 𘧓 𘧔 𘧕 𘧖 𘧗 𘧘 𘧙 𘧚 𘧛 𘧜 𘧝 𘧞 𘧟 𘧠 𘧡 𘧢 𘧣 𘧤 𘧥 𘧦 𘧧 𘧨 𘧩 𘧪 𘧫 𘧬 𘧭 𘧮 𘧯 𘧰 𘧱 𘧲 𘧳 𘧴 𘧵 𘧶 𘧷 𘧸 𘧹 𘧺 𘧻 𘧼 𘧽 𘧾 𘧿</t>
        </is>
      </c>
      <c r="Q460" s="38" t="inlineStr">
        <is>
          <t>𘤀 𘤁 𘤂 𘤃 𘤄 𘤅 𘤆 𘤇 𘤈 𘤉 𘤊 𘤋 𘤌 𘤍 𘤎 𘤏 𘤐 𘤑 𘤒 𘤓 𘤔 𘤕 𘤖 𘤗 𘤘 𘤙 𘤚 𘤛 𘤜 𘤝 𘤞 𘤟 𘤠 𘤡 𘤢 𘤣 𘤤 𘤥 𘤦 𘤧 𘤨 𘤩 𘤪 𘤫 𘤬 𘤭 𘤮 𘤯 𘤰 𘤱 𘤲 𘤳 𘤴 𘤵 𘤶 𘤷 𘤸 𘤹 𘤺 𘤻 𘤼 𘤽 𘤾 𘤿 𘥀 𘥁 𘥂 𘥃 𘥄 𘥅 𘥆 𘥇 𘥈 𘥉 𘥊 𘥋 𘥌 𘥍 𘥎 𘥏 𘥐 𘥑 𘥒 𘥓 𘥔 𘥕 𘥖 𘥗 𘥘 𘥙 𘥚 𘥛 𘥜 𘥝 𘥞 𘥟 𘥠 𘥡 𘥢 𘥣 𘥤 𘥥 𘥦 𘥧 𘥨 𘥩 𘥪 𘥫 𘥬 𘥭 𘥮 𘥯 𘥰 𘥱 𘥲 𘥳 𘥴 𘥵 𘥶 𘥷 𘥸 𘥹 𘥺 𘥻 𘥼 𘥽 𘥾 𘥿 𘦀 𘦁 𘦂 𘦃 𘦄 𘦅 𘦆 𘦇 𘦈 𘦉 𘦊 𘦋 𘦌 𘦍 𘦎 𘦏 𘦐 𘦑 𘦒 𘦓 𘦔 𘦕 𘦖 𘦗 𘦘 𘦙 𘦚 𘦛 𘦜 𘦝 𘦞 𘦟 𘦠 𘦡 𘦢 𘦣 𘦤 𘦥 𘦦 𘦧 𘦨 𘦩 𘦪 𘦫 𘦬 𘦭 𘦮 𘦯 𘦰 𘦱 𘦲 𘦳 𘦴 𘦵 𘦶 𘦷 𘦸 𘦹 𘦺 𘦻 𘦼 𘦽 𘦾 𘦿 𘧀 𘧁 𘧂 𘧃 𘧄 𘧅 𘧆 𘧇 𘧈 𘧉 𘧊 𘧋 𘧌 𘧍 𘧎 𘧏 𘧐 𘧑 𘧒 𘧓 𘧔 𘧕 𘧖 𘧗 𘧘 𘧙 𘧚 𘧛 𘧜 𘧝 𘧞 𘧟 𘧠 𘧡 𘧢 𘧣 𘧤 𘧥 𘧦 𘧧 𘧨 𘧩 𘧪 𘧫 𘧬 𘧭 𘧮 𘧯 𘧰 𘧱 𘧲 𘧳 𘧴 𘧵 𘧶 𘧷 𘧸 𘧹 𘧺 𘧻 𘧼 𘧽 𘧾 𘧿</t>
        </is>
      </c>
      <c r="R460" s="43" t="inlineStr"/>
      <c r="S460" s="40" t="n"/>
      <c r="V460" s="14">
        <f>(LEN(O460)+1)/2</f>
        <v/>
      </c>
      <c r="W460" s="14">
        <f>ROUNDDOWN((LEN(P460)+1)/2,0)</f>
        <v/>
      </c>
      <c r="X460" s="14">
        <f>ROUNDDOWN((LEN(Q460)+1)/2,0)</f>
        <v/>
      </c>
      <c r="Y460" s="14">
        <f>ROUNDDOWN((LEN(R460)+1)/2,0)</f>
        <v/>
      </c>
      <c r="Z460" s="14">
        <f>ROUNDDOWN((LEN(S460)+1)/2,0)</f>
        <v/>
      </c>
      <c r="AA460" s="56" t="n">
        <v>46150.55868589545</v>
      </c>
    </row>
    <row r="461" ht="102" customHeight="1">
      <c r="B461" s="46" t="inlineStr">
        <is>
          <t>U+18A00-U+18AFF</t>
        </is>
      </c>
      <c r="C461" s="46" t="inlineStr">
        <is>
          <t>Tangut Components</t>
        </is>
      </c>
      <c r="D461" s="54">
        <f>HEX2DEC(MID(B461,3,FIND("-",E461)-3))</f>
        <v/>
      </c>
      <c r="E461" s="46" t="inlineStr">
        <is>
          <t>U+18800-U+18AFF</t>
        </is>
      </c>
      <c r="F461" s="12" t="n">
        <v>4</v>
      </c>
      <c r="J461" s="19">
        <f>ROUNDDOWN(W461,0)/$V461</f>
        <v/>
      </c>
      <c r="K461" s="19">
        <f>ROUNDDOWN(X461,0)/$V461</f>
        <v/>
      </c>
      <c r="L461" s="19">
        <f>ROUNDDOWN(Y461,0)/$V461</f>
        <v/>
      </c>
      <c r="M461" s="19">
        <f>ROUNDDOWN(Z461,0)/$V461</f>
        <v/>
      </c>
      <c r="O461" s="36" t="inlineStr">
        <is>
          <t>𘨀 𘨁 𘨂 𘨃 𘨄 𘨅 𘨆 𘨇 𘨈 𘨉 𘨊 𘨋 𘨌 𘨍 𘨎 𘨏 𘨐 𘨑 𘨒 𘨓 𘨔 𘨕 𘨖 𘨗 𘨘 𘨙 𘨚 𘨛 𘨜 𘨝 𘨞 𘨟 𘨠 𘨡 𘨢 𘨣 𘨤 𘨥 𘨦 𘨧 𘨨 𘨩 𘨪 𘨫 𘨬 𘨭 𘨮 𘨯 𘨰 𘨱 𘨲 𘨳 𘨴 𘨵 𘨶 𘨷 𘨸 𘨹 𘨺 𘨻 𘨼 𘨽 𘨾 𘨿 𘩀 𘩁 𘩂 𘩃 𘩄 𘩅 𘩆 𘩇 𘩈 𘩉 𘩊 𘩋 𘩌 𘩍 𘩎 𘩏 𘩐 𘩑 𘩒 𘩓 𘩔 𘩕 𘩖 𘩗 𘩘 𘩙 𘩚 𘩛 𘩜 𘩝 𘩞 𘩟 𘩠 𘩡 𘩢 𘩣 𘩤 𘩥 𘩦 𘩧 𘩨 𘩩 𘩪 𘩫 𘩬 𘩭 𘩮 𘩯 𘩰 𘩱 𘩲 𘩳 𘩴 𘩵 𘩶 𘩷 𘩸 𘩹 𘩺 𘩻 𘩼 𘩽 𘩾 𘩿 𘪀 𘪁 𘪂 𘪃 𘪄 𘪅 𘪆 𘪇 𘪈 𘪉 𘪊 𘪋 𘪌 𘪍 𘪎 𘪏 𘪐 𘪑 𘪒 𘪓 𘪔 𘪕 𘪖 𘪗 𘪘 𘪙 𘪚 𘪛 𘪜 𘪝 𘪞 𘪟 𘪠 𘪡 𘪢 𘪣 𘪤 𘪥 𘪦 𘪧 𘪨 𘪩 𘪪 𘪫 𘪬 𘪭 𘪮 𘪯 𘪰 𘪱 𘪲 𘪳 𘪴 𘪵 𘪶 𘪷 𘪸 𘪹 𘪺 𘪻 𘪼 𘪽 𘪾 𘪿 𘫀 𘫁 𘫂 𘫃 𘫄 𘫅 𘫆 𘫇 𘫈 𘫉 𘫊 𘫋 𘫌 𘫍 𘫎 𘫏 𘫐 𘫑 𘫒 𘫓 𘫔 𘫕 𘫖 𘫗 𘫘 𘫙 𘫚 𘫛 𘫜 𘫝 𘫞 𘫟 𘫠 𘫡 𘫢 𘫣 𘫤 𘫥 𘫦 𘫧 𘫨 𘫩 𘫪 𘫫 𘫬 𘫭 𘫮 𘫯 𘫰 𘫱 𘫲 𘫳 𘫴 𘫵 𘫶 𘫷 𘫸 𘫹 𘫺 𘫻 𘫼 𘫽 𘫾 𘫿</t>
        </is>
      </c>
      <c r="P461" s="37" t="inlineStr">
        <is>
          <t>𘨀 𘨁 𘨂 𘨃 𘨄 𘨅 𘨆 𘨇 𘨈 𘨉 𘨊 𘨋 𘨌 𘨍 𘨎 𘨏 𘨐 𘨑 𘨒 𘨓 𘨔 𘨕 𘨖 𘨗 𘨘 𘨙 𘨚 𘨛 𘨜 𘨝 𘨞 𘨟 𘨠 𘨡 𘨢 𘨣 𘨤 𘨥 𘨦 𘨧 𘨨 𘨩 𘨪 𘨫 𘨬 𘨭 𘨮 𘨯 𘨰 𘨱 𘨲 𘨳 𘨴 𘨵 𘨶 𘨷 𘨸 𘨹 𘨺 𘨻 𘨼 𘨽 𘨾 𘨿 𘩀 𘩁 𘩂 𘩃 𘩄 𘩅 𘩆 𘩇 𘩈 𘩉 𘩊 𘩋 𘩌 𘩍 𘩎 𘩏 𘩐 𘩑 𘩒 𘩓 𘩔 𘩕 𘩖 𘩗 𘩘 𘩙 𘩚 𘩛 𘩜 𘩝 𘩞 𘩟 𘩠 𘩡 𘩢 𘩣 𘩤 𘩥 𘩦 𘩧 𘩨 𘩩 𘩪 𘩫 𘩬 𘩭 𘩮 𘩯 𘩰 𘩱 𘩲 𘩳 𘩴 𘩵 𘩶 𘩷 𘩸 𘩹 𘩺 𘩻 𘩼 𘩽 𘩾 𘩿 𘪀 𘪁 𘪂 𘪃 𘪄 𘪅 𘪆 𘪇 𘪈 𘪉 𘪊 𘪋 𘪌 𘪍 𘪎 𘪏 𘪐 𘪑 𘪒 𘪓 𘪔 𘪕 𘪖 𘪗 𘪘 𘪙 𘪚 𘪛 𘪜 𘪝 𘪞 𘪟 𘪠 𘪡 𘪢 𘪣 𘪤 𘪥 𘪦 𘪧 𘪨 𘪩 𘪪 𘪫 𘪬 𘪭 𘪮 𘪯 𘪰 𘪱 𘪲 𘪳 𘪴 𘪵 𘪶 𘪷 𘪸 𘪹 𘪺 𘪻 𘪼 𘪽 𘪾 𘪿 𘫀 𘫁 𘫂 𘫃 𘫄 𘫅 𘫆 𘫇 𘫈 𘫉 𘫊 𘫋 𘫌 𘫍 𘫎 𘫏 𘫐 𘫑 𘫒 𘫓 𘫔 𘫕 𘫖 𘫗 𘫘 𘫙 𘫚 𘫛 𘫜 𘫝 𘫞 𘫟 𘫠 𘫡 𘫢 𘫣 𘫤 𘫥 𘫦 𘫧 𘫨 𘫩 𘫪 𘫫 𘫬 𘫭 𘫮 𘫯 𘫰 𘫱 𘫲 𘫳 𘫴 𘫵 𘫶 𘫷 𘫸 𘫹 𘫺 𘫻 𘫼 𘫽 𘫾 𘫿</t>
        </is>
      </c>
      <c r="Q461" s="38" t="inlineStr">
        <is>
          <t>𘨀 𘨁 𘨂 𘨃 𘨄 𘨅 𘨆 𘨇 𘨈 𘨉 𘨊 𘨋 𘨌 𘨍 𘨎 𘨏 𘨐 𘨑 𘨒 𘨓 𘨔 𘨕 𘨖 𘨗 𘨘 𘨙 𘨚 𘨛 𘨜 𘨝 𘨞 𘨟 𘨠 𘨡 𘨢 𘨣 𘨤 𘨥 𘨦 𘨧 𘨨 𘨩 𘨪 𘨫 𘨬 𘨭 𘨮 𘨯 𘨰 𘨱 𘨲 𘨳 𘨴 𘨵 𘨶 𘨷 𘨸 𘨹 𘨺 𘨻 𘨼 𘨽 𘨾 𘨿 𘩀 𘩁 𘩂 𘩃 𘩄 𘩅 𘩆 𘩇 𘩈 𘩉 𘩊 𘩋 𘩌 𘩍 𘩎 𘩏 𘩐 𘩑 𘩒 𘩓 𘩔 𘩕 𘩖 𘩗 𘩘 𘩙 𘩚 𘩛 𘩜 𘩝 𘩞 𘩟 𘩠 𘩡 𘩢 𘩣 𘩤 𘩥 𘩦 𘩧 𘩨 𘩩 𘩪 𘩫 𘩬 𘩭 𘩮 𘩯 𘩰 𘩱 𘩲 𘩳 𘩴 𘩵 𘩶 𘩷 𘩸 𘩹 𘩺 𘩻 𘩼 𘩽 𘩾 𘩿 𘪀 𘪁 𘪂 𘪃 𘪄 𘪅 𘪆 𘪇 𘪈 𘪉 𘪊 𘪋 𘪌 𘪍 𘪎 𘪏 𘪐 𘪑 𘪒 𘪓 𘪔 𘪕 𘪖 𘪗 𘪘 𘪙 𘪚 𘪛 𘪜 𘪝 𘪞 𘪟 𘪠 𘪡 𘪢 𘪣 𘪤 𘪥 𘪦 𘪧 𘪨 𘪩 𘪪 𘪫 𘪬 𘪭 𘪮 𘪯 𘪰 𘪱 𘪲 𘪳 𘪴 𘪵 𘪶 𘪷 𘪸 𘪹 𘪺 𘪻 𘪼 𘪽 𘪾 𘪿 𘫀 𘫁 𘫂 𘫃 𘫄 𘫅 𘫆 𘫇 𘫈 𘫉 𘫊 𘫋 𘫌 𘫍 𘫎 𘫏 𘫐 𘫑 𘫒 𘫓 𘫔 𘫕 𘫖 𘫗 𘫘 𘫙 𘫚 𘫛 𘫜 𘫝 𘫞 𘫟 𘫠 𘫡 𘫢 𘫣 𘫤 𘫥 𘫦 𘫧 𘫨 𘫩 𘫪 𘫫 𘫬 𘫭 𘫮 𘫯 𘫰 𘫱 𘫲 𘫳 𘫴 𘫵 𘫶 𘫷 𘫸 𘫹 𘫺 𘫻 𘫼 𘫽 𘫾 𘫿</t>
        </is>
      </c>
      <c r="R461" s="43" t="inlineStr"/>
      <c r="S461" s="40" t="n"/>
      <c r="V461" s="14">
        <f>(LEN(O461)+1)/2</f>
        <v/>
      </c>
      <c r="W461" s="14">
        <f>ROUNDDOWN((LEN(P461)+1)/2,0)</f>
        <v/>
      </c>
      <c r="X461" s="14">
        <f>ROUNDDOWN((LEN(Q461)+1)/2,0)</f>
        <v/>
      </c>
      <c r="Y461" s="14">
        <f>ROUNDDOWN((LEN(R461)+1)/2,0)</f>
        <v/>
      </c>
      <c r="Z461" s="14">
        <f>ROUNDDOWN((LEN(S461)+1)/2,0)</f>
        <v/>
      </c>
      <c r="AA461" s="56" t="n">
        <v>46150.5586869589</v>
      </c>
    </row>
    <row r="462" ht="102" customHeight="1">
      <c r="B462" s="46" t="inlineStr">
        <is>
          <t>U+18B00-U+18BEA</t>
        </is>
      </c>
      <c r="C462" s="46" t="inlineStr">
        <is>
          <t>Khitan Small Script</t>
        </is>
      </c>
      <c r="D462" s="54">
        <f>HEX2DEC(MID(B462,3,FIND("-",E462)-3))</f>
        <v/>
      </c>
      <c r="E462" s="46" t="inlineStr">
        <is>
          <t>U+18B00-U+18CFF</t>
        </is>
      </c>
      <c r="F462" s="12" t="n">
        <v>4</v>
      </c>
      <c r="J462" s="19">
        <f>ROUNDDOWN(W462,0)/$V462</f>
        <v/>
      </c>
      <c r="K462" s="19">
        <f>ROUNDDOWN(X462,0)/$V462</f>
        <v/>
      </c>
      <c r="L462" s="19">
        <f>ROUNDDOWN(Y462,0)/$V462</f>
        <v/>
      </c>
      <c r="M462" s="19">
        <f>ROUNDDOWN(Z462,0)/$V462</f>
        <v/>
      </c>
      <c r="O462" s="36" t="inlineStr">
        <is>
          <t>𘬀 𘬁 𘬂 𘬃 𘬄 𘬅 𘬆 𘬇 𘬈 𘬉 𘬊 𘬋 𘬌 𘬍 𘬎 𘬏 𘬐 𘬑 𘬒 𘬓 𘬔 𘬕 𘬖 𘬗 𘬘 𘬙 𘬚 𘬛 𘬜 𘬝 𘬞 𘬟 𘬠 𘬡 𘬢 𘬣 𘬤 𘬥 𘬦 𘬧 𘬨 𘬩 𘬪 𘬫 𘬬 𘬭 𘬮 𘬯 𘬰 𘬱 𘬲 𘬳 𘬴 𘬵 𘬶 𘬷 𘬸 𘬹 𘬺 𘬻 𘬼 𘬽 𘬾 𘬿 𘭀 𘭁 𘭂 𘭃 𘭄 𘭅 𘭆 𘭇 𘭈 𘭉 𘭊 𘭋 𘭌 𘭍 𘭎 𘭏 𘭐 𘭑 𘭒 𘭓 𘭔 𘭕 𘭖 𘭗 𘭘 𘭙 𘭚 𘭛 𘭜 𘭝 𘭞 𘭟 𘭠 𘭡 𘭢 𘭣 𘭤 𘭥 𘭦 𘭧 𘭨 𘭩 𘭪 𘭫 𘭬 𘭭 𘭮 𘭯 𘭰 𘭱 𘭲 𘭳 𘭴 𘭵 𘭶 𘭷 𘭸 𘭹 𘭺 𘭻 𘭼 𘭽 𘭾 𘭿 𘮀 𘮁 𘮂 𘮃 𘮄 𘮅 𘮆 𘮇 𘮈 𘮉 𘮊 𘮋 𘮌 𘮍 𘮎 𘮏 𘮐 𘮑 𘮒 𘮓 𘮔 𘮕 𘮖 𘮗 𘮘 𘮙 𘮚 𘮛 𘮜 𘮝 𘮞 𘮟 𘮠 𘮡 𘮢 𘮣 𘮤 𘮥 𘮦 𘮧 𘮨 𘮩 𘮪 𘮫 𘮬 𘮭 𘮮 𘮯 𘮰 𘮱 𘮲 𘮳 𘮴 𘮵 𘮶 𘮷 𘮸 𘮹 𘮺 𘮻 𘮼 𘮽 𘮾 𘮿 𘯀 𘯁 𘯂 𘯃 𘯄 𘯅 𘯆 𘯇 𘯈 𘯉 𘯊 𘯋 𘯌 𘯍 𘯎 𘯏 𘯐 𘯑 𘯒 𘯓 𘯔 𘯕 𘯖 𘯗 𘯘 𘯙 𘯚 𘯛 𘯜 𘯝 𘯞 𘯟 𘯠 𘯡 𘯢 𘯣 𘯤 𘯥 𘯦 𘯧 𘯨 𘯩 𘯪</t>
        </is>
      </c>
      <c r="P462" s="37" t="inlineStr">
        <is>
          <t>𘬀 𘬁 𘬂 𘬃 𘬄 𘬅 𘬆 𘬇 𘬈 𘬉 𘬊 𘬋 𘬌 𘬍 𘬎 𘬏 𘬐 𘬑 𘬒 𘬓 𘬔 𘬕 𘬖 𘬗 𘬘 𘬙 𘬚 𘬛 𘬜 𘬝 𘬞 𘬟 𘬠 𘬡 𘬢 𘬣 𘬤 𘬥 𘬦 𘬧 𘬨 𘬩 𘬪 𘬫 𘬬 𘬭 𘬮 𘬯 𘬰 𘬱 𘬲 𘬳 𘬴 𘬵 𘬶 𘬷 𘬸 𘬹 𘬺 𘬻 𘬼 𘬽 𘬾 𘬿 𘭀 𘭁 𘭂 𘭃 𘭄 𘭅 𘭆 𘭇 𘭈 𘭉 𘭊 𘭋 𘭌 𘭍 𘭎 𘭏 𘭐 𘭑 𘭒 𘭓 𘭔 𘭕 𘭖 𘭗 𘭘 𘭙 𘭚 𘭛 𘭜 𘭝 𘭞 𘭟 𘭠 𘭡 𘭢 𘭣 𘭤 𘭥 𘭦 𘭧 𘭨 𘭩 𘭪 𘭫 𘭬 𘭭 𘭮 𘭯 𘭰 𘭱 𘭲 𘭳 𘭴 𘭵 𘭶 𘭷 𘭸 𘭹 𘭺 𘭻 𘭼 𘭽 𘭾 𘭿 𘮀 𘮁 𘮂 𘮃 𘮄 𘮅 𘮆 𘮇 𘮈 𘮉 𘮊 𘮋 𘮌 𘮍 𘮎 𘮏 𘮐 𘮑 𘮒 𘮓 𘮔 𘮕 𘮖 𘮗 𘮘 𘮙 𘮚 𘮛 𘮜 𘮝 𘮞 𘮟 𘮠 𘮡 𘮢 𘮣 𘮤 𘮥 𘮦 𘮧 𘮨 𘮩 𘮪 𘮫 𘮬 𘮭 𘮮 𘮯 𘮰 𘮱 𘮲 𘮳 𘮴 𘮵 𘮶 𘮷 𘮸 𘮹 𘮺 𘮻 𘮼 𘮽 𘮾 𘮿 𘯀 𘯁 𘯂 𘯃 𘯄 𘯅 𘯆 𘯇 𘯈 𘯉 𘯊 𘯋 𘯌 𘯍 𘯎 𘯏 𘯐 𘯑 𘯒 𘯓 𘯔 𘯕 𘯖 𘯗 𘯘 𘯙 𘯚 𘯛 𘯜 𘯝 𘯞 𘯟 𘯠 𘯡 𘯢 𘯣 𘯤 𘯥 𘯦 𘯧 𘯨 𘯩 𘯪</t>
        </is>
      </c>
      <c r="Q462" s="38" t="inlineStr">
        <is>
          <t>𘬀 𘬁 𘬂 𘬃 𘬄 𘬅 𘬆 𘬇 𘬈 𘬉 𘬊 𘬋 𘬌 𘬍 𘬎 𘬏 𘬐 𘬑 𘬒 𘬓 𘬔 𘬕 𘬖 𘬗 𘬘 𘬙 𘬚 𘬛 𘬜 𘬝 𘬞 𘬟 𘬠 𘬡 𘬢 𘬣 𘬤 𘬥 𘬦 𘬧 𘬨 𘬩 𘬪 𘬫 𘬬 𘬭 𘬮 𘬯 𘬰 𘬱 𘬲 𘬳 𘬴 𘬵 𘬶 𘬷 𘬸 𘬹 𘬺 𘬻 𘬼 𘬽 𘬾 𘬿 𘭀 𘭁 𘭂 𘭃 𘭄 𘭅 𘭆 𘭇 𘭈 𘭉 𘭊 𘭋 𘭌 𘭍 𘭎 𘭏 𘭐 𘭑 𘭒 𘭓 𘭔 𘭕 𘭖 𘭗 𘭘 𘭙 𘭚 𘭛 𘭜 𘭝 𘭞 𘭟 𘭠 𘭡 𘭢 𘭣 𘭤 𘭥 𘭦 𘭧 𘭨 𘭩 𘭪 𘭫 𘭬 𘭭 𘭮 𘭯 𘭰 𘭱 𘭲 𘭳 𘭴 𘭵 𘭶 𘭷 𘭸 𘭹 𘭺 𘭻 𘭼 𘭽 𘭾 𘭿 𘮀 𘮁 𘮂 𘮃 𘮄 𘮅 𘮆 𘮇 𘮈 𘮉 𘮊 𘮋 𘮌 𘮍 𘮎 𘮏 𘮐 𘮑 𘮒 𘮓 𘮔 𘮕 𘮖 𘮗 𘮘 𘮙 𘮚 𘮛 𘮜 𘮝 𘮞 𘮟 𘮠 𘮡 𘮢 𘮣 𘮤 𘮥 𘮦 𘮧 𘮨 𘮩 𘮪 𘮫 𘮬 𘮭 𘮮 𘮯 𘮰 𘮱 𘮲 𘮳 𘮴 𘮵 𘮶 𘮷 𘮸 𘮹 𘮺 𘮻 𘮼 𘮽 𘮾 𘮿 𘯀 𘯁 𘯂 𘯃 𘯄 𘯅 𘯆 𘯇 𘯈 𘯉 𘯊 𘯋 𘯌 𘯍 𘯎 𘯏 𘯐 𘯑 𘯒 𘯓 𘯔 𘯕 𘯖 𘯗 𘯘 𘯙 𘯚 𘯛 𘯜 𘯝 𘯞 𘯟 𘯠 𘯡 𘯢 𘯣 𘯤 𘯥 𘯦 𘯧 𘯨 𘯩 𘯪</t>
        </is>
      </c>
      <c r="R462" s="43" t="inlineStr"/>
      <c r="S462" s="40" t="n"/>
      <c r="V462" s="14">
        <f>(LEN(O462)+1)/2</f>
        <v/>
      </c>
      <c r="W462" s="14">
        <f>ROUNDDOWN((LEN(P462)+1)/2,0)</f>
        <v/>
      </c>
      <c r="X462" s="14">
        <f>ROUNDDOWN((LEN(Q462)+1)/2,0)</f>
        <v/>
      </c>
      <c r="Y462" s="14">
        <f>ROUNDDOWN((LEN(R462)+1)/2,0)</f>
        <v/>
      </c>
      <c r="Z462" s="14">
        <f>ROUNDDOWN((LEN(S462)+1)/2,0)</f>
        <v/>
      </c>
      <c r="AA462" s="56" t="n">
        <v>46150.55868793828</v>
      </c>
    </row>
    <row r="463" ht="102" customHeight="1">
      <c r="B463" s="46" t="inlineStr">
        <is>
          <t>U+18BEB-U+18CD5</t>
        </is>
      </c>
      <c r="C463" s="46" t="inlineStr">
        <is>
          <t>Khitan Small Script</t>
        </is>
      </c>
      <c r="D463" s="54">
        <f>HEX2DEC(MID(B463,3,FIND("-",E463)-3))</f>
        <v/>
      </c>
      <c r="E463" s="46" t="inlineStr">
        <is>
          <t>U+18B00-U+18CFF</t>
        </is>
      </c>
      <c r="F463" s="12" t="n">
        <v>4</v>
      </c>
      <c r="J463" s="19">
        <f>ROUNDDOWN(W463,0)/$V463</f>
        <v/>
      </c>
      <c r="K463" s="19">
        <f>ROUNDDOWN(X463,0)/$V463</f>
        <v/>
      </c>
      <c r="L463" s="19">
        <f>ROUNDDOWN(Y463,0)/$V463</f>
        <v/>
      </c>
      <c r="M463" s="19">
        <f>ROUNDDOWN(Z463,0)/$V463</f>
        <v/>
      </c>
      <c r="O463" s="36" t="inlineStr">
        <is>
          <t>𘯫 𘯬 𘯭 𘯮 𘯯 𘯰 𘯱 𘯲 𘯳 𘯴 𘯵 𘯶 𘯷 𘯸 𘯹 𘯺 𘯻 𘯼 𘯽 𘯾 𘯿 𘰀 𘰁 𘰂 𘰃 𘰄 𘰅 𘰆 𘰇 𘰈 𘰉 𘰊 𘰋 𘰌 𘰍 𘰎 𘰏 𘰐 𘰑 𘰒 𘰓 𘰔 𘰕 𘰖 𘰗 𘰘 𘰙 𘰚 𘰛 𘰜 𘰝 𘰞 𘰟 𘰠 𘰡 𘰢 𘰣 𘰤 𘰥 𘰦 𘰧 𘰨 𘰩 𘰪 𘰫 𘰬 𘰭 𘰮 𘰯 𘰰 𘰱 𘰲 𘰳 𘰴 𘰵 𘰶 𘰷 𘰸 𘰹 𘰺 𘰻 𘰼 𘰽 𘰾 𘰿 𘱀 𘱁 𘱂 𘱃 𘱄 𘱅 𘱆 𘱇 𘱈 𘱉 𘱊 𘱋 𘱌 𘱍 𘱎 𘱏 𘱐 𘱑 𘱒 𘱓 𘱔 𘱕 𘱖 𘱗 𘱘 𘱙 𘱚 𘱛 𘱜 𘱝 𘱞 𘱟 𘱠 𘱡 𘱢 𘱣 𘱤 𘱥 𘱦 𘱧 𘱨 𘱩 𘱪 𘱫 𘱬 𘱭 𘱮 𘱯 𘱰 𘱱 𘱲 𘱳 𘱴 𘱵 𘱶 𘱷 𘱸 𘱹 𘱺 𘱻 𘱼 𘱽 𘱾 𘱿 𘲀 𘲁 𘲂 𘲃 𘲄 𘲅 𘲆 𘲇 𘲈 𘲉 𘲊 𘲋 𘲌 𘲍 𘲎 𘲏 𘲐 𘲑 𘲒 𘲓 𘲔 𘲕 𘲖 𘲗 𘲘 𘲙 𘲚 𘲛 𘲜 𘲝 𘲞 𘲟 𘲠 𘲡 𘲢 𘲣 𘲤 𘲥 𘲦 𘲧 𘲨 𘲩 𘲪 𘲫 𘲬 𘲭 𘲮 𘲯 𘲰 𘲱 𘲲 𘲳 𘲴 𘲵 𘲶 𘲷 𘲸 𘲹 𘲺 𘲻 𘲼 𘲽 𘲾 𘲿 𘳀 𘳁 𘳂 𘳃 𘳄 𘳅 𘳆 𘳇 𘳈 𘳉 𘳊 𘳋 𘳌 𘳍 𘳎 𘳏 𘳐 𘳑 𘳒 𘳓 𘳔 𘳕</t>
        </is>
      </c>
      <c r="P463" s="37" t="inlineStr">
        <is>
          <t>𘯫 𘯬 𘯭 𘯮 𘯯 𘯰 𘯱 𘯲 𘯳 𘯴 𘯵 𘯶 𘯷 𘯸 𘯹 𘯺 𘯻 𘯼 𘯽 𘯾 𘯿 𘰀 𘰁 𘰂 𘰃 𘰄 𘰅 𘰆 𘰇 𘰈 𘰉 𘰊 𘰋 𘰌 𘰍 𘰎 𘰏 𘰐 𘰑 𘰒 𘰓 𘰔 𘰕 𘰖 𘰗 𘰘 𘰙 𘰚 𘰛 𘰜 𘰝 𘰞 𘰟 𘰠 𘰡 𘰢 𘰣 𘰤 𘰥 𘰦 𘰧 𘰨 𘰩 𘰪 𘰫 𘰬 𘰭 𘰮 𘰯 𘰰 𘰱 𘰲 𘰳 𘰴 𘰵 𘰶 𘰷 𘰸 𘰹 𘰺 𘰻 𘰼 𘰽 𘰾 𘰿 𘱀 𘱁 𘱂 𘱃 𘱄 𘱅 𘱆 𘱇 𘱈 𘱉 𘱊 𘱋 𘱌 𘱍 𘱎 𘱏 𘱐 𘱑 𘱒 𘱓 𘱔 𘱕 𘱖 𘱗 𘱘 𘱙 𘱚 𘱛 𘱜 𘱝 𘱞 𘱟 𘱠 𘱡 𘱢 𘱣 𘱤 𘱥 𘱦 𘱧 𘱨 𘱩 𘱪 𘱫 𘱬 𘱭 𘱮 𘱯 𘱰 𘱱 𘱲 𘱳 𘱴 𘱵 𘱶 𘱷 𘱸 𘱹 𘱺 𘱻 𘱼 𘱽 𘱾 𘱿 𘲀 𘲁 𘲂 𘲃 𘲄 𘲅 𘲆 𘲇 𘲈 𘲉 𘲊 𘲋 𘲌 𘲍 𘲎 𘲏 𘲐 𘲑 𘲒 𘲓 𘲔 𘲕 𘲖 𘲗 𘲘 𘲙 𘲚 𘲛 𘲜 𘲝 𘲞 𘲟 𘲠 𘲡 𘲢 𘲣 𘲤 𘲥 𘲦 𘲧 𘲨 𘲩 𘲪 𘲫 𘲬 𘲭 𘲮 𘲯 𘲰 𘲱 𘲲 𘲳 𘲴 𘲵 𘲶 𘲷 𘲸 𘲹 𘲺 𘲻 𘲼 𘲽 𘲾 𘲿 𘳀 𘳁 𘳂 𘳃 𘳄 𘳅 𘳆 𘳇 𘳈 𘳉 𘳊 𘳋 𘳌 𘳍 𘳎 𘳏 𘳐 𘳑 𘳒 𘳓 𘳔 𘳕</t>
        </is>
      </c>
      <c r="Q463" s="38" t="inlineStr">
        <is>
          <t>𘯫 𘯬 𘯭 𘯮 𘯯 𘯰 𘯱 𘯲 𘯳 𘯴 𘯵 𘯶 𘯷 𘯸 𘯹 𘯺 𘯻 𘯼 𘯽 𘯾 𘯿 𘰀 𘰁 𘰂 𘰃 𘰄 𘰅 𘰆 𘰇 𘰈 𘰉 𘰊 𘰋 𘰌 𘰍 𘰎 𘰏 𘰐 𘰑 𘰒 𘰓 𘰔 𘰕 𘰖 𘰗 𘰘 𘰙 𘰚 𘰛 𘰜 𘰝 𘰞 𘰟 𘰠 𘰡 𘰢 𘰣 𘰤 𘰥 𘰦 𘰧 𘰨 𘰩 𘰪 𘰫 𘰬 𘰭 𘰮 𘰯 𘰰 𘰱 𘰲 𘰳 𘰴 𘰵 𘰶 𘰷 𘰸 𘰹 𘰺 𘰻 𘰼 𘰽 𘰾 𘰿 𘱀 𘱁 𘱂 𘱃 𘱄 𘱅 𘱆 𘱇 𘱈 𘱉 𘱊 𘱋 𘱌 𘱍 𘱎 𘱏 𘱐 𘱑 𘱒 𘱓 𘱔 𘱕 𘱖 𘱗 𘱘 𘱙 𘱚 𘱛 𘱜 𘱝 𘱞 𘱟 𘱠 𘱡 𘱢 𘱣 𘱤 𘱥 𘱦 𘱧 𘱨 𘱩 𘱪 𘱫 𘱬 𘱭 𘱮 𘱯 𘱰 𘱱 𘱲 𘱳 𘱴 𘱵 𘱶 𘱷 𘱸 𘱹 𘱺 𘱻 𘱼 𘱽 𘱾 𘱿 𘲀 𘲁 𘲂 𘲃 𘲄 𘲅 𘲆 𘲇 𘲈 𘲉 𘲊 𘲋 𘲌 𘲍 𘲎 𘲏 𘲐 𘲑 𘲒 𘲓 𘲔 𘲕 𘲖 𘲗 𘲘 𘲙 𘲚 𘲛 𘲜 𘲝 𘲞 𘲟 𘲠 𘲡 𘲢 𘲣 𘲤 𘲥 𘲦 𘲧 𘲨 𘲩 𘲪 𘲫 𘲬 𘲭 𘲮 𘲯 𘲰 𘲱 𘲲 𘲳 𘲴 𘲵 𘲶 𘲷 𘲸 𘲹 𘲺 𘲻 𘲼 𘲽 𘲾 𘲿 𘳀 𘳁 𘳂 𘳃 𘳄 𘳅 𘳆 𘳇 𘳈 𘳉 𘳊 𘳋 𘳌 𘳍 𘳎 𘳏 𘳐 𘳑 𘳒 𘳓 𘳔 𘳕</t>
        </is>
      </c>
      <c r="R463" s="43" t="inlineStr"/>
      <c r="S463" s="40" t="n"/>
      <c r="V463" s="14">
        <f>(LEN(O463)+1)/2</f>
        <v/>
      </c>
      <c r="W463" s="14">
        <f>ROUNDDOWN((LEN(P463)+1)/2,0)</f>
        <v/>
      </c>
      <c r="X463" s="14">
        <f>ROUNDDOWN((LEN(Q463)+1)/2,0)</f>
        <v/>
      </c>
      <c r="Y463" s="14">
        <f>ROUNDDOWN((LEN(R463)+1)/2,0)</f>
        <v/>
      </c>
      <c r="Z463" s="14">
        <f>ROUNDDOWN((LEN(S463)+1)/2,0)</f>
        <v/>
      </c>
      <c r="AA463" s="56" t="n">
        <v>46150.55868892623</v>
      </c>
    </row>
    <row r="464" ht="25.5" customHeight="1">
      <c r="B464" s="46" t="inlineStr">
        <is>
          <t>U+18D00-U+18D08</t>
        </is>
      </c>
      <c r="C464" s="46" t="inlineStr">
        <is>
          <t>Tangut Supplement</t>
        </is>
      </c>
      <c r="D464" s="54">
        <f>HEX2DEC(MID(B464,3,FIND("-",E464)-3))</f>
        <v/>
      </c>
      <c r="E464" s="46" t="inlineStr">
        <is>
          <t>U+18D00-U+18D7F</t>
        </is>
      </c>
      <c r="F464" s="12" t="n">
        <v>4</v>
      </c>
      <c r="J464" s="19">
        <f>ROUNDDOWN(W464,0)/$V464</f>
        <v/>
      </c>
      <c r="K464" s="19">
        <f>ROUNDDOWN(X464,0)/$V464</f>
        <v/>
      </c>
      <c r="L464" s="19">
        <f>ROUNDDOWN(Y464,0)/$V464</f>
        <v/>
      </c>
      <c r="M464" s="19">
        <f>ROUNDDOWN(Z464,0)/$V464</f>
        <v/>
      </c>
      <c r="O464" s="36" t="inlineStr">
        <is>
          <t>𘴀 𘴁 𘴂 𘴃 𘴄 𘴅 𘴆 𘴇 𘴈</t>
        </is>
      </c>
      <c r="P464" s="37" t="inlineStr">
        <is>
          <t>𘴀 𘴁 𘴂 𘴃 𘴄 𘴅 𘴆 𘴇 𘴈</t>
        </is>
      </c>
      <c r="Q464" s="38" t="inlineStr">
        <is>
          <t>𘴀 𘴁 𘴂 𘴃 𘴄 𘴅 𘴆 𘴇 𘴈</t>
        </is>
      </c>
      <c r="R464" s="43" t="inlineStr"/>
      <c r="S464" s="40" t="n"/>
      <c r="V464" s="14">
        <f>(LEN(O464)+1)/2</f>
        <v/>
      </c>
      <c r="W464" s="14">
        <f>ROUNDDOWN((LEN(P464)+1)/2,0)</f>
        <v/>
      </c>
      <c r="X464" s="14">
        <f>ROUNDDOWN((LEN(Q464)+1)/2,0)</f>
        <v/>
      </c>
      <c r="Y464" s="14">
        <f>ROUNDDOWN((LEN(R464)+1)/2,0)</f>
        <v/>
      </c>
      <c r="Z464" s="14">
        <f>ROUNDDOWN((LEN(S464)+1)/2,0)</f>
        <v/>
      </c>
      <c r="AA464" s="56" t="n">
        <v>46150.55868910883</v>
      </c>
    </row>
    <row r="465" ht="25.5" customHeight="1">
      <c r="B465" s="46" t="inlineStr">
        <is>
          <t>U+1AFF0-U+1AFFE</t>
        </is>
      </c>
      <c r="C465" s="46" t="inlineStr">
        <is>
          <t>Kana Extended-B</t>
        </is>
      </c>
      <c r="D465" s="54">
        <f>HEX2DEC(MID(B465,3,FIND("-",E465)-3))</f>
        <v/>
      </c>
      <c r="E465" s="46" t="inlineStr">
        <is>
          <t>U+1AFF0-U+1AFFF</t>
        </is>
      </c>
      <c r="F465" s="12" t="n">
        <v>4</v>
      </c>
      <c r="J465" s="19">
        <f>ROUNDDOWN(W465,0)/$V465</f>
        <v/>
      </c>
      <c r="K465" s="19">
        <f>ROUNDDOWN(X465,0)/$V465</f>
        <v/>
      </c>
      <c r="L465" s="19">
        <f>ROUNDDOWN(Y465,0)/$V465</f>
        <v/>
      </c>
      <c r="M465" s="19">
        <f>ROUNDDOWN(Z465,0)/$V465</f>
        <v/>
      </c>
      <c r="O465" s="36" t="inlineStr">
        <is>
          <t>𚿰 𚿱 𚿲 𚿳 𚿵 𚿶 𚿷 𚿸 𚿹 𚿺 𚿻 𚿽 𚿾</t>
        </is>
      </c>
      <c r="P465" s="37" t="inlineStr">
        <is>
          <t>𚿰 𚿱 𚿲 𚿳 𚿵 𚿶 𚿷 𚿸 𚿹 𚿺 𚿻 𚿽 𚿾</t>
        </is>
      </c>
      <c r="Q465" s="38" t="inlineStr">
        <is>
          <t>𚿰 𚿱 𚿲 𚿳 𚿵 𚿶 𚿷 𚿸 𚿹 𚿺 𚿻 𚿽 𚿾</t>
        </is>
      </c>
      <c r="R465" s="43" t="inlineStr"/>
      <c r="S465" s="40" t="n"/>
      <c r="V465" s="14">
        <f>(LEN(O465)+1)/2</f>
        <v/>
      </c>
      <c r="W465" s="14">
        <f>ROUNDDOWN((LEN(P465)+1)/2,0)</f>
        <v/>
      </c>
      <c r="X465" s="14">
        <f>ROUNDDOWN((LEN(Q465)+1)/2,0)</f>
        <v/>
      </c>
      <c r="Y465" s="14">
        <f>ROUNDDOWN((LEN(R465)+1)/2,0)</f>
        <v/>
      </c>
      <c r="Z465" s="14">
        <f>ROUNDDOWN((LEN(S465)+1)/2,0)</f>
        <v/>
      </c>
      <c r="AA465" s="56" t="n">
        <v>46150.55868930304</v>
      </c>
    </row>
    <row r="466" ht="102" customHeight="1">
      <c r="B466" s="46" t="inlineStr">
        <is>
          <t>U+1B000-U+1B0FF</t>
        </is>
      </c>
      <c r="C466" s="46" t="inlineStr">
        <is>
          <t>Kana Supplement</t>
        </is>
      </c>
      <c r="D466" s="54">
        <f>HEX2DEC(MID(B466,3,FIND("-",E466)-3))</f>
        <v/>
      </c>
      <c r="E466" s="46" t="inlineStr">
        <is>
          <t>U+1B000-U+1B0FF</t>
        </is>
      </c>
      <c r="F466" s="12" t="n">
        <v>4</v>
      </c>
      <c r="J466" s="19">
        <f>ROUNDDOWN(W466,0)/$V466</f>
        <v/>
      </c>
      <c r="K466" s="19">
        <f>ROUNDDOWN(X466,0)/$V466</f>
        <v/>
      </c>
      <c r="L466" s="19">
        <f>ROUNDDOWN(Y466,0)/$V466</f>
        <v/>
      </c>
      <c r="M466" s="19">
        <f>ROUNDDOWN(Z466,0)/$V466</f>
        <v/>
      </c>
      <c r="O466" s="36" t="inlineStr">
        <is>
          <t>𛀀 𛀁 𛀂 𛀃 𛀄 𛀅 𛀆 𛀇 𛀈 𛀉 𛀊 𛀋 𛀌 𛀍 𛀎 𛀏 𛀐 𛀑 𛀒 𛀓 𛀔 𛀕 𛀖 𛀗 𛀘 𛀙 𛀚 𛀛 𛀜 𛀝 𛀞 𛀟 𛀠 𛀡 𛀢 𛀣 𛀤 𛀥 𛀦 𛀧 𛀨 𛀩 𛀪 𛀫 𛀬 𛀭 𛀮 𛀯 𛀰 𛀱 𛀲 𛀳 𛀴 𛀵 𛀶 𛀷 𛀸 𛀹 𛀺 𛀻 𛀼 𛀽 𛀾 𛀿 𛁀 𛁁 𛁂 𛁃 𛁄 𛁅 𛁆 𛁇 𛁈 𛁉 𛁊 𛁋 𛁌 𛁍 𛁎 𛁏 𛁐 𛁑 𛁒 𛁓 𛁔 𛁕 𛁖 𛁗 𛁘 𛁙 𛁚 𛁛 𛁜 𛁝 𛁞 𛁟 𛁠 𛁡 𛁢 𛁣 𛁤 𛁥 𛁦 𛁧 𛁨 𛁩 𛁪 𛁫 𛁬 𛁭 𛁮 𛁯 𛁰 𛁱 𛁲 𛁳 𛁴 𛁵 𛁶 𛁷 𛁸 𛁹 𛁺 𛁻 𛁼 𛁽 𛁾 𛁿 𛂀 𛂁 𛂂 𛂃 𛂄 𛂅 𛂆 𛂇 𛂈 𛂉 𛂊 𛂋 𛂌 𛂍 𛂎 𛂏 𛂐 𛂑 𛂒 𛂓 𛂔 𛂕 𛂖 𛂗 𛂘 𛂙 𛂚 𛂛 𛂜 𛂝 𛂞 𛂟 𛂠 𛂡 𛂢 𛂣 𛂤 𛂥 𛂦 𛂧 𛂨 𛂩 𛂪 𛂫 𛂬 𛂭 𛂮 𛂯 𛂰 𛂱 𛂲 𛂳 𛂴 𛂵 𛂶 𛂷 𛂸 𛂹 𛂺 𛂻 𛂼 𛂽 𛂾 𛂿 𛃀 𛃁 𛃂 𛃃 𛃄 𛃅 𛃆 𛃇 𛃈 𛃉 𛃊 𛃋 𛃌 𛃍 𛃎 𛃏 𛃐 𛃑 𛃒 𛃓 𛃔 𛃕 𛃖 𛃗 𛃘 𛃙 𛃚 𛃛 𛃜 𛃝 𛃞 𛃟 𛃠 𛃡 𛃢 𛃣 𛃤 𛃥 𛃦 𛃧 𛃨 𛃩 𛃪 𛃫 𛃬 𛃭 𛃮 𛃯 𛃰 𛃱 𛃲 𛃳 𛃴 𛃵 𛃶 𛃷 𛃸 𛃹 𛃺 𛃻 𛃼 𛃽 𛃾 𛃿</t>
        </is>
      </c>
      <c r="P466" s="37" t="inlineStr">
        <is>
          <t>𛀀 𛀁 𛀂 𛀃 𛀄 𛀅 𛀆 𛀇 𛀈 𛀉 𛀊 𛀋 𛀌 𛀍 𛀎 𛀏 𛀐 𛀑 𛀒 𛀓 𛀔 𛀕 𛀖 𛀗 𛀘 𛀙 𛀚 𛀛 𛀜 𛀝 𛀞 𛀟 𛀠 𛀡 𛀢 𛀣 𛀤 𛀥 𛀦 𛀧 𛀨 𛀩 𛀪 𛀫 𛀬 𛀭 𛀮 𛀯 𛀰 𛀱 𛀲 𛀳 𛀴 𛀵 𛀶 𛀷 𛀸 𛀹 𛀺 𛀻 𛀼 𛀽 𛀾 𛀿 𛁀 𛁁 𛁂 𛁃 𛁄 𛁅 𛁆 𛁇 𛁈 𛁉 𛁊 𛁋 𛁌 𛁍 𛁎 𛁏 𛁐 𛁑 𛁒 𛁓 𛁔 𛁕 𛁖 𛁗 𛁘 𛁙 𛁚 𛁛 𛁜 𛁝 𛁞 𛁟 𛁠 𛁡 𛁢 𛁣 𛁤 𛁥 𛁦 𛁧 𛁨 𛁩 𛁪 𛁫 𛁬 𛁭 𛁮 𛁯 𛁰 𛁱 𛁲 𛁳 𛁴 𛁵 𛁶 𛁷 𛁸 𛁹 𛁺 𛁻 𛁼 𛁽 𛁾 𛁿 𛂀 𛂁 𛂂 𛂃 𛂄 𛂅 𛂆 𛂇 𛂈 𛂉 𛂊 𛂋 𛂌 𛂍 𛂎 𛂏 𛂐 𛂑 𛂒 𛂓 𛂔 𛂕 𛂖 𛂗 𛂘 𛂙 𛂚 𛂛 𛂜 𛂝 𛂞 𛂟 𛂠 𛂡 𛂢 𛂣 𛂤 𛂥 𛂦 𛂧 𛂨 𛂩 𛂪 𛂫 𛂬 𛂭 𛂮 𛂯 𛂰 𛂱 𛂲 𛂳 𛂴 𛂵 𛂶 𛂷 𛂸 𛂹 𛂺 𛂻 𛂼 𛂽 𛂾 𛂿 𛃀 𛃁 𛃂 𛃃 𛃄 𛃅 𛃆 𛃇 𛃈 𛃉 𛃊 𛃋 𛃌 𛃍 𛃎 𛃏 𛃐 𛃑 𛃒 𛃓 𛃔 𛃕 𛃖 𛃗 𛃘 𛃙 𛃚 𛃛 𛃜 𛃝 𛃞 𛃟 𛃠 𛃡 𛃢 𛃣 𛃤 𛃥 𛃦 𛃧 𛃨 𛃩 𛃪 𛃫 𛃬 𛃭 𛃮 𛃯 𛃰 𛃱 𛃲 𛃳 𛃴 𛃵 𛃶 𛃷 𛃸 𛃹 𛃺 𛃻 𛃼 𛃽 𛃾 𛃿</t>
        </is>
      </c>
      <c r="Q466" s="38" t="inlineStr">
        <is>
          <t>𛀀 𛀁 𛀂 𛀃 𛀄 𛀅 𛀆 𛀇 𛀈 𛀉 𛀊 𛀋 𛀌 𛀍 𛀎 𛀏 𛀐 𛀑 𛀒 𛀓 𛀗 𛀘 𛀙 𛀚 𛀛 𛀜 𛀝 𛀞 𛀟 𛀠 𛀡 𛀢 𛀣 𛀤 𛀥 𛀦 𛀧 𛀨 𛀩 𛀪 𛀫 𛀬 𛀭 𛀮 𛀯 𛀰 𛀱 𛀲 𛀳 𛀴 𛀵 𛀶 𛀷 𛀸 𛀹 𛀺 𛀻 𛀼 𛀽 𛀾 𛀿 𛁀 𛁁 𛁂 𛁃 𛁄 𛁅 𛁆 𛁇 𛁈 𛁉 𛁊 𛁋 𛁌 𛁍 𛁎 𛁏 𛁐 𛁑 𛁒 𛁓 𛁔 𛁕 𛁖 𛁗 𛁘 𛁙 𛁚 𛁛 𛁜 𛁝 𛁞 𛁟 𛁠 𛁡 𛁢 𛁣 𛁤 𛁥 𛁦 𛁧 𛁨 𛁩 𛁪 𛁫 𛁬 𛁭 𛁮 𛁯 𛁰 𛁱 𛁲 𛁳 𛁴 𛁵 𛁶 𛁷 𛁸 𛁹 𛁺 𛁻 𛁼 𛁽 𛁾 𛁿 𛂀 𛂁 𛂂 𛂃 𛂄 𛂅 𛂆 𛂇 𛂈 𛂉 𛂊 𛂋 𛂌 𛂍 𛂎 𛂏 𛂐 𛂑 𛂒 𛂓 𛂔 𛂕 𛂖 𛂗 𛂘 𛂙 𛂚 𛂛 𛂜 𛂝 𛂞 𛂟 𛂠 𛂡 𛂢 𛂣 𛂤 𛂥 𛂦 𛂧 𛂨 𛂩 𛂪 𛂫 𛂬 𛂭 𛂮 𛂯 𛂰 𛂱 𛂲 𛂳 𛂴 𛂵 𛂶 𛂷 𛂸 𛂹 𛂺 𛂻 𛂼 𛂽 𛂾 𛂿 𛃀 𛃁 𛃂 𛃃 𛃄 𛃅 𛃆 𛃇 𛃈 𛃉 𛃊 𛃋 𛃌 𛃍 𛃎 𛃏 𛃐 𛃑 𛃒 𛃓 𛃔 𛃕 𛃖 𛃗 𛃘 𛃙 𛃚 𛃛 𛃜 𛃝 𛃞 𛃟 𛃠 𛃡 𛃢 𛃣 𛃤 𛃥 𛃦 𛃧 𛃨 𛃩 𛃪 𛃫 𛃬 𛃭 𛃮 𛃯 𛃰 𛃱 𛃲 𛃳 𛃴 𛃵 𛃶 𛃷 𛃸 𛃹 𛃺 𛃻 𛃼 𛃽 𛃾 𛃿</t>
        </is>
      </c>
      <c r="R466" s="43" t="inlineStr"/>
      <c r="S466" s="40" t="n"/>
      <c r="V466" s="14">
        <f>(LEN(O466)+1)/2</f>
        <v/>
      </c>
      <c r="W466" s="14">
        <f>ROUNDDOWN((LEN(P466)+1)/2,0)</f>
        <v/>
      </c>
      <c r="X466" s="14">
        <f>ROUNDDOWN((LEN(Q466)+1)/2,0)</f>
        <v/>
      </c>
      <c r="Y466" s="14">
        <f>ROUNDDOWN((LEN(R466)+1)/2,0)</f>
        <v/>
      </c>
      <c r="Z466" s="14">
        <f>ROUNDDOWN((LEN(S466)+1)/2,0)</f>
        <v/>
      </c>
      <c r="AA466" s="56" t="n">
        <v>46150.55869035426</v>
      </c>
    </row>
    <row r="467" ht="25.5" customHeight="1">
      <c r="B467" s="46" t="inlineStr">
        <is>
          <t>U+1B100-U+1B122</t>
        </is>
      </c>
      <c r="C467" s="46" t="inlineStr">
        <is>
          <t>Kana Extended-A</t>
        </is>
      </c>
      <c r="D467" s="54">
        <f>HEX2DEC(MID(B467,3,FIND("-",E467)-3))</f>
        <v/>
      </c>
      <c r="E467" s="46" t="inlineStr">
        <is>
          <t>U+1B100-U+1B12F</t>
        </is>
      </c>
      <c r="F467" s="12" t="n">
        <v>4</v>
      </c>
      <c r="J467" s="19">
        <f>ROUNDDOWN(W467,0)/$V467</f>
        <v/>
      </c>
      <c r="K467" s="19">
        <f>ROUNDDOWN(X467,0)/$V467</f>
        <v/>
      </c>
      <c r="L467" s="19">
        <f>ROUNDDOWN(Y467,0)/$V467</f>
        <v/>
      </c>
      <c r="M467" s="19">
        <f>ROUNDDOWN(Z467,0)/$V467</f>
        <v/>
      </c>
      <c r="O467" s="36" t="inlineStr">
        <is>
          <t>𛄀 𛄁 𛄂 𛄃 𛄄 𛄅 𛄆 𛄇 𛄈 𛄉 𛄊 𛄋 𛄌 𛄍 𛄎 𛄏 𛄐 𛄑 𛄒 𛄓 𛄔 𛄕 𛄖 𛄗 𛄘 𛄙 𛄚 𛄛 𛄜 𛄝 𛄞 𛄟 𛄠 𛄡 𛄢</t>
        </is>
      </c>
      <c r="P467" s="37" t="inlineStr">
        <is>
          <t>𛄀 𛄁 𛄂 𛄃 𛄄 𛄅 𛄆 𛄇 𛄈 𛄉 𛄊 𛄋 𛄌 𛄍 𛄎 𛄏 𛄐 𛄑 𛄒 𛄓 𛄔 𛄕 𛄖 𛄗 𛄘 𛄙 𛄚 𛄛 𛄜 𛄝 𛄞 𛄟 𛄠 𛄡 𛄢</t>
        </is>
      </c>
      <c r="Q467" s="38" t="inlineStr">
        <is>
          <t>𛄀 𛄁 𛄂 𛄃 𛄄 𛄅 𛄆 𛄇 𛄈 𛄉 𛄊 𛄋 𛄌 𛄍 𛄎 𛄏 𛄐 𛄑 𛄒 𛄓 𛄔 𛄕 𛄖 𛄗 𛄘 𛄙 𛄚 𛄛 𛄜 𛄝 𛄞 𛄟 𛄠 𛄡 𛄢</t>
        </is>
      </c>
      <c r="R467" s="43" t="inlineStr"/>
      <c r="S467" s="40" t="n"/>
      <c r="V467" s="14">
        <f>(LEN(O467)+1)/2</f>
        <v/>
      </c>
      <c r="W467" s="14">
        <f>ROUNDDOWN((LEN(P467)+1)/2,0)</f>
        <v/>
      </c>
      <c r="X467" s="14">
        <f>ROUNDDOWN((LEN(Q467)+1)/2,0)</f>
        <v/>
      </c>
      <c r="Y467" s="14">
        <f>ROUNDDOWN((LEN(R467)+1)/2,0)</f>
        <v/>
      </c>
      <c r="Z467" s="14">
        <f>ROUNDDOWN((LEN(S467)+1)/2,0)</f>
        <v/>
      </c>
      <c r="AA467" s="56" t="n">
        <v>46150.55869063249</v>
      </c>
    </row>
    <row r="468" ht="25.5" customHeight="1">
      <c r="B468" s="46" t="inlineStr">
        <is>
          <t>U+1B132-U+1B167</t>
        </is>
      </c>
      <c r="C468" s="46" t="inlineStr">
        <is>
          <t>Small Kana Extension</t>
        </is>
      </c>
      <c r="D468" s="54">
        <f>HEX2DEC(MID(B468,3,FIND("-",E468)-3))</f>
        <v/>
      </c>
      <c r="E468" s="46" t="inlineStr">
        <is>
          <t>U+1B130-U+1B16F</t>
        </is>
      </c>
      <c r="F468" s="12" t="n">
        <v>4</v>
      </c>
      <c r="J468" s="19">
        <f>ROUNDDOWN(W468,0)/$V468</f>
        <v/>
      </c>
      <c r="K468" s="19">
        <f>ROUNDDOWN(X468,0)/$V468</f>
        <v/>
      </c>
      <c r="L468" s="19">
        <f>ROUNDDOWN(Y468,0)/$V468</f>
        <v/>
      </c>
      <c r="M468" s="19">
        <f>ROUNDDOWN(Z468,0)/$V468</f>
        <v/>
      </c>
      <c r="O468" s="36" t="inlineStr">
        <is>
          <t>𛄲 𛅐 𛅑 𛅒 𛅕 𛅤 𛅥 𛅦 𛅧</t>
        </is>
      </c>
      <c r="P468" s="37" t="inlineStr">
        <is>
          <t>𛄲 𛅐 𛅑 𛅒 𛅕 𛅤 𛅥 𛅦 𛅧</t>
        </is>
      </c>
      <c r="Q468" s="38" t="inlineStr">
        <is>
          <t>𛄲 𛅐 𛅑 𛅒 𛅕 𛅤 𛅥 𛅦 𛅧</t>
        </is>
      </c>
      <c r="R468" s="43" t="inlineStr"/>
      <c r="S468" s="40" t="n"/>
      <c r="V468" s="14">
        <f>(LEN(O468)+1)/2</f>
        <v/>
      </c>
      <c r="W468" s="14">
        <f>ROUNDDOWN((LEN(P468)+1)/2,0)</f>
        <v/>
      </c>
      <c r="X468" s="14">
        <f>ROUNDDOWN((LEN(Q468)+1)/2,0)</f>
        <v/>
      </c>
      <c r="Y468" s="14">
        <f>ROUNDDOWN((LEN(R468)+1)/2,0)</f>
        <v/>
      </c>
      <c r="Z468" s="14">
        <f>ROUNDDOWN((LEN(S468)+1)/2,0)</f>
        <v/>
      </c>
      <c r="AA468" s="56" t="n">
        <v>46150.55869081833</v>
      </c>
    </row>
    <row r="469" ht="76.5" customHeight="1">
      <c r="B469" s="46" t="inlineStr">
        <is>
          <t>U+1B170-U+1B235</t>
        </is>
      </c>
      <c r="C469" s="46" t="inlineStr">
        <is>
          <t>Nushu</t>
        </is>
      </c>
      <c r="D469" s="54">
        <f>HEX2DEC(MID(B469,3,FIND("-",E469)-3))</f>
        <v/>
      </c>
      <c r="E469" s="46" t="inlineStr">
        <is>
          <t>U+1B170-U+1B2FF</t>
        </is>
      </c>
      <c r="F469" s="12" t="n">
        <v>4</v>
      </c>
      <c r="J469" s="19">
        <f>ROUNDDOWN(W469,0)/$V469</f>
        <v/>
      </c>
      <c r="K469" s="19">
        <f>ROUNDDOWN(X469,0)/$V469</f>
        <v/>
      </c>
      <c r="L469" s="19">
        <f>ROUNDDOWN(Y469,0)/$V469</f>
        <v/>
      </c>
      <c r="M469" s="19">
        <f>ROUNDDOWN(Z469,0)/$V469</f>
        <v/>
      </c>
      <c r="O469" s="36" t="inlineStr">
        <is>
          <t>𛅰 𛅱 𛅲 𛅳 𛅴 𛅵 𛅶 𛅷 𛅸 𛅹 𛅺 𛅻 𛅼 𛅽 𛅾 𛅿 𛆀 𛆁 𛆂 𛆃 𛆄 𛆅 𛆆 𛆇 𛆈 𛆉 𛆊 𛆋 𛆌 𛆍 𛆎 𛆏 𛆐 𛆑 𛆒 𛆓 𛆔 𛆕 𛆖 𛆗 𛆘 𛆙 𛆚 𛆛 𛆜 𛆝 𛆞 𛆟 𛆠 𛆡 𛆢 𛆣 𛆤 𛆥 𛆦 𛆧 𛆨 𛆩 𛆪 𛆫 𛆬 𛆭 𛆮 𛆯 𛆰 𛆱 𛆲 𛆳 𛆴 𛆵 𛆶 𛆷 𛆸 𛆹 𛆺 𛆻 𛆼 𛆽 𛆾 𛆿 𛇀 𛇁 𛇂 𛇃 𛇄 𛇅 𛇆 𛇇 𛇈 𛇉 𛇊 𛇋 𛇌 𛇍 𛇎 𛇏 𛇐 𛇑 𛇒 𛇓 𛇔 𛇕 𛇖 𛇗 𛇘 𛇙 𛇚 𛇛 𛇜 𛇝 𛇞 𛇟 𛇠 𛇡 𛇢 𛇣 𛇤 𛇥 𛇦 𛇧 𛇨 𛇩 𛇪 𛇫 𛇬 𛇭 𛇮 𛇯 𛇰 𛇱 𛇲 𛇳 𛇴 𛇵 𛇶 𛇷 𛇸 𛇹 𛇺 𛇻 𛇼 𛇽 𛇾 𛇿 𛈀 𛈁 𛈂 𛈃 𛈄 𛈅 𛈆 𛈇 𛈈 𛈉 𛈊 𛈋 𛈌 𛈍 𛈎 𛈏 𛈐 𛈑 𛈒 𛈓 𛈔 𛈕 𛈖 𛈗 𛈘 𛈙 𛈚 𛈛 𛈜 𛈝 𛈞 𛈟 𛈠 𛈡 𛈢 𛈣 𛈤 𛈥 𛈦 𛈧 𛈨 𛈩 𛈪 𛈫 𛈬 𛈭 𛈮 𛈯 𛈰 𛈱 𛈲 𛈳 𛈴 𛈵</t>
        </is>
      </c>
      <c r="P469" s="37" t="inlineStr">
        <is>
          <t>𛅰 𛅱 𛅲 𛅳 𛅴 𛅵 𛅶 𛅷 𛅸 𛅹 𛅺 𛅻 𛅼 𛅽 𛅾 𛅿 𛆀 𛆁 𛆂 𛆃 𛆄 𛆅 𛆆 𛆇 𛆈 𛆉 𛆊 𛆋 𛆌 𛆍 𛆎 𛆏 𛆐 𛆑 𛆒 𛆓 𛆔 𛆕 𛆖 𛆗 𛆘 𛆙 𛆚 𛆛 𛆜 𛆝 𛆞 𛆟 𛆠 𛆡 𛆢 𛆣 𛆤 𛆥 𛆦 𛆧 𛆨 𛆩 𛆪 𛆫 𛆬 𛆭 𛆮 𛆯 𛆰 𛆱 𛆲 𛆳 𛆴 𛆵 𛆶 𛆷 𛆸 𛆹 𛆺 𛆻 𛆼 𛆽 𛆾 𛆿 𛇀 𛇁 𛇂 𛇃 𛇄 𛇅 𛇆 𛇇 𛇈 𛇉 𛇊 𛇋 𛇌 𛇍 𛇎 𛇏 𛇐 𛇑 𛇒 𛇓 𛇔 𛇕 𛇖 𛇗 𛇘 𛇙 𛇚 𛇛 𛇜 𛇝 𛇞 𛇟 𛇠 𛇡 𛇢 𛇣 𛇤 𛇥 𛇦 𛇧 𛇨 𛇩 𛇪 𛇫 𛇬 𛇭 𛇮 𛇯 𛇰 𛇱 𛇲 𛇳 𛇴 𛇵 𛇶 𛇷 𛇸 𛇹 𛇺 𛇻 𛇼 𛇽 𛇾 𛇿 𛈀 𛈁 𛈂 𛈃 𛈄 𛈅 𛈆 𛈇 𛈈 𛈉 𛈊 𛈋 𛈌 𛈍 𛈎 𛈏 𛈐 𛈑 𛈒 𛈓 𛈔 𛈕 𛈖 𛈗 𛈘 𛈙 𛈚 𛈛 𛈜 𛈝 𛈞 𛈟 𛈠 𛈡 𛈢 𛈣 𛈤 𛈥 𛈦 𛈧 𛈨 𛈩 𛈪 𛈫 𛈬 𛈭 𛈮 𛈯 𛈰 𛈱 𛈲 𛈳 𛈴 𛈵</t>
        </is>
      </c>
      <c r="Q469" s="38" t="inlineStr">
        <is>
          <t>𛅰 𛅱 𛅲 𛅳 𛅴 𛅵 𛅶 𛅷 𛅸 𛅹 𛅺 𛅻 𛅼 𛅽 𛅾 𛅿 𛆀 𛆁 𛆂 𛆃 𛆄 𛆅 𛆆 𛆇 𛆈 𛆉 𛆊 𛆋 𛆌 𛆍 𛆎 𛆏 𛆐 𛆑 𛆒 𛆓 𛆔 𛆕 𛆖 𛆗 𛆘 𛆙 𛆚 𛆛 𛆜 𛆝 𛆞 𛆟 𛆠 𛆡 𛆢 𛆣 𛆤 𛆥 𛆦 𛆧 𛆨 𛆩 𛆪 𛆫 𛆬 𛆭 𛆮 𛆯 𛆰 𛆱 𛆲 𛆳 𛆴 𛆵 𛆶 𛆷 𛆸 𛆹 𛆺 𛆻 𛆼 𛆽 𛆾 𛆿 𛇀 𛇁 𛇂 𛇃 𛇄 𛇅 𛇆 𛇇 𛇈 𛇉 𛇊 𛇋 𛇌 𛇍 𛇎 𛇏 𛇐 𛇑 𛇒 𛇓 𛇔 𛇕 𛇖 𛇗 𛇘 𛇙 𛇚 𛇛 𛇜 𛇝 𛇞 𛇟 𛇠 𛇡 𛇢 𛇣 𛇤 𛇥 𛇦 𛇧 𛇨 𛇩 𛇪 𛇫 𛇬 𛇭 𛇮 𛇯 𛇰 𛇱 𛇲 𛇳 𛇴 𛇵 𛇶 𛇷 𛇸 𛇹 𛇺 𛇻 𛇼 𛇽 𛇾 𛇿 𛈀 𛈁 𛈂 𛈃 𛈄 𛈅 𛈆 𛈇 𛈈 𛈉 𛈊 𛈋 𛈌 𛈍 𛈎 𛈏 𛈐 𛈑 𛈒 𛈓 𛈔 𛈕 𛈖 𛈗 𛈘 𛈙 𛈚 𛈛 𛈜 𛈝 𛈞 𛈟 𛈠 𛈡 𛈢 𛈣 𛈤 𛈥 𛈦 𛈧 𛈨 𛈩 𛈪 𛈫 𛈬 𛈭 𛈮 𛈯 𛈰 𛈱 𛈲 𛈳 𛈴 𛈵</t>
        </is>
      </c>
      <c r="R469" s="43" t="inlineStr"/>
      <c r="S469" s="40" t="n"/>
      <c r="V469" s="14">
        <f>(LEN(O469)+1)/2</f>
        <v/>
      </c>
      <c r="W469" s="14">
        <f>ROUNDDOWN((LEN(P469)+1)/2,0)</f>
        <v/>
      </c>
      <c r="X469" s="14">
        <f>ROUNDDOWN((LEN(Q469)+1)/2,0)</f>
        <v/>
      </c>
      <c r="Y469" s="14">
        <f>ROUNDDOWN((LEN(R469)+1)/2,0)</f>
        <v/>
      </c>
      <c r="Z469" s="14">
        <f>ROUNDDOWN((LEN(S469)+1)/2,0)</f>
        <v/>
      </c>
      <c r="AA469" s="56" t="n">
        <v>46150.5586916776</v>
      </c>
    </row>
    <row r="470" ht="76.5" customHeight="1">
      <c r="B470" s="46" t="inlineStr">
        <is>
          <t>U+1B236-U+1B2FB</t>
        </is>
      </c>
      <c r="C470" s="46" t="inlineStr">
        <is>
          <t>Nushu</t>
        </is>
      </c>
      <c r="D470" s="54">
        <f>HEX2DEC(MID(B470,3,FIND("-",E470)-3))</f>
        <v/>
      </c>
      <c r="E470" s="46" t="inlineStr">
        <is>
          <t>U+1B170-U+1B2FF</t>
        </is>
      </c>
      <c r="F470" s="12" t="n">
        <v>4</v>
      </c>
      <c r="J470" s="19">
        <f>ROUNDDOWN(W470,0)/$V470</f>
        <v/>
      </c>
      <c r="K470" s="19">
        <f>ROUNDDOWN(X470,0)/$V470</f>
        <v/>
      </c>
      <c r="L470" s="19">
        <f>ROUNDDOWN(Y470,0)/$V470</f>
        <v/>
      </c>
      <c r="M470" s="19">
        <f>ROUNDDOWN(Z470,0)/$V470</f>
        <v/>
      </c>
      <c r="O470" s="36" t="inlineStr">
        <is>
          <t>𛈶 𛈷 𛈸 𛈹 𛈺 𛈻 𛈼 𛈽 𛈾 𛈿 𛉀 𛉁 𛉂 𛉃 𛉄 𛉅 𛉆 𛉇 𛉈 𛉉 𛉊 𛉋 𛉌 𛉍 𛉎 𛉏 𛉐 𛉑 𛉒 𛉓 𛉔 𛉕 𛉖 𛉗 𛉘 𛉙 𛉚 𛉛 𛉜 𛉝 𛉞 𛉟 𛉠 𛉡 𛉢 𛉣 𛉤 𛉥 𛉦 𛉧 𛉨 𛉩 𛉪 𛉫 𛉬 𛉭 𛉮 𛉯 𛉰 𛉱 𛉲 𛉳 𛉴 𛉵 𛉶 𛉷 𛉸 𛉹 𛉺 𛉻 𛉼 𛉽 𛉾 𛉿 𛊀 𛊁 𛊂 𛊃 𛊄 𛊅 𛊆 𛊇 𛊈 𛊉 𛊊 𛊋 𛊌 𛊍 𛊎 𛊏 𛊐 𛊑 𛊒 𛊓 𛊔 𛊕 𛊖 𛊗 𛊘 𛊙 𛊚 𛊛 𛊜 𛊝 𛊞 𛊟 𛊠 𛊡 𛊢 𛊣 𛊤 𛊥 𛊦 𛊧 𛊨 𛊩 𛊪 𛊫 𛊬 𛊭 𛊮 𛊯 𛊰 𛊱 𛊲 𛊳 𛊴 𛊵 𛊶 𛊷 𛊸 𛊹 𛊺 𛊻 𛊼 𛊽 𛊾 𛊿 𛋀 𛋁 𛋂 𛋃 𛋄 𛋅 𛋆 𛋇 𛋈 𛋉 𛋊 𛋋 𛋌 𛋍 𛋎 𛋏 𛋐 𛋑 𛋒 𛋓 𛋔 𛋕 𛋖 𛋗 𛋘 𛋙 𛋚 𛋛 𛋜 𛋝 𛋞 𛋟 𛋠 𛋡 𛋢 𛋣 𛋤 𛋥 𛋦 𛋧 𛋨 𛋩 𛋪 𛋫 𛋬 𛋭 𛋮 𛋯 𛋰 𛋱 𛋲 𛋳 𛋴 𛋵 𛋶 𛋷 𛋸 𛋹 𛋺 𛋻</t>
        </is>
      </c>
      <c r="P470" s="37" t="inlineStr">
        <is>
          <t>𛈶 𛈷 𛈸 𛈹 𛈺 𛈻 𛈼 𛈽 𛈾 𛈿 𛉀 𛉁 𛉂 𛉃 𛉄 𛉅 𛉆 𛉇 𛉈 𛉉 𛉊 𛉋 𛉌 𛉍 𛉎 𛉏 𛉐 𛉑 𛉒 𛉓 𛉔 𛉕 𛉖 𛉗 𛉘 𛉙 𛉚 𛉛 𛉜 𛉝 𛉞 𛉟 𛉠 𛉡 𛉢 𛉣 𛉤 𛉥 𛉦 𛉧 𛉨 𛉩 𛉪 𛉫 𛉬 𛉭 𛉮 𛉯 𛉰 𛉱 𛉲 𛉳 𛉴 𛉵 𛉶 𛉷 𛉸 𛉹 𛉺 𛉻 𛉼 𛉽 𛉾 𛉿 𛊀 𛊁 𛊂 𛊃 𛊄 𛊅 𛊆 𛊇 𛊈 𛊉 𛊊 𛊋 𛊌 𛊍 𛊎 𛊏 𛊐 𛊑 𛊒 𛊓 𛊔 𛊕 𛊖 𛊗 𛊘 𛊙 𛊚 𛊛 𛊜 𛊝 𛊞 𛊟 𛊠 𛊡 𛊢 𛊣 𛊤 𛊥 𛊦 𛊧 𛊨 𛊩 𛊪 𛊫 𛊬 𛊭 𛊮 𛊯 𛊰 𛊱 𛊲 𛊳 𛊴 𛊵 𛊶 𛊷 𛊸 𛊹 𛊺 𛊻 𛊼 𛊽 𛊾 𛊿 𛋀 𛋁 𛋂 𛋃 𛋄 𛋅 𛋆 𛋇 𛋈 𛋉 𛋊 𛋋 𛋌 𛋍 𛋎 𛋏 𛋐 𛋑 𛋒 𛋓 𛋔 𛋕 𛋖 𛋗 𛋘 𛋙 𛋚 𛋛 𛋜 𛋝 𛋞 𛋟 𛋠 𛋡 𛋢 𛋣 𛋤 𛋥 𛋦 𛋧 𛋨 𛋩 𛋪 𛋫 𛋬 𛋭 𛋮 𛋯 𛋰 𛋱 𛋲 𛋳 𛋴 𛋵 𛋶 𛋷 𛋸 𛋹 𛋺 𛋻</t>
        </is>
      </c>
      <c r="Q470" s="38" t="inlineStr">
        <is>
          <t>𛈶 𛈷 𛈸 𛈹 𛈺 𛈻 𛈼 𛈽 𛈾 𛈿 𛉀 𛉁 𛉂 𛉃 𛉄 𛉅 𛉆 𛉇 𛉈 𛉉 𛉊 𛉋 𛉌 𛉍 𛉎 𛉏 𛉐 𛉑 𛉒 𛉓 𛉔 𛉕 𛉖 𛉗 𛉘 𛉙 𛉚 𛉛 𛉜 𛉝 𛉞 𛉟 𛉠 𛉡 𛉢 𛉣 𛉤 𛉥 𛉦 𛉧 𛉨 𛉩 𛉪 𛉫 𛉬 𛉭 𛉮 𛉯 𛉰 𛉱 𛉲 𛉳 𛉴 𛉵 𛉶 𛉷 𛉸 𛉹 𛉺 𛉻 𛉼 𛉽 𛉾 𛉿 𛊀 𛊁 𛊂 𛊃 𛊄 𛊅 𛊆 𛊇 𛊈 𛊉 𛊊 𛊋 𛊌 𛊍 𛊎 𛊏 𛊐 𛊑 𛊒 𛊓 𛊔 𛊕 𛊖 𛊗 𛊘 𛊙 𛊚 𛊛 𛊜 𛊝 𛊞 𛊟 𛊠 𛊡 𛊢 𛊣 𛊤 𛊥 𛊦 𛊧 𛊨 𛊩 𛊪 𛊫 𛊬 𛊭 𛊮 𛊯 𛊰 𛊱 𛊲 𛊳 𛊴 𛊵 𛊶 𛊷 𛊸 𛊹 𛊺 𛊻 𛊼 𛊽 𛊾 𛊿 𛋀 𛋁 𛋂 𛋃 𛋄 𛋅 𛋆 𛋇 𛋈 𛋉 𛋊 𛋋 𛋌 𛋍 𛋎 𛋏 𛋐 𛋑 𛋒 𛋓 𛋔 𛋕 𛋖 𛋗 𛋘 𛋙 𛋚 𛋛 𛋜 𛋝 𛋞 𛋟 𛋠 𛋡 𛋢 𛋣 𛋤 𛋥 𛋦 𛋧 𛋨 𛋩 𛋪 𛋫 𛋬 𛋭 𛋮 𛋯 𛋰 𛋱 𛋲 𛋳 𛋴 𛋵 𛋶 𛋷 𛋸 𛋹 𛋺 𛋻</t>
        </is>
      </c>
      <c r="R470" s="43" t="inlineStr"/>
      <c r="S470" s="40" t="n"/>
      <c r="V470" s="14">
        <f>(LEN(O470)+1)/2</f>
        <v/>
      </c>
      <c r="W470" s="14">
        <f>ROUNDDOWN((LEN(P470)+1)/2,0)</f>
        <v/>
      </c>
      <c r="X470" s="14">
        <f>ROUNDDOWN((LEN(Q470)+1)/2,0)</f>
        <v/>
      </c>
      <c r="Y470" s="14">
        <f>ROUNDDOWN((LEN(R470)+1)/2,0)</f>
        <v/>
      </c>
      <c r="Z470" s="14">
        <f>ROUNDDOWN((LEN(S470)+1)/2,0)</f>
        <v/>
      </c>
      <c r="AA470" s="56" t="n">
        <v>46150.5586925351</v>
      </c>
    </row>
    <row r="471" ht="63.75" customHeight="1">
      <c r="B471" s="46" t="inlineStr">
        <is>
          <t>U+1BC00-U+1BC9F</t>
        </is>
      </c>
      <c r="C471" s="46" t="inlineStr">
        <is>
          <t>Duployan</t>
        </is>
      </c>
      <c r="D471" s="54">
        <f>HEX2DEC(MID(B471,3,FIND("-",E471)-3))</f>
        <v/>
      </c>
      <c r="E471" s="46" t="inlineStr">
        <is>
          <t>U+1BC00-U+1BC9F</t>
        </is>
      </c>
      <c r="F471" s="12" t="n">
        <v>4</v>
      </c>
      <c r="J471" s="19">
        <f>ROUNDDOWN(W471,0)/$V471</f>
        <v/>
      </c>
      <c r="K471" s="19">
        <f>ROUNDDOWN(X471,0)/$V471</f>
        <v/>
      </c>
      <c r="L471" s="19">
        <f>ROUNDDOWN(Y471,0)/$V471</f>
        <v/>
      </c>
      <c r="M471" s="19">
        <f>ROUNDDOWN(Z471,0)/$V471</f>
        <v/>
      </c>
      <c r="O471" s="36" t="inlineStr">
        <is>
          <t>𛰀 𛰁 𛰂 𛰃 𛰄 𛰅 𛰆 𛰇 𛰈 𛰉 𛰊 𛰋 𛰌 𛰍 𛰎 𛰏 𛰐 𛰑 𛰒 𛰓 𛰔 𛰕 𛰖 𛰗 𛰘 𛰙 𛰚 𛰛 𛰜 𛰝 𛰞 𛰟 𛰠 𛰡 𛰢 𛰣 𛰤 𛰥 𛰦 𛰧 𛰨 𛰩 𛰪 𛰫 𛰬 𛰭 𛰮 𛰯 𛰰 𛰱 𛰲 𛰳 𛰴 𛰵 𛰶 𛰷 𛰸 𛰹 𛰺 𛰻 𛰼 𛰽 𛰾 𛰿 𛱀 𛱁 𛱂 𛱃 𛱄 𛱅 𛱆 𛱇 𛱈 𛱉 𛱊 𛱋 𛱌 𛱍 𛱎 𛱏 𛱐 𛱑 𛱒 𛱓 𛱔 𛱕 𛱖 𛱗 𛱘 𛱙 𛱚 𛱛 𛱜 𛱝 𛱞 𛱟 𛱠 𛱡 𛱢 𛱣 𛱤 𛱥 𛱦 𛱧 𛱨 𛱩 𛱪 𛱰 𛱱 𛱲 𛱳 𛱴 𛱵 𛱶 𛱷 𛱸 𛱹 𛱺 𛱻 𛱼 𛲀 𛲁 𛲂 𛲃 𛲄 𛲅 𛲆 𛲇 𛲈 𛲐 𛲑 𛲒 𛲓 𛲔 𛲕 𛲖 𛲗 𛲘 𛲙 𛲜 𛲝 𛲞 𛲟</t>
        </is>
      </c>
      <c r="P471" s="37" t="inlineStr">
        <is>
          <t>𛰀 𛰁 𛰂 𛰃 𛰄 𛰅 𛰆 𛰇 𛰈 𛰉 𛰊 𛰋 𛰌 𛰍 𛰎 𛰏 𛰐 𛰑 𛰒 𛰓 𛰔 𛰕 𛰖 𛰗 𛰘 𛰙 𛰚 𛰛 𛰜 𛰝 𛰞 𛰟 𛰠 𛰡 𛰢 𛰣 𛰤 𛰥 𛰦 𛰧 𛰨 𛰩 𛰪 𛰫 𛰬 𛰭 𛰮 𛰯 𛰰 𛰱 𛰲 𛰳 𛰴 𛰵 𛰶 𛰷 𛰸 𛰹 𛰺 𛰻 𛰼 𛰽 𛰾 𛰿 𛱀 𛱁 𛱂 𛱃 𛱄 𛱅 𛱆 𛱇 𛱈 𛱉 𛱊 𛱋 𛱌 𛱍 𛱎 𛱏 𛱐 𛱑 𛱒 𛱓 𛱔 𛱕 𛱖 𛱗 𛱘 𛱙 𛱚 𛱛 𛱜 𛱝 𛱞 𛱟 𛱠 𛱡 𛱢 𛱣 𛱤 𛱥 𛱦 𛱧 𛱨 𛱩 𛱪 𛱰 𛱱 𛱲 𛱳 𛱴 𛱵 𛱶 𛱷 𛱸 𛱹 𛱺 𛱻 𛱼 𛲀 𛲁 𛲂 𛲃 𛲄 𛲅 𛲆 𛲇 𛲈 𛲐 𛲑 𛲒 𛲓 𛲔 𛲕 𛲖 𛲗 𛲘 𛲙 𛲜 𛲟</t>
        </is>
      </c>
      <c r="Q471" s="38" t="inlineStr">
        <is>
          <t>𛰀 𛰁 𛰂 𛰃 𛰄 𛰅 𛰆 𛰇 𛰈 𛰉 𛰊 𛰋 𛰌 𛰍 𛰎 𛰏 𛰐 𛰑 𛰒 𛰓 𛰔 𛰕 𛰖 𛰗 𛰘 𛰙 𛰚 𛰛 𛰜 𛰝 𛰞 𛰟 𛰠 𛰧 𛰨 𛰩 𛰪 𛰫 𛰬 𛰭 𛰮 𛰰 𛰱 𛰲 𛰳 𛰴 𛰵 𛰶 𛰷 𛰸 𛰹 𛰺 𛰻 𛰼 𛰽 𛰾 𛰿 𛱀 𛱁 𛱂 𛱃 𛱅 𛱆 𛱇 𛱈 𛱉 𛱊 𛱋 𛱌 𛱍 𛱎 𛱏 𛱐 𛱑 𛱒 𛱓 𛱔 𛱕 𛱖 𛱗 𛱘 𛱙 𛱚 𛱜 𛱝 𛱞 𛱟 𛱠 𛱡 𛱣 𛱤 𛱥 𛱦 𛱧 𛱨 𛱩 𛱪 𛱰 𛱱 𛱲 𛱳 𛱴 𛱵 𛱶 𛱷 𛱸 𛱹 𛱺 𛱻 𛱼 𛲀 𛲁 𛲂 𛲃 𛲄 𛲅 𛲆 𛲇 𛲈 𛲐 𛲑 𛲒 𛲓 𛲔 𛲕 𛲖 𛲗 𛲘 𛲙 𛲟</t>
        </is>
      </c>
      <c r="R471" s="43" t="inlineStr"/>
      <c r="S471" s="40" t="n"/>
      <c r="V471" s="14">
        <f>(LEN(O471)+1)/2</f>
        <v/>
      </c>
      <c r="W471" s="14">
        <f>ROUNDDOWN((LEN(P471)+1)/2,0)</f>
        <v/>
      </c>
      <c r="X471" s="14">
        <f>ROUNDDOWN((LEN(Q471)+1)/2,0)</f>
        <v/>
      </c>
      <c r="Y471" s="14">
        <f>ROUNDDOWN((LEN(R471)+1)/2,0)</f>
        <v/>
      </c>
      <c r="Z471" s="14">
        <f>ROUNDDOWN((LEN(S471)+1)/2,0)</f>
        <v/>
      </c>
      <c r="AA471" s="56" t="n">
        <v>46150.55869315458</v>
      </c>
    </row>
    <row r="472" ht="76.5" customHeight="1">
      <c r="B472" s="46" t="inlineStr">
        <is>
          <t>U+1CF00-U+1CFC3</t>
        </is>
      </c>
      <c r="C472" s="46" t="inlineStr">
        <is>
          <t>Znamenny Musical Notation</t>
        </is>
      </c>
      <c r="D472" s="54">
        <f>HEX2DEC(MID(B472,3,FIND("-",E472)-3))</f>
        <v/>
      </c>
      <c r="E472" s="46" t="inlineStr">
        <is>
          <t>U+1CF00-U+1CFCF</t>
        </is>
      </c>
      <c r="F472" s="12" t="n">
        <v>4</v>
      </c>
      <c r="J472" s="19">
        <f>ROUNDDOWN(W472,0)/$V472</f>
        <v/>
      </c>
      <c r="K472" s="19">
        <f>ROUNDDOWN(X472,0)/$V472</f>
        <v/>
      </c>
      <c r="L472" s="19">
        <f>ROUNDDOWN(Y472,0)/$V472</f>
        <v/>
      </c>
      <c r="M472" s="19">
        <f>ROUNDDOWN(Z472,0)/$V472</f>
        <v/>
      </c>
      <c r="O472" s="36" t="inlineStr">
        <is>
          <t>𜼀 𜼁 𜼂 𜼃 𜼄 𜼅 𜼆 𜼇 𜼈 𜼉 𜼊 𜼋 𜼌 𜼍 𜼎 𜼏 𜼐 𜼑 𜼒 𜼓 𜼔 𜼕 𜼖 𜼗 𜼘 𜼙 𜼚 𜼛 𜼜 𜼝 𜼞 𜼟 𜼠 𜼡 𜼢 𜼣 𜼤 𜼥 𜼦 𜼧 𜼨 𜼩 𜼪 𜼫 𜼬 𜼭 𜼰 𜼱 𜼲 𜼳 𜼴 𜼵 𜼶 𜼷 𜼸 𜼹 𜼺 𜼻 𜼼 𜼽 𜼾 𜼿 𜽀 𜽁 𜽂 𜽃 𜽄 𜽅 𜽆 𜽐 𜽑 𜽒 𜽓 𜽔 𜽕 𜽖 𜽗 𜽘 𜽙 𜽚 𜽛 𜽜 𜽝 𜽞 𜽟 𜽠 𜽡 𜽢 𜽣 𜽤 𜽥 𜽦 𜽧 𜽨 𜽩 𜽪 𜽫 𜽬 𜽭 𜽮 𜽯 𜽰 𜽱 𜽲 𜽳 𜽴 𜽵 𜽶 𜽷 𜽸 𜽹 𜽺 𜽻 𜽼 𜽽 𜽾 𜽿 𜾀 𜾁 𜾂 𜾃 𜾄 𜾅 𜾆 𜾇 𜾈 𜾉 𜾊 𜾋 𜾌 𜾍 𜾎 𜾏 𜾐 𜾑 𜾒 𜾓 𜾔 𜾕 𜾖 𜾗 𜾘 𜾙 𜾚 𜾛 𜾜 𜾝 𜾞 𜾟 𜾠 𜾡 𜾢 𜾣 𜾤 𜾥 𜾦 𜾧 𜾨 𜾩 𜾪 𜾫 𜾬 𜾭 𜾮 𜾯 𜾰 𜾱 𜾲 𜾳 𜾴 𜾵 𜾶 𜾷 𜾸 𜾹 𜾺 𜾻 𜾼 𜾽 𜾾 𜾿 𜿀 𜿁 𜿂 𜿃</t>
        </is>
      </c>
      <c r="P472" s="37" t="inlineStr">
        <is>
          <t>𜽐 𜽑 𜽒 𜽓 𜽔 𜽕 𜽖 𜽗 𜽘 𜽙 𜽚 𜽛 𜽜 𜽝 𜽞 𜽟 𜽠 𜽡 𜽢 𜽣 𜽤 𜽥 𜽦 𜽧 𜽨 𜽩 𜽪 𜽫 𜽬 𜽭 𜽮 𜽯 𜽰 𜽱 𜽲 𜽳 𜽴 𜽵 𜽶 𜽷 𜽸 𜽹 𜽺 𜽻 𜽼 𜽽 𜽾 𜽿 𜾀 𜾁 𜾂 𜾃 𜾄 𜾅 𜾆 𜾇 𜾈 𜾉 𜾊 𜾋 𜾌 𜾍 𜾎 𜾏 𜾐 𜾑 𜾒 𜾓 𜾔 𜾕 𜾖 𜾗 𜾘 𜾙 𜾚 𜾛 𜾜 𜾝 𜾞 𜾟 𜾠 𜾡 𜾢 𜾣 𜾤 𜾥 𜾦 𜾧 𜾨 𜾩 𜾪 𜾫 𜾬 𜾭 𜾮 𜾯 𜾰 𜾱 𜾲 𜾳 𜾴 𜾵 𜾶 𜾷 𜾸 𜾹 𜾺 𜾻 𜾼 𜾽 𜾾 𜾿 𜿀 𜿁 𜿂 𜿃</t>
        </is>
      </c>
      <c r="Q472" s="38" t="inlineStr">
        <is>
          <t>𜽐 𜽑 𜽒 𜽓 𜽔 𜽕 𜽖 𜽗 𜽘 𜽙 𜽛 𜽜 𜽝 𜽞 𜽟 𜽠 𜽡 𜽢 𜽣 𜽤 𜽥 𜽦 𜽧 𜽨 𜽩 𜽪 𜽫 𜽬 𜽭 𜽮 𜽯 𜽰 𜽱 𜽲 𜽳 𜽴 𜽵 𜽶 𜽷 𜽸 𜽹 𜽺 𜽻 𜽼 𜽽 𜽾 𜽿 𜾀 𜾁 𜾂 𜾃 𜾄 𜾅 𜾆 𜾇 𜾈 𜾉 𜾊 𜾋 𜾌 𜾍 𜾎 𜾏 𜾐 𜾑 𜾒 𜾓 𜾔 𜾕 𜾖 𜾗 𜾘 𜾙 𜾚 𜾛 𜾜 𜾝 𜾞 𜾟 𜾢 𜾣 𜾥 𜾦 𜾧 𜾨 𜾩 𜾪 𜾫 𜾬 𜾭 𜾮 𜾯 𜾰 𜾱 𜾲 𜾳 𜾴 𜾵 𜾶 𜾹 𜾺 𜾼 𜾽 𜾾 𜾿 𜿀 𜿁 𜿂 𜿃</t>
        </is>
      </c>
      <c r="R472" s="43" t="inlineStr"/>
      <c r="S472" s="40" t="n"/>
      <c r="V472" s="14">
        <f>(LEN(O472)+1)/2</f>
        <v/>
      </c>
      <c r="W472" s="14">
        <f>ROUNDDOWN((LEN(P472)+1)/2,0)</f>
        <v/>
      </c>
      <c r="X472" s="14">
        <f>ROUNDDOWN((LEN(Q472)+1)/2,0)</f>
        <v/>
      </c>
      <c r="Y472" s="14">
        <f>ROUNDDOWN((LEN(R472)+1)/2,0)</f>
        <v/>
      </c>
      <c r="Z472" s="14">
        <f>ROUNDDOWN((LEN(S472)+1)/2,0)</f>
        <v/>
      </c>
      <c r="AA472" s="56" t="n">
        <v>46150.55869369864</v>
      </c>
    </row>
    <row r="473" ht="102" customHeight="1">
      <c r="B473" s="46" t="inlineStr">
        <is>
          <t>U+1D000-U+1D0F5</t>
        </is>
      </c>
      <c r="C473" s="46" t="inlineStr">
        <is>
          <t>Byzantine Musical Symbols</t>
        </is>
      </c>
      <c r="D473" s="54">
        <f>HEX2DEC(MID(B473,3,FIND("-",E473)-3))</f>
        <v/>
      </c>
      <c r="E473" s="46" t="inlineStr">
        <is>
          <t>U+1D000-U+1D0FF</t>
        </is>
      </c>
      <c r="F473" s="12" t="n">
        <v>4</v>
      </c>
      <c r="J473" s="19">
        <f>ROUNDDOWN(W473,0)/$V473</f>
        <v/>
      </c>
      <c r="K473" s="19">
        <f>ROUNDDOWN(X473,0)/$V473</f>
        <v/>
      </c>
      <c r="L473" s="19">
        <f>ROUNDDOWN(Y473,0)/$V473</f>
        <v/>
      </c>
      <c r="M473" s="19">
        <f>ROUNDDOWN(Z473,0)/$V473</f>
        <v/>
      </c>
      <c r="O473" s="36" t="inlineStr">
        <is>
          <t>𝀀 𝀁 𝀂 𝀃 𝀄 𝀅 𝀆 𝀇 𝀈 𝀉 𝀊 𝀋 𝀌 𝀍 𝀎 𝀏 𝀐 𝀑 𝀒 𝀓 𝀔 𝀕 𝀖 𝀗 𝀘 𝀙 𝀚 𝀛 𝀜 𝀝 𝀞 𝀟 𝀠 𝀡 𝀢 𝀣 𝀤 𝀥 𝀦 𝀧 𝀨 𝀩 𝀪 𝀫 𝀬 𝀭 𝀮 𝀯 𝀰 𝀱 𝀲 𝀳 𝀴 𝀵 𝀶 𝀷 𝀸 𝀹 𝀺 𝀻 𝀼 𝀽 𝀾 𝀿 𝁀 𝁁 𝁂 𝁃 𝁄 𝁅 𝁆 𝁇 𝁈 𝁉 𝁊 𝁋 𝁌 𝁍 𝁎 𝁏 𝁐 𝁑 𝁒 𝁓 𝁔 𝁕 𝁖 𝁗 𝁘 𝁙 𝁚 𝁛 𝁜 𝁝 𝁞 𝁟 𝁠 𝁡 𝁢 𝁣 𝁤 𝁥 𝁦 𝁧 𝁨 𝁩 𝁪 𝁫 𝁬 𝁭 𝁮 𝁯 𝁰 𝁱 𝁲 𝁳 𝁴 𝁵 𝁶 𝁷 𝁸 𝁹 𝁺 𝁻 𝁼 𝁽 𝁾 𝁿 𝂀 𝂁 𝂂 𝂃 𝂄 𝂅 𝂆 𝂇 𝂈 𝂉 𝂊 𝂋 𝂌 𝂍 𝂎 𝂏 𝂐 𝂑 𝂒 𝂓 𝂔 𝂕 𝂖 𝂗 𝂘 𝂙 𝂚 𝂛 𝂜 𝂝 𝂞 𝂟 𝂠 𝂡 𝂢 𝂣 𝂤 𝂥 𝂦 𝂧 𝂨 𝂩 𝂪 𝂫 𝂬 𝂭 𝂮 𝂯 𝂰 𝂱 𝂲 𝂳 𝂴 𝂵 𝂶 𝂷 𝂸 𝂹 𝂺 𝂻 𝂼 𝂽 𝂾 𝂿 𝃀 𝃁 𝃂 𝃃 𝃄 𝃅 𝃆 𝃇 𝃈 𝃉 𝃊 𝃋 𝃌 𝃍 𝃎 𝃏 𝃐 𝃑 𝃒 𝃓 𝃔 𝃕 𝃖 𝃗 𝃘 𝃙 𝃚 𝃛 𝃜 𝃝 𝃞 𝃟 𝃠 𝃡 𝃢 𝃣 𝃤 𝃥 𝃦 𝃧 𝃨 𝃩 𝃪 𝃫 𝃬 𝃭 𝃮 𝃯 𝃰 𝃱 𝃲 𝃳 𝃴 𝃵</t>
        </is>
      </c>
      <c r="P473" s="37" t="inlineStr">
        <is>
          <t>𝀀 𝀁 𝀂 𝀃 𝀄 𝀅 𝀆 𝀇 𝀈 𝀉 𝀊 𝀋 𝀌 𝀍 𝀎 𝀏 𝀐 𝀑 𝀒 𝀓 𝀔 𝀕 𝀖 𝀗 𝀘 𝀙 𝀚 𝀛 𝀜 𝀝 𝀞 𝀟 𝀠 𝀡 𝀢 𝀣 𝀤 𝀥 𝀦 𝀧 𝀨 𝀩 𝀪 𝀫 𝀬 𝀭 𝀮 𝀯 𝀰 𝀱 𝀲 𝀳 𝀴 𝀵 𝀶 𝀷 𝀸 𝀹 𝀺 𝀻 𝀼 𝀽 𝀾 𝀿 𝁀 𝁁 𝁂 𝁃 𝁄 𝁅 𝁆 𝁇 𝁈 𝁉 𝁊 𝁋 𝁌 𝁍 𝁎 𝁏 𝁐 𝁑 𝁒 𝁓 𝁔 𝁕 𝁖 𝁗 𝁘 𝁙 𝁚 𝁛 𝁜 𝁝 𝁞 𝁟 𝁠 𝁡 𝁢 𝁣 𝁤 𝁥 𝁦 𝁧 𝁨 𝁩 𝁪 𝁫 𝁬 𝁭 𝁮 𝁯 𝁰 𝁱 𝁲 𝁳 𝁴 𝁵 𝁶 𝁷 𝁸 𝁹 𝁺 𝁻 𝁼 𝁽 𝁾 𝁿 𝂀 𝂁 𝂂 𝂃 𝂄 𝂅 𝂆 𝂇 𝂈 𝂉 𝂊 𝂋 𝂌 𝂍 𝂎 𝂏 𝂐 𝂑 𝂒 𝂓 𝂔 𝂕 𝂖 𝂗 𝂘 𝂙 𝂚 𝂛 𝂜 𝂝 𝂞 𝂟 𝂠 𝂡 𝂢 𝂣 𝂤 𝂥 𝂦 𝂧 𝂨 𝂩 𝂪 𝂫 𝂬 𝂭 𝂮 𝂯 𝂰 𝂱 𝂲 𝂳 𝂴 𝂵 𝂶 𝂷 𝂸 𝂹 𝂺 𝂻 𝂼 𝂽 𝂾 𝂿 𝃀 𝃁 𝃂 𝃃 𝃄 𝃅 𝃆 𝃇 𝃈 𝃉 𝃊 𝃋 𝃌 𝃍 𝃎 𝃏 𝃐 𝃑 𝃒 𝃓 𝃔 𝃕 𝃖 𝃗 𝃘 𝃙 𝃚 𝃛 𝃜 𝃝 𝃞 𝃟 𝃠 𝃡 𝃢 𝃣 𝃤 𝃥 𝃦 𝃧 𝃨 𝃩 𝃪 𝃫 𝃬 𝃭 𝃮 𝃯 𝃰 𝃱 𝃲 𝃳 𝃴 𝃵</t>
        </is>
      </c>
      <c r="Q473" s="38" t="inlineStr">
        <is>
          <t>𝀀 𝀁 𝀂 𝀃 𝀄 𝀅 𝀆 𝀇 𝀈 𝀉 𝀊 𝀋 𝀌 𝀍 𝀎 𝀏 𝀐 𝀑 𝀒 𝀓 𝀔 𝀕 𝀖 𝀗 𝀘 𝀙 𝀚 𝀛 𝀜 𝀝 𝀞 𝀟 𝀠 𝀡 𝀢 𝀣 𝀤 𝀥 𝀦 𝀧 𝀨 𝀩 𝀪 𝀫 𝀬 𝀭 𝀮 𝀯 𝀰 𝀱 𝀲 𝀳 𝀴 𝀵 𝀶 𝀷 𝀸 𝀹 𝀺 𝀻 𝀼 𝀽 𝀾 𝀿 𝁀 𝁁 𝁂 𝁃 𝁄 𝁅 𝁆 𝁇 𝁈 𝁉 𝁊 𝁋 𝁌 𝁍 𝁎 𝁏 𝁐 𝁑 𝁒 𝁓 𝁔 𝁕 𝁖 𝁗 𝁘 𝁙 𝁚 𝁛 𝁜 𝁝 𝁞 𝁟 𝁠 𝁡 𝁢 𝁣 𝁤 𝁥 𝁦 𝁧 𝁨 𝁩 𝁪 𝁫 𝁬 𝁭 𝁮 𝁯 𝁰 𝁱 𝁲 𝁳 𝁴 𝁵 𝁶 𝁷 𝁸 𝁹 𝁺 𝁻 𝁼 𝁽 𝁾 𝁿 𝂀 𝂁 𝂂 𝂃 𝂄 𝂅 𝂆 𝂇 𝂈 𝂉 𝂊 𝂋 𝂌 𝂍 𝂎 𝂏 𝂐 𝂑 𝂒 𝂓 𝂔 𝂕 𝂖 𝂗 𝂘 𝂙 𝂚 𝂛 𝂜 𝂝 𝂞 𝂟 𝂠 𝂡 𝂢 𝂣 𝂤 𝂥 𝂦 𝂧 𝂨 𝂩 𝂪 𝂫 𝂬 𝂭 𝂮 𝂯 𝂰 𝂱 𝂲 𝂳 𝂴 𝂵 𝂶 𝂷 𝂸 𝂹 𝂺 𝂻 𝂼 𝂽 𝂾 𝂿 𝃀 𝃁 𝃂 𝃃 𝃄 𝃅 𝃆 𝃇 𝃈 𝃉 𝃊 𝃋 𝃌 𝃍 𝃎 𝃏 𝃐 𝃑 𝃒 𝃓 𝃔 𝃕 𝃖 𝃗 𝃘 𝃙 𝃚 𝃛 𝃜 𝃝 𝃞 𝃟 𝃠 𝃡 𝃢 𝃣 𝃤 𝃥 𝃦 𝃨 𝃩 𝃪 𝃫 𝃬 𝃭 𝃮 𝃯 𝃰 𝃱 𝃲 𝃳 𝃴 𝃵</t>
        </is>
      </c>
      <c r="R473" s="43" t="inlineStr"/>
      <c r="S473" s="40" t="n"/>
      <c r="V473" s="14">
        <f>(LEN(O473)+1)/2</f>
        <v/>
      </c>
      <c r="W473" s="14">
        <f>ROUNDDOWN((LEN(P473)+1)/2,0)</f>
        <v/>
      </c>
      <c r="X473" s="14">
        <f>ROUNDDOWN((LEN(Q473)+1)/2,0)</f>
        <v/>
      </c>
      <c r="Y473" s="14">
        <f>ROUNDDOWN((LEN(R473)+1)/2,0)</f>
        <v/>
      </c>
      <c r="Z473" s="14">
        <f>ROUNDDOWN((LEN(S473)+1)/2,0)</f>
        <v/>
      </c>
      <c r="AA473" s="56" t="n">
        <v>46150.55869472587</v>
      </c>
    </row>
    <row r="474" ht="89.25" customHeight="1">
      <c r="B474" s="46" t="inlineStr">
        <is>
          <t>U+1D100-U+1D1EA</t>
        </is>
      </c>
      <c r="C474" s="46" t="inlineStr">
        <is>
          <t>Musical Symbols</t>
        </is>
      </c>
      <c r="D474" s="54">
        <f>HEX2DEC(MID(B474,3,FIND("-",E474)-3))</f>
        <v/>
      </c>
      <c r="E474" s="46" t="inlineStr">
        <is>
          <t>U+1D100-U+1D1FF</t>
        </is>
      </c>
      <c r="F474" s="12" t="n">
        <v>4</v>
      </c>
      <c r="J474" s="19">
        <f>ROUNDDOWN(W474,0)/$V474</f>
        <v/>
      </c>
      <c r="K474" s="19">
        <f>ROUNDDOWN(X474,0)/$V474</f>
        <v/>
      </c>
      <c r="L474" s="19">
        <f>ROUNDDOWN(Y474,0)/$V474</f>
        <v/>
      </c>
      <c r="M474" s="19">
        <f>ROUNDDOWN(Z474,0)/$V474</f>
        <v/>
      </c>
      <c r="O474" s="36" t="inlineStr">
        <is>
          <t>𝄀 𝄁 𝄂 𝄃 𝄄 𝄅 𝄆 𝄇 𝄈 𝄉 𝄊 𝄋 𝄌 𝄍 𝄎 𝄏 𝄐 𝄑 𝄒 𝄓 𝄔 𝄕 𝄖 𝄗 𝄘 𝄙 𝄚 𝄛 𝄜 𝄝 𝄞 𝄟 𝄠 𝄡 𝄢 𝄣 𝄤 𝄥 𝄦 𝄩 𝄪 𝄫 𝄬 𝄭 𝄮 𝄯 𝄰 𝄱 𝄲 𝄳 𝄴 𝄵 𝄶 𝄷 𝄸 𝄹 𝄺 𝄻 𝄼 𝄽 𝄾 𝄿 𝅀 𝅁 𝅂 𝅃 𝅄 𝅅 𝅆 𝅇 𝅈 𝅉 𝅊 𝅋 𝅌 𝅍 𝅎 𝅏 𝅐 𝅑 𝅒 𝅓 𝅔 𝅕 𝅖 𝅗 𝅘 𝅙 𝅚 𝅛 𝅜 𝅝 𝅗𝅥 𝅘𝅥 𝅘𝅥𝅮 𝅘𝅥𝅯 𝅘𝅥𝅰 𝅘𝅥𝅱 𝅘𝅥𝅲 𝅥 𝅦 𝅧 𝅨 𝅩 𝅪 𝅫 𝅬 𝅭 𝅮 𝅯 𝅰 𝅱 𝅲 𝅻 𝅼 𝅽 𝅾 𝅿 𝆀 𝆁 𝆂 𝆃 𝆄 𝆅 𝆆 𝆇 𝆈 𝆉 𝆊 𝆋 𝆌 𝆍 𝆎 𝆏 𝆐 𝆑 𝆒 𝆓 𝆔 𝆕 𝆖 𝆗 𝆘 𝆙 𝆚 𝆛 𝆜 𝆝 𝆞 𝆟 𝆠 𝆡 𝆢 𝆣 𝆤 𝆥 𝆦 𝆧 𝆨 𝆩 𝆪 𝆫 𝆬 𝆭 𝆮 𝆯 𝆰 𝆱 𝆲 𝆳 𝆴 𝆵 𝆶 𝆷 𝆸 𝆹 𝆺 𝆹𝅥 𝆺𝅥 𝆹𝅥𝅮 𝆺𝅥𝅮 𝆹𝅥𝅯 𝆺𝅥𝅯 𝇁 𝇂 𝇃 𝇄 𝇅 𝇆 𝇇 𝇈 𝇉 𝇊 𝇋 𝇌 𝇍 𝇎 𝇏 𝇐 𝇑 𝇒 𝇓 𝇔 𝇕 𝇖 𝇗 𝇘 𝇙 𝇚 𝇛 𝇜 𝇝 𝇞 𝇟 𝇠 𝇡 𝇢 𝇣 𝇤 𝇥 𝇦 𝇧 𝇨 𝇩 𝇪</t>
        </is>
      </c>
      <c r="P474" s="37" t="inlineStr">
        <is>
          <t>𝄀 𝄁 𝄂 𝄃 𝄄 𝄅 𝄆 𝄇 𝄈 𝄉 𝄊 𝄋 𝄌 𝄍 𝄎 𝄏 𝄐 𝄑 𝄒 𝄓 𝄔 𝄕 𝄖 𝄗 𝄘 𝄙 𝄚 𝄛 𝄜 𝄝 𝄞 𝄟 𝄠 𝄡 𝄢 𝄣 𝄤 𝄥 𝄦 𝄩 𝄪 𝄫 𝄬 𝄭 𝄮 𝄯 𝄰 𝄱 𝄲 𝄳 𝄴 𝄵 𝄶 𝄷 𝄸 𝄹 𝄺 𝄻 𝄼 𝄽 𝄾 𝄿 𝅀 𝅁 𝅂 𝅃 𝅄 𝅅 𝅆 𝅇 𝅈 𝅉 𝅊 𝅋 𝅌 𝅍 𝅎 𝅏 𝅐 𝅑 𝅒 𝅓 𝅔 𝅕 𝅖 𝅗 𝅘 𝅙 𝅚 𝅛 𝅜 𝅝 𝅪 𝅫 𝅬 𝆃 𝆄 𝆌 𝆍 𝆎 𝆏 𝆐 𝆑 𝆒 𝆓 𝆔 𝆕 𝆖 𝆗 𝆘 𝆙 𝆚 𝆛 𝆜 𝆝 𝆞 𝆟 𝆠 𝆡 𝆢 𝆣 𝆤 𝆥 𝆦 𝆧 𝆨 𝆩 𝆮 𝆯 𝆰 𝆱 𝆲 𝆳 𝆴 𝆵 𝆶 𝆷 𝆸 𝆹 𝆺 𝇁 𝇂 𝇃 𝇄 𝇅 𝇆 𝇇 𝇈 𝇉 𝇊 𝇋 𝇌 𝇍 𝇎 𝇏 𝇐 𝇑 𝇒 𝇓 𝇔 𝇕 𝇖 𝇗 𝇘 𝇙 𝇚 𝇛 𝇜 𝇝 𝇞 𝇟 𝇠 𝇡 𝇢 𝇣 𝇤 𝇥 𝇦 𝇧 𝇨 𝇩 𝇪</t>
        </is>
      </c>
      <c r="Q474" s="38" t="inlineStr">
        <is>
          <t>𝄀 𝄁 𝄂 𝄃 𝄄 𝄅 𝄆 𝄈 𝄉 𝄊 𝄋 𝄌 𝄍 𝄎 𝄏 𝄐 𝄑 𝄒 𝄓 𝄔 𝄕 𝄖 𝄗 𝄘 𝄙 𝄚 𝄛 𝄜 𝄝 𝄞 𝄟 𝄠 𝄡 𝄢 𝄣 𝄤 𝄥 𝄦 𝄩 𝄪 𝄫 𝄬 𝄮 𝄰 𝄲 𝄳 𝄴 𝄵 𝄶 𝄷 𝄸 𝄹 𝄺 𝄻 𝄼 𝄽 𝄾 𝄿 𝅀 𝅁 𝅂 𝅃 𝅄 𝅅 𝅆 𝅈 𝅒 𝅔 𝅖 𝅗 𝅘 𝅙 𝅚 𝅜 𝅝 𝅪 𝅫 𝅬 𝆃 𝆌 𝆍 𝆎 𝆏 𝆐 𝆑 𝆒 𝆓 𝆔 𝆕 𝆖 𝆗 𝆘 𝆙 𝆚 𝆛 𝆜 𝆝 𝆞 𝆟 𝆠 𝆡 𝆢 𝆣 𝆤 𝆥 𝆦 𝆧 𝆨 𝆩 𝆮 𝆯 𝆰 𝆱 𝆴 𝆵 𝆶 𝆷 𝆸 𝆹 𝇁 𝇂 𝇃 𝇄 𝇅 𝇆 𝇇 𝇈 𝇉 𝇊 𝇋 𝇌 𝇍 𝇎 𝇏 𝇐 𝇑 𝇒 𝇓 𝇔 𝇕 𝇖 𝇗 𝇘 𝇙 𝇚 𝇛 𝇜 𝇝 𝇞 𝇟 𝇠 𝇡 𝇢 𝇣 𝇤 𝇦 𝇨 𝇩 𝇪</t>
        </is>
      </c>
      <c r="R474" s="43" t="inlineStr"/>
      <c r="S474" s="40" t="n"/>
      <c r="V474" s="14">
        <f>(LEN(O474)+1)/2</f>
        <v/>
      </c>
      <c r="W474" s="14">
        <f>ROUNDDOWN((LEN(P474)+1)/2,0)</f>
        <v/>
      </c>
      <c r="X474" s="14">
        <f>ROUNDDOWN((LEN(Q474)+1)/2,0)</f>
        <v/>
      </c>
      <c r="Y474" s="14">
        <f>ROUNDDOWN((LEN(R474)+1)/2,0)</f>
        <v/>
      </c>
      <c r="Z474" s="14">
        <f>ROUNDDOWN((LEN(S474)+1)/2,0)</f>
        <v/>
      </c>
      <c r="AA474" s="56" t="n">
        <v>46150.55869544895</v>
      </c>
    </row>
    <row r="475" ht="38.25" customHeight="1">
      <c r="B475" s="46" t="inlineStr">
        <is>
          <t>U+1D200-U+1D245</t>
        </is>
      </c>
      <c r="C475" s="46" t="inlineStr">
        <is>
          <t>Ancient Greek Musical Notation</t>
        </is>
      </c>
      <c r="D475" s="54">
        <f>HEX2DEC(MID(B475,3,FIND("-",E475)-3))</f>
        <v/>
      </c>
      <c r="E475" s="46" t="inlineStr">
        <is>
          <t>U+1D200-U+1D24F</t>
        </is>
      </c>
      <c r="F475" s="12" t="n">
        <v>4</v>
      </c>
      <c r="J475" s="19">
        <f>ROUNDDOWN(W475,0)/$V475</f>
        <v/>
      </c>
      <c r="K475" s="19">
        <f>ROUNDDOWN(X475,0)/$V475</f>
        <v/>
      </c>
      <c r="L475" s="19">
        <f>ROUNDDOWN(Y475,0)/$V475</f>
        <v/>
      </c>
      <c r="M475" s="19">
        <f>ROUNDDOWN(Z475,0)/$V475</f>
        <v/>
      </c>
      <c r="O475" s="36" t="inlineStr">
        <is>
          <t>𝈀 𝈁 𝈂 𝈃 𝈄 𝈅 𝈆 𝈇 𝈈 𝈉 𝈊 𝈋 𝈌 𝈍 𝈎 𝈏 𝈐 𝈑 𝈒 𝈓 𝈔 𝈕 𝈖 𝈗 𝈘 𝈙 𝈚 𝈛 𝈜 𝈝 𝈞 𝈟 𝈠 𝈡 𝈢 𝈣 𝈤 𝈥 𝈦 𝈧 𝈨 𝈩 𝈪 𝈫 𝈬 𝈭 𝈮 𝈯 𝈰 𝈱 𝈲 𝈳 𝈴 𝈵 𝈶 𝈷 𝈸 𝈹 𝈺 𝈻 𝈼 𝈽 𝈾 𝈿 𝉀 𝉁 𝉂 𝉃 𝉄 𝉅</t>
        </is>
      </c>
      <c r="P475" s="37" t="inlineStr">
        <is>
          <t>𝈀 𝈁 𝈂 𝈃 𝈄 𝈅 𝈆 𝈇 𝈈 𝈉 𝈊 𝈋 𝈌 𝈍 𝈎 𝈏 𝈐 𝈑 𝈒 𝈓 𝈔 𝈕 𝈖 𝈗 𝈘 𝈙 𝈚 𝈛 𝈜 𝈝 𝈞 𝈟 𝈠 𝈡 𝈢 𝈣 𝈤 𝈥 𝈦 𝈧 𝈨 𝈩 𝈪 𝈫 𝈬 𝈭 𝈮 𝈯 𝈰 𝈱 𝈲 𝈳 𝈴 𝈵 𝈶 𝈷 𝈸 𝈹 𝈺 𝈻 𝈼 𝈽 𝈾 𝈿 𝉀 𝉁 𝉅</t>
        </is>
      </c>
      <c r="Q475" s="38" t="inlineStr">
        <is>
          <t>𝈀 𝈁 𝈂 𝈃 𝈄 𝈅 𝈆 𝈇 𝈈 𝈉 𝈊 𝈋 𝈌 𝈍 𝈎 𝈏 𝈐 𝈑 𝈒 𝈓 𝈔 𝈕 𝈖 𝈗 𝈘 𝈙 𝈚 𝈛 𝈜 𝈝 𝈞 𝈟 𝈠 𝈡 𝈢 𝈣 𝈤 𝈥 𝈦 𝈧 𝈨 𝈩 𝈪 𝈫 𝈬 𝈭 𝈮 𝈯 𝈰 𝈱 𝈲 𝈳 𝈴 𝈵 𝈶 𝈷 𝈸 𝈹 𝈺 𝈻 𝈼 𝈽 𝈾 𝈿 𝉀 𝉁 𝉅</t>
        </is>
      </c>
      <c r="R475" s="43" t="inlineStr"/>
      <c r="S475" s="40" t="n"/>
      <c r="V475" s="14">
        <f>(LEN(O475)+1)/2</f>
        <v/>
      </c>
      <c r="W475" s="14">
        <f>ROUNDDOWN((LEN(P475)+1)/2,0)</f>
        <v/>
      </c>
      <c r="X475" s="14">
        <f>ROUNDDOWN((LEN(Q475)+1)/2,0)</f>
        <v/>
      </c>
      <c r="Y475" s="14">
        <f>ROUNDDOWN((LEN(R475)+1)/2,0)</f>
        <v/>
      </c>
      <c r="Z475" s="14">
        <f>ROUNDDOWN((LEN(S475)+1)/2,0)</f>
        <v/>
      </c>
      <c r="AA475" s="56" t="n">
        <v>46150.55869582347</v>
      </c>
    </row>
    <row r="476" ht="25.5" customHeight="1">
      <c r="B476" s="46" t="inlineStr">
        <is>
          <t>U+1D2C0-U+1D2D3</t>
        </is>
      </c>
      <c r="C476" s="46" t="inlineStr">
        <is>
          <t>Kaktovik Numerals</t>
        </is>
      </c>
      <c r="D476" s="54">
        <f>HEX2DEC(MID(B476,3,FIND("-",E476)-3))</f>
        <v/>
      </c>
      <c r="E476" s="46" t="inlineStr">
        <is>
          <t>U+1D2C0-U+1D2DF</t>
        </is>
      </c>
      <c r="F476" s="12" t="n">
        <v>4</v>
      </c>
      <c r="J476" s="19">
        <f>ROUNDDOWN(W476,0)/$V476</f>
        <v/>
      </c>
      <c r="K476" s="19">
        <f>ROUNDDOWN(X476,0)/$V476</f>
        <v/>
      </c>
      <c r="L476" s="19">
        <f>ROUNDDOWN(Y476,0)/$V476</f>
        <v/>
      </c>
      <c r="M476" s="19">
        <f>ROUNDDOWN(Z476,0)/$V476</f>
        <v/>
      </c>
      <c r="O476" s="36" t="inlineStr">
        <is>
          <t>𝋀 𝋁 𝋂 𝋃 𝋄 𝋅 𝋆 𝋇 𝋈 𝋉 𝋊 𝋋 𝋌 𝋍 𝋎 𝋏 𝋐 𝋑 𝋒 𝋓</t>
        </is>
      </c>
      <c r="P476" s="37" t="inlineStr">
        <is>
          <t>𝋀 𝋁 𝋂 𝋃 𝋄 𝋅 𝋆 𝋇 𝋈 𝋉 𝋊 𝋋 𝋌 𝋍 𝋎 𝋏 𝋐 𝋑 𝋒 𝋓</t>
        </is>
      </c>
      <c r="Q476" s="38" t="inlineStr"/>
      <c r="R476" t="inlineStr"/>
      <c r="S476" s="40" t="n"/>
      <c r="V476" s="14">
        <f>(LEN(O476)+1)/2</f>
        <v/>
      </c>
      <c r="W476" s="14">
        <f>ROUNDDOWN((LEN(P476)+1)/2,0)</f>
        <v/>
      </c>
      <c r="X476" s="14">
        <f>ROUNDDOWN((LEN(Q476)+1)/2,0)</f>
        <v/>
      </c>
      <c r="Y476" s="14">
        <f>ROUNDDOWN((LEN(R476)+1)/2,0)</f>
        <v/>
      </c>
      <c r="Z476" s="14">
        <f>ROUNDDOWN((LEN(S476)+1)/2,0)</f>
        <v/>
      </c>
      <c r="AA476" s="56" t="n">
        <v>46150.55869582485</v>
      </c>
    </row>
    <row r="477" ht="25.5" customHeight="1">
      <c r="B477" s="46" t="inlineStr">
        <is>
          <t>U+1D2E0-U+1D2F3</t>
        </is>
      </c>
      <c r="C477" s="46" t="inlineStr">
        <is>
          <t>Mayan Numerals</t>
        </is>
      </c>
      <c r="D477" s="54">
        <f>HEX2DEC(MID(B477,3,FIND("-",E477)-3))</f>
        <v/>
      </c>
      <c r="E477" s="46" t="inlineStr">
        <is>
          <t>U+1D2E0-U+1D2FF</t>
        </is>
      </c>
      <c r="F477" s="12" t="n">
        <v>4</v>
      </c>
      <c r="J477" s="19">
        <f>ROUNDDOWN(W477,0)/$V477</f>
        <v/>
      </c>
      <c r="K477" s="19">
        <f>ROUNDDOWN(X477,0)/$V477</f>
        <v/>
      </c>
      <c r="L477" s="19">
        <f>ROUNDDOWN(Y477,0)/$V477</f>
        <v/>
      </c>
      <c r="M477" s="19">
        <f>ROUNDDOWN(Z477,0)/$V477</f>
        <v/>
      </c>
      <c r="O477" s="36" t="inlineStr">
        <is>
          <t>𝋠 𝋡 𝋢 𝋣 𝋤 𝋥 𝋦 𝋧 𝋨 𝋩 𝋪 𝋫 𝋬 𝋭 𝋮 𝋯 𝋰 𝋱 𝋲 𝋳</t>
        </is>
      </c>
      <c r="P477" s="37" t="inlineStr">
        <is>
          <t>𝋠 𝋡 𝋢 𝋣 𝋤 𝋥 𝋦 𝋧 𝋨 𝋩 𝋪 𝋫 𝋬 𝋭 𝋮 𝋯 𝋰 𝋱 𝋲 𝋳</t>
        </is>
      </c>
      <c r="Q477" s="38" t="inlineStr"/>
      <c r="R477" t="inlineStr"/>
      <c r="S477" s="40" t="n"/>
      <c r="V477" s="14">
        <f>(LEN(O477)+1)/2</f>
        <v/>
      </c>
      <c r="W477" s="14">
        <f>ROUNDDOWN((LEN(P477)+1)/2,0)</f>
        <v/>
      </c>
      <c r="X477" s="14">
        <f>ROUNDDOWN((LEN(Q477)+1)/2,0)</f>
        <v/>
      </c>
      <c r="Y477" s="14">
        <f>ROUNDDOWN((LEN(R477)+1)/2,0)</f>
        <v/>
      </c>
      <c r="Z477" s="14">
        <f>ROUNDDOWN((LEN(S477)+1)/2,0)</f>
        <v/>
      </c>
      <c r="AA477" s="56" t="n">
        <v>46150.5586958257</v>
      </c>
    </row>
    <row r="478" ht="38.25" customHeight="1">
      <c r="B478" s="46" t="inlineStr">
        <is>
          <t>U+1D300-U+1D356</t>
        </is>
      </c>
      <c r="C478" s="46" t="inlineStr">
        <is>
          <t>Tai Xuan Jing Symbols</t>
        </is>
      </c>
      <c r="D478" s="54">
        <f>HEX2DEC(MID(B478,3,FIND("-",E478)-3))</f>
        <v/>
      </c>
      <c r="E478" s="46" t="inlineStr">
        <is>
          <t>U+1D300-U+1D35F</t>
        </is>
      </c>
      <c r="F478" s="12" t="n">
        <v>4</v>
      </c>
      <c r="J478" s="19">
        <f>ROUNDDOWN(W478,0)/$V478</f>
        <v/>
      </c>
      <c r="K478" s="19">
        <f>ROUNDDOWN(X478,0)/$V478</f>
        <v/>
      </c>
      <c r="L478" s="19">
        <f>ROUNDDOWN(Y478,0)/$V478</f>
        <v/>
      </c>
      <c r="M478" s="19">
        <f>ROUNDDOWN(Z478,0)/$V478</f>
        <v/>
      </c>
      <c r="O478" s="36" t="inlineStr">
        <is>
          <t>𝌀 𝌁 𝌂 𝌃 𝌄 𝌅 𝌆 𝌇 𝌈 𝌉 𝌊 𝌋 𝌌 𝌍 𝌎 𝌏 𝌐 𝌑 𝌒 𝌓 𝌔 𝌕 𝌖 𝌗 𝌘 𝌙 𝌚 𝌛 𝌜 𝌝 𝌞 𝌟 𝌠 𝌡 𝌢 𝌣 𝌤 𝌥 𝌦 𝌧 𝌨 𝌩 𝌪 𝌫 𝌬 𝌭 𝌮 𝌯 𝌰 𝌱 𝌲 𝌳 𝌴 𝌵 𝌶 𝌷 𝌸 𝌹 𝌺 𝌻 𝌼 𝌽 𝌾 𝌿 𝍀 𝍁 𝍂 𝍃 𝍄 𝍅 𝍆 𝍇 𝍈 𝍉 𝍊 𝍋 𝍌 𝍍 𝍎 𝍏 𝍐 𝍑 𝍒 𝍓 𝍔 𝍕 𝍖</t>
        </is>
      </c>
      <c r="P478" s="37" t="inlineStr">
        <is>
          <t>𝌀 𝌁 𝌂 𝌃 𝌄 𝌅 𝌆 𝌇 𝌈 𝌉 𝌊 𝌋 𝌌 𝌍 𝌎 𝌏 𝌐 𝌑 𝌒 𝌓 𝌔 𝌕 𝌖 𝌗 𝌘 𝌙 𝌚 𝌛 𝌜 𝌝 𝌞 𝌟 𝌠 𝌡 𝌢 𝌣 𝌤 𝌥 𝌦 𝌧 𝌨 𝌩 𝌪 𝌫 𝌬 𝌭 𝌮 𝌯 𝌰 𝌱 𝌲 𝌳 𝌴 𝌵 𝌶 𝌷 𝌸 𝌹 𝌺 𝌻 𝌼 𝌽 𝌾 𝌿 𝍀 𝍁 𝍂 𝍃 𝍄 𝍅 𝍆 𝍇 𝍈 𝍉 𝍊 𝍋 𝍌 𝍍 𝍎 𝍏 𝍐 𝍑 𝍒 𝍓 𝍔 𝍕 𝍖</t>
        </is>
      </c>
      <c r="Q478" s="38" t="inlineStr">
        <is>
          <t>𝌀 𝌁 𝌂 𝌃 𝌄 𝌅 𝌆 𝌇 𝌈 𝌉 𝌊 𝌋 𝌌 𝌍 𝌎 𝌏 𝌐 𝌑 𝌒 𝌓 𝌔 𝌕 𝌖 𝌗 𝌘 𝌙 𝌚 𝌛 𝌜 𝌝 𝌞 𝌟 𝌠 𝌡 𝌢 𝌣 𝌤 𝌥 𝌦 𝌧 𝌨 𝌩 𝌪 𝌫 𝌬 𝌭 𝌮 𝌯 𝌰 𝌱 𝌲 𝌳 𝌴 𝌵 𝌶 𝌷 𝌸 𝌹 𝌺 𝌻 𝌼 𝌽 𝌾 𝌿 𝍀 𝍁 𝍂 𝍃 𝍄 𝍅 𝍆 𝍇 𝍈 𝍉 𝍊 𝍋 𝍌 𝍍 𝍎 𝍏 𝍐 𝍑 𝍒 𝍓 𝍔 𝍕 𝍖</t>
        </is>
      </c>
      <c r="R478" s="43" t="inlineStr"/>
      <c r="S478" s="40" t="n"/>
      <c r="V478" s="14">
        <f>(LEN(O478)+1)/2</f>
        <v/>
      </c>
      <c r="W478" s="14">
        <f>ROUNDDOWN((LEN(P478)+1)/2,0)</f>
        <v/>
      </c>
      <c r="X478" s="14">
        <f>ROUNDDOWN((LEN(Q478)+1)/2,0)</f>
        <v/>
      </c>
      <c r="Y478" s="14">
        <f>ROUNDDOWN((LEN(R478)+1)/2,0)</f>
        <v/>
      </c>
      <c r="Z478" s="14">
        <f>ROUNDDOWN((LEN(S478)+1)/2,0)</f>
        <v/>
      </c>
      <c r="AA478" s="56" t="n">
        <v>46150.5586962825</v>
      </c>
    </row>
    <row r="479" ht="25.5" customHeight="1">
      <c r="B479" s="46" t="inlineStr">
        <is>
          <t>U+1D360-U+1D378</t>
        </is>
      </c>
      <c r="C479" s="46" t="inlineStr">
        <is>
          <t>Counting Rod Numerals</t>
        </is>
      </c>
      <c r="D479" s="54">
        <f>HEX2DEC(MID(B479,3,FIND("-",E479)-3))</f>
        <v/>
      </c>
      <c r="E479" s="46" t="inlineStr">
        <is>
          <t>U+1D360-U+1D37F</t>
        </is>
      </c>
      <c r="F479" s="12" t="n">
        <v>4</v>
      </c>
      <c r="J479" s="19">
        <f>ROUNDDOWN(W479,0)/$V479</f>
        <v/>
      </c>
      <c r="K479" s="19">
        <f>ROUNDDOWN(X479,0)/$V479</f>
        <v/>
      </c>
      <c r="L479" s="19">
        <f>ROUNDDOWN(Y479,0)/$V479</f>
        <v/>
      </c>
      <c r="M479" s="19">
        <f>ROUNDDOWN(Z479,0)/$V479</f>
        <v/>
      </c>
      <c r="O479" s="36" t="inlineStr">
        <is>
          <t>𝍠 𝍡 𝍢 𝍣 𝍤 𝍥 𝍦 𝍧 𝍨 𝍩 𝍪 𝍫 𝍬 𝍭 𝍮 𝍯 𝍰 𝍱 𝍲 𝍳 𝍴 𝍵 𝍶 𝍷 𝍸</t>
        </is>
      </c>
      <c r="P479" s="37" t="inlineStr">
        <is>
          <t>𝍠 𝍡 𝍢 𝍣 𝍤 𝍥 𝍦 𝍧 𝍨 𝍩 𝍪 𝍫 𝍬 𝍭 𝍮 𝍯 𝍰 𝍱 𝍲 𝍳 𝍴 𝍵 𝍶 𝍷 𝍸</t>
        </is>
      </c>
      <c r="Q479" s="38" t="inlineStr"/>
      <c r="R479" t="inlineStr"/>
      <c r="S479" s="40" t="n"/>
      <c r="V479" s="14">
        <f>(LEN(O479)+1)/2</f>
        <v/>
      </c>
      <c r="W479" s="14">
        <f>ROUNDDOWN((LEN(P479)+1)/2,0)</f>
        <v/>
      </c>
      <c r="X479" s="14">
        <f>ROUNDDOWN((LEN(Q479)+1)/2,0)</f>
        <v/>
      </c>
      <c r="Y479" s="14">
        <f>ROUNDDOWN((LEN(R479)+1)/2,0)</f>
        <v/>
      </c>
      <c r="Z479" s="14">
        <f>ROUNDDOWN((LEN(S479)+1)/2,0)</f>
        <v/>
      </c>
      <c r="AA479" s="56" t="n">
        <v>46150.55869628404</v>
      </c>
    </row>
    <row r="480" ht="76.5" customHeight="1">
      <c r="B480" s="46" t="inlineStr">
        <is>
          <t>U+1D400-U+1D504</t>
        </is>
      </c>
      <c r="C480" s="46" t="inlineStr">
        <is>
          <t>Mathematical Alphanumeric Symbols</t>
        </is>
      </c>
      <c r="D480" s="54">
        <f>HEX2DEC(MID(B480,3,FIND("-",E480)-3))</f>
        <v/>
      </c>
      <c r="E480" s="46" t="inlineStr">
        <is>
          <t>U+1D400-U+1D7FF</t>
        </is>
      </c>
      <c r="F480" s="12" t="n">
        <v>4</v>
      </c>
      <c r="J480" s="19">
        <f>ROUNDDOWN(W480,0)/$V480</f>
        <v/>
      </c>
      <c r="K480" s="19">
        <f>ROUNDDOWN(X480,0)/$V480</f>
        <v/>
      </c>
      <c r="L480" s="19">
        <f>ROUNDDOWN(Y480,0)/$V480</f>
        <v/>
      </c>
      <c r="M480" s="19">
        <f>ROUNDDOWN(Z480,0)/$V480</f>
        <v/>
      </c>
      <c r="O480" s="36" t="inlineStr">
        <is>
          <t>𝐀 𝐁 𝐂 𝐃 𝐄 𝐅 𝐆 𝐇 𝐈 𝐉 𝐊 𝐋 𝐌 𝐍 𝐎 𝐏 𝐐 𝐑 𝐒 𝐓 𝐔 𝐕 𝐖 𝐗 𝐘 𝐙 𝐚 𝐛 𝐜 𝐝 𝐞 𝐟 𝐠 𝐡 𝐢 𝐣 𝐤 𝐥 𝐦 𝐧 𝐨 𝐩 𝐪 𝐫 𝐬 𝐭 𝐮 𝐯 𝐰 𝐱 𝐲 𝐳 𝐴 𝐵 𝐶 𝐷 𝐸 𝐹 𝐺 𝐻 𝐼 𝐽 𝐾 𝐿 𝑀 𝑁 𝑂 𝑃 𝑄 𝑅 𝑆 𝑇 𝑈 𝑉 𝑊 𝑋 𝑌 𝑍 𝑎 𝑏 𝑐 𝑑 𝑒 𝑓 𝑔 𝑖 𝑗 𝑘 𝑙 𝑚 𝑛 𝑜 𝑝 𝑞 𝑟 𝑠 𝑡 𝑢 𝑣 𝑤 𝑥 𝑦 𝑧 𝑨 𝑩 𝑪 𝑫 𝑬 𝑭 𝑮 𝑯 𝑰 𝑱 𝑲 𝑳 𝑴 𝑵 𝑶 𝑷 𝑸 𝑹 𝑺 𝑻 𝑼 𝑽 𝑾 𝑿 𝒀 𝒁 𝒂 𝒃 𝒄 𝒅 𝒆 𝒇 𝒈 𝒉 𝒊 𝒋 𝒌 𝒍 𝒎 𝒏 𝒐 𝒑 𝒒 𝒓 𝒔 𝒕 𝒖 𝒗 𝒘 𝒙 𝒚 𝒛 𝒜 𝒞 𝒟 𝒢 𝒥 𝒦 𝒩 𝒪 𝒫 𝒬 𝒮 𝒯 𝒰 𝒱 𝒲 𝒳 𝒴 𝒵 𝒶 𝒷 𝒸 𝒹 𝒻 𝒽 𝒾 𝒿 𝓀 𝓁 𝓂 𝓃 𝓅 𝓆 𝓇 𝓈 𝓉 𝓊 𝓋 𝓌 𝓍 𝓎 𝓏 𝓐 𝓑 𝓒 𝓓 𝓔 𝓕 𝓖 𝓗 𝓘 𝓙 𝓚 𝓛 𝓜 𝓝 𝓞 𝓟 𝓠 𝓡 𝓢 𝓣 𝓤 𝓥 𝓦 𝓧 𝓨 𝓩 𝓪 𝓫 𝓬 𝓭 𝓮 𝓯 𝓰 𝓱 𝓲 𝓳 𝓴 𝓵 𝓶 𝓷 𝓸 𝓹 𝓺 𝓻 𝓼 𝓽 𝓾 𝓿 𝔀 𝔁 𝔂 𝔃 𝔄</t>
        </is>
      </c>
      <c r="P480" s="37" t="inlineStr">
        <is>
          <t>𝐀 𝐁 𝐂 𝐃 𝐄 𝐅 𝐆 𝐇 𝐈 𝐉 𝐊 𝐋 𝐌 𝐍 𝐎 𝐏 𝐐 𝐑 𝐒 𝐓 𝐔 𝐕 𝐖 𝐗 𝐘 𝐙 𝐚 𝐛 𝐜 𝐝 𝐞 𝐟 𝐠 𝐡 𝐢 𝐣 𝐤 𝐥 𝐦 𝐧 𝐨 𝐩 𝐪 𝐫 𝐬 𝐭 𝐮 𝐯 𝐰 𝐱 𝐲 𝐳 𝐴 𝐵 𝐶 𝐷 𝐸 𝐹 𝐺 𝐻 𝐼 𝐽 𝐾 𝐿 𝑀 𝑁 𝑂 𝑃 𝑄 𝑅 𝑆 𝑇 𝑈 𝑉 𝑊 𝑋 𝑌 𝑍 𝑎 𝑏 𝑐 𝑑 𝑒 𝑓 𝑔 𝑖 𝑗 𝑘 𝑙 𝑚 𝑛 𝑜 𝑝 𝑞 𝑟 𝑠 𝑡 𝑢 𝑣 𝑤 𝑥 𝑦 𝑧 𝑨 𝑩 𝑪 𝑫 𝑬 𝑭 𝑮 𝑯 𝑰 𝑱 𝑲 𝑳 𝑴 𝑵 𝑶 𝑷 𝑸 𝑹 𝑺 𝑻 𝑼 𝑽 𝑾 𝑿 𝒀 𝒁 𝒂 𝒃 𝒄 𝒅 𝒆 𝒇 𝒈 𝒉 𝒊 𝒋 𝒌 𝒍 𝒎 𝒏 𝒐 𝒑 𝒒 𝒓 𝒔 𝒕 𝒖 𝒗 𝒘 𝒙 𝒚 𝒛 𝒜 𝒞 𝒟 𝒢 𝒥 𝒦 𝒩 𝒪 𝒫 𝒬 𝒮 𝒯 𝒰 𝒱 𝒲 𝒳 𝒴 𝒵 𝒶 𝒷 𝒸 𝒹 𝒻 𝒽 𝒾 𝒿 𝓀 𝓁 𝓂 𝓃 𝓅 𝓆 𝓇 𝓈 𝓉 𝓊 𝓋 𝓌 𝓍 𝓎 𝓏 𝓐 𝓑 𝓒 𝓓 𝓔 𝓕 𝓖 𝓗 𝓘 𝓙 𝓚 𝓛 𝓜 𝓝 𝓞 𝓟 𝓠 𝓡 𝓢 𝓣 𝓤 𝓥 𝓦 𝓧 𝓨 𝓩 𝓪 𝓫 𝓬 𝓭 𝓮 𝓯 𝓰 𝓱 𝓲 𝓳 𝓴 𝓵 𝓶 𝓷 𝓸 𝓹 𝓺 𝓻 𝓼 𝓽 𝓾 𝓿 𝔀 𝔁 𝔂 𝔃 𝔄</t>
        </is>
      </c>
      <c r="Q480" s="38" t="inlineStr"/>
      <c r="R480" s="43" t="inlineStr"/>
      <c r="S480" s="40" t="n"/>
      <c r="V480" s="14">
        <f>(LEN(O480)+1)/2</f>
        <v/>
      </c>
      <c r="W480" s="14">
        <f>ROUNDDOWN((LEN(P480)+1)/2,0)</f>
        <v/>
      </c>
      <c r="X480" s="14">
        <f>ROUNDDOWN((LEN(Q480)+1)/2,0)</f>
        <v/>
      </c>
      <c r="Y480" s="14">
        <f>ROUNDDOWN((LEN(R480)+1)/2,0)</f>
        <v/>
      </c>
      <c r="Z480" s="14">
        <f>ROUNDDOWN((LEN(S480)+1)/2,0)</f>
        <v/>
      </c>
      <c r="AA480" s="56" t="n">
        <v>46150.55869628778</v>
      </c>
    </row>
    <row r="481" ht="63.75" customHeight="1">
      <c r="B481" s="46" t="inlineStr">
        <is>
          <t>U+1D505-U+1D609</t>
        </is>
      </c>
      <c r="C481" s="46" t="inlineStr">
        <is>
          <t>Mathematical Alphanumeric Symbols</t>
        </is>
      </c>
      <c r="D481" s="54">
        <f>HEX2DEC(MID(B481,3,FIND("-",E481)-3))</f>
        <v/>
      </c>
      <c r="E481" s="46" t="inlineStr">
        <is>
          <t>U+1D400-U+1D7FF</t>
        </is>
      </c>
      <c r="F481" s="12" t="n">
        <v>4</v>
      </c>
      <c r="J481" s="19">
        <f>ROUNDDOWN(W481,0)/$V481</f>
        <v/>
      </c>
      <c r="K481" s="19">
        <f>ROUNDDOWN(X481,0)/$V481</f>
        <v/>
      </c>
      <c r="L481" s="19">
        <f>ROUNDDOWN(Y481,0)/$V481</f>
        <v/>
      </c>
      <c r="M481" s="19">
        <f>ROUNDDOWN(Z481,0)/$V481</f>
        <v/>
      </c>
      <c r="O481" s="36" t="inlineStr">
        <is>
          <t>𝔅 𝔇 𝔈 𝔉 𝔊 𝔍 𝔎 𝔏 𝔐 𝔑 𝔒 𝔓 𝔔 𝔖 𝔗 𝔘 𝔙 𝔚 𝔛 𝔜 𝔞 𝔟 𝔠 𝔡 𝔢 𝔣 𝔤 𝔥 𝔦 𝔧 𝔨 𝔩 𝔪 𝔫 𝔬 𝔭 𝔮 𝔯 𝔰 𝔱 𝔲 𝔳 𝔴 𝔵 𝔶 𝔷 𝔸 𝔹 𝔻 𝔼 𝔽 𝔾 𝕀 𝕁 𝕂 𝕃 𝕄 𝕆 𝕊 𝕋 𝕌 𝕍 𝕎 𝕏 𝕐 𝕒 𝕓 𝕔 𝕕 𝕖 𝕗 𝕘 𝕙 𝕚 𝕛 𝕜 𝕝 𝕞 𝕟 𝕠 𝕡 𝕢 𝕣 𝕤 𝕥 𝕦 𝕧 𝕨 𝕩 𝕪 𝕫 𝕬 𝕭 𝕮 𝕯 𝕰 𝕱 𝕲 𝕳 𝕴 𝕵 𝕶 𝕷 𝕸 𝕹 𝕺 𝕻 𝕼 𝕽 𝕾 𝕿 𝖀 𝖁 𝖂 𝖃 𝖄 𝖅 𝖆 𝖇 𝖈 𝖉 𝖊 𝖋 𝖌 𝖍 𝖎 𝖏 𝖐 𝖑 𝖒 𝖓 𝖔 𝖕 𝖖 𝖗 𝖘 𝖙 𝖚 𝖛 𝖜 𝖝 𝖞 𝖟 𝖠 𝖡 𝖢 𝖣 𝖤 𝖥 𝖦 𝖧 𝖨 𝖩 𝖪 𝖫 𝖬 𝖭 𝖮 𝖯 𝖰 𝖱 𝖲 𝖳 𝖴 𝖵 𝖶 𝖷 𝖸 𝖹 𝖺 𝖻 𝖼 𝖽 𝖾 𝖿 𝗀 𝗁 𝗂 𝗃 𝗄 𝗅 𝗆 𝗇 𝗈 𝗉 𝗊 𝗋 𝗌 𝗍 𝗎 𝗏 𝗐 𝗑 𝗒 𝗓 𝗔 𝗕 𝗖 𝗗 𝗘 𝗙 𝗚 𝗛 𝗜 𝗝 𝗞 𝗟 𝗠 𝗡 𝗢 𝗣 𝗤 𝗥 𝗦 𝗧 𝗨 𝗩 𝗪 𝗫 𝗬 𝗭 𝗮 𝗯 𝗰 𝗱 𝗲 𝗳 𝗴 𝗵 𝗶 𝗷 𝗸 𝗹 𝗺 𝗻 𝗼 𝗽 𝗾 𝗿 𝘀 𝘁 𝘂 𝘃 𝘄 𝘅 𝘆 𝘇 𝘈 𝘉</t>
        </is>
      </c>
      <c r="P481" s="37" t="inlineStr">
        <is>
          <t>𝔅 𝔇 𝔈 𝔉 𝔊 𝔍 𝔎 𝔏 𝔐 𝔑 𝔒 𝔓 𝔔 𝔖 𝔗 𝔘 𝔙 𝔚 𝔛 𝔜 𝔞 𝔟 𝔠 𝔡 𝔢 𝔣 𝔤 𝔥 𝔦 𝔧 𝔨 𝔩 𝔪 𝔫 𝔬 𝔭 𝔮 𝔯 𝔰 𝔱 𝔲 𝔳 𝔴 𝔵 𝔶 𝔷 𝔸 𝔹 𝔻 𝔼 𝔽 𝔾 𝕀 𝕁 𝕂 𝕃 𝕄 𝕆 𝕊 𝕋 𝕌 𝕍 𝕎 𝕏 𝕐 𝕒 𝕓 𝕔 𝕕 𝕖 𝕗 𝕘 𝕙 𝕚 𝕛 𝕜 𝕝 𝕞 𝕟 𝕠 𝕡 𝕢 𝕣 𝕤 𝕥 𝕦 𝕧 𝕨 𝕩 𝕪 𝕫 𝕬 𝕭 𝕮 𝕯 𝕰 𝕱 𝕲 𝕳 𝕴 𝕵 𝕶 𝕷 𝕸 𝕹 𝕺 𝕻 𝕼 𝕽 𝕾 𝕿 𝖀 𝖁 𝖂 𝖃 𝖄 𝖅 𝖆 𝖇 𝖈 𝖉 𝖊 𝖋 𝖌 𝖍 𝖎 𝖏 𝖐 𝖑 𝖒 𝖓 𝖔 𝖕 𝖖 𝖗 𝖘 𝖙 𝖚 𝖛 𝖜 𝖝 𝖞 𝖟 𝖠 𝖡 𝖢 𝖣 𝖤 𝖥 𝖦 𝖧 𝖨 𝖩 𝖪 𝖫 𝖬 𝖭 𝖮 𝖯 𝖰 𝖱 𝖲 𝖳 𝖴 𝖵 𝖶 𝖷 𝖸 𝖹 𝖺 𝖻 𝖼 𝖽 𝖾 𝖿 𝗀 𝗁 𝗂 𝗃 𝗄 𝗅 𝗆 𝗇 𝗈 𝗉 𝗊 𝗋 𝗌 𝗍 𝗎 𝗏 𝗐 𝗑 𝗒 𝗓 𝗔 𝗕 𝗖 𝗗 𝗘 𝗙 𝗚 𝗛 𝗜 𝗝 𝗞 𝗟 𝗠 𝗡 𝗢 𝗣 𝗤 𝗥 𝗦 𝗧 𝗨 𝗩 𝗪 𝗫 𝗬 𝗭 𝗮 𝗯 𝗰 𝗱 𝗲 𝗳 𝗴 𝗵 𝗶 𝗷 𝗸 𝗹 𝗺 𝗻 𝗼 𝗽 𝗾 𝗿 𝘀 𝘁 𝘂 𝘃 𝘄 𝘅 𝘆 𝘇 𝘈 𝘉</t>
        </is>
      </c>
      <c r="Q481" s="38" t="inlineStr"/>
      <c r="R481" t="inlineStr"/>
      <c r="S481" s="40" t="n"/>
      <c r="V481" s="14">
        <f>(LEN(O481)+1)/2</f>
        <v/>
      </c>
      <c r="W481" s="14">
        <f>ROUNDDOWN((LEN(P481)+1)/2,0)</f>
        <v/>
      </c>
      <c r="X481" s="14">
        <f>ROUNDDOWN((LEN(Q481)+1)/2,0)</f>
        <v/>
      </c>
      <c r="Y481" s="14">
        <f>ROUNDDOWN((LEN(R481)+1)/2,0)</f>
        <v/>
      </c>
      <c r="Z481" s="14">
        <f>ROUNDDOWN((LEN(S481)+1)/2,0)</f>
        <v/>
      </c>
      <c r="AA481" s="56" t="n">
        <v>46150.55869629141</v>
      </c>
    </row>
    <row r="482" ht="76.5" customHeight="1">
      <c r="B482" s="46" t="inlineStr">
        <is>
          <t>U+1D60A-U+1D704</t>
        </is>
      </c>
      <c r="C482" s="46" t="inlineStr">
        <is>
          <t>Mathematical Alphanumeric Symbols</t>
        </is>
      </c>
      <c r="D482" s="54">
        <f>HEX2DEC(MID(B482,3,FIND("-",E482)-3))</f>
        <v/>
      </c>
      <c r="E482" s="46" t="inlineStr">
        <is>
          <t>U+1D400-U+1D7FF</t>
        </is>
      </c>
      <c r="F482" s="12" t="n">
        <v>4</v>
      </c>
      <c r="J482" s="19">
        <f>ROUNDDOWN(W482,0)/$V482</f>
        <v/>
      </c>
      <c r="K482" s="19">
        <f>ROUNDDOWN(X482,0)/$V482</f>
        <v/>
      </c>
      <c r="L482" s="19">
        <f>ROUNDDOWN(Y482,0)/$V482</f>
        <v/>
      </c>
      <c r="M482" s="19">
        <f>ROUNDDOWN(Z482,0)/$V482</f>
        <v/>
      </c>
      <c r="O482" s="36" t="inlineStr">
        <is>
          <t>𝘊 𝘋 𝘌 𝘍 𝘎 𝘏 𝘐 𝘑 𝘒 𝘓 𝘔 𝘕 𝘖 𝘗 𝘘 𝘙 𝘚 𝘛 𝘜 𝘝 𝘞 𝘟 𝘠 𝘡 𝘢 𝘣 𝘤 𝘥 𝘦 𝘧 𝘨 𝘩 𝘪 𝘫 𝘬 𝘭 𝘮 𝘯 𝘰 𝘱 𝘲 𝘳 𝘴 𝘵 𝘶 𝘷 𝘸 𝘹 𝘺 𝘻 𝘼 𝘽 𝘾 𝘿 𝙀 𝙁 𝙂 𝙃 𝙄 𝙅 𝙆 𝙇 𝙈 𝙉 𝙊 𝙋 𝙌 𝙍 𝙎 𝙏 𝙐 𝙑 𝙒 𝙓 𝙔 𝙕 𝙖 𝙗 𝙘 𝙙 𝙚 𝙛 𝙜 𝙝 𝙞 𝙟 𝙠 𝙡 𝙢 𝙣 𝙤 𝙥 𝙦 𝙧 𝙨 𝙩 𝙪 𝙫 𝙬 𝙭 𝙮 𝙯 𝙰 𝙱 𝙲 𝙳 𝙴 𝙵 𝙶 𝙷 𝙸 𝙹 𝙺 𝙻 𝙼 𝙽 𝙾 𝙿 𝚀 𝚁 𝚂 𝚃 𝚄 𝚅 𝚆 𝚇 𝚈 𝚉 𝚊 𝚋 𝚌 𝚍 𝚎 𝚏 𝚐 𝚑 𝚒 𝚓 𝚔 𝚕 𝚖 𝚗 𝚘 𝚙 𝚚 𝚛 𝚜 𝚝 𝚞 𝚟 𝚠 𝚡 𝚢 𝚣 𝚤 𝚥 𝚨 𝚩 𝚪 𝚫 𝚬 𝚭 𝚮 𝚯 𝚰 𝚱 𝚲 𝚳 𝚴 𝚵 𝚶 𝚷 𝚸 𝚹 𝚺 𝚻 𝚼 𝚽 𝚾 𝚿 𝛀 𝛁 𝛂 𝛃 𝛄 𝛅 𝛆 𝛇 𝛈 𝛉 𝛊 𝛋 𝛌 𝛍 𝛎 𝛏 𝛐 𝛑 𝛒 𝛓 𝛔 𝛕 𝛖 𝛗 𝛘 𝛙 𝛚 𝛛 𝛜 𝛝 𝛞 𝛟 𝛠 𝛡 𝛢 𝛣 𝛤 𝛥 𝛦 𝛧 𝛨 𝛩 𝛪 𝛫 𝛬 𝛭 𝛮 𝛯 𝛰 𝛱 𝛲 𝛳 𝛴 𝛵 𝛶 𝛷 𝛸 𝛹 𝛺 𝛻 𝛼 𝛽 𝛾 𝛿 𝜀 𝜁 𝜂 𝜃 𝜄</t>
        </is>
      </c>
      <c r="P482" s="37" t="inlineStr">
        <is>
          <t>𝘊 𝘋 𝘌 𝘍 𝘎 𝘏 𝘐 𝘑 𝘒 𝘓 𝘔 𝘕 𝘖 𝘗 𝘘 𝘙 𝘚 𝘛 𝘜 𝘝 𝘞 𝘟 𝘠 𝘡 𝘢 𝘣 𝘤 𝘥 𝘦 𝘧 𝘨 𝘩 𝘪 𝘫 𝘬 𝘭 𝘮 𝘯 𝘰 𝘱 𝘲 𝘳 𝘴 𝘵 𝘶 𝘷 𝘸 𝘹 𝘺 𝘻 𝘼 𝘽 𝘾 𝘿 𝙀 𝙁 𝙂 𝙃 𝙄 𝙅 𝙆 𝙇 𝙈 𝙉 𝙊 𝙋 𝙌 𝙍 𝙎 𝙏 𝙐 𝙑 𝙒 𝙓 𝙔 𝙕 𝙖 𝙗 𝙘 𝙙 𝙚 𝙛 𝙜 𝙝 𝙞 𝙟 𝙠 𝙡 𝙢 𝙣 𝙤 𝙥 𝙦 𝙧 𝙨 𝙩 𝙪 𝙫 𝙬 𝙭 𝙮 𝙯 𝙰 𝙱 𝙲 𝙳 𝙴 𝙵 𝙶 𝙷 𝙸 𝙹 𝙺 𝙻 𝙼 𝙽 𝙾 𝙿 𝚀 𝚁 𝚂 𝚃 𝚄 𝚅 𝚆 𝚇 𝚈 𝚉 𝚊 𝚋 𝚌 𝚍 𝚎 𝚏 𝚐 𝚑 𝚒 𝚓 𝚔 𝚕 𝚖 𝚗 𝚘 𝚙 𝚚 𝚛 𝚜 𝚝 𝚞 𝚟 𝚠 𝚡 𝚢 𝚣 𝚤 𝚥 𝚨 𝚩 𝚪 𝚫 𝚬 𝚭 𝚮 𝚯 𝚰 𝚱 𝚲 𝚳 𝚴 𝚵 𝚶 𝚷 𝚸 𝚹 𝚺 𝚻 𝚼 𝚽 𝚾 𝚿 𝛀 𝛁 𝛂 𝛃 𝛄 𝛅 𝛆 𝛇 𝛈 𝛉 𝛊 𝛋 𝛌 𝛍 𝛎 𝛏 𝛐 𝛑 𝛒 𝛓 𝛔 𝛕 𝛖 𝛗 𝛘 𝛙 𝛚 𝛛 𝛜 𝛝 𝛞 𝛟 𝛠 𝛡 𝛢 𝛣 𝛤 𝛥 𝛦 𝛧 𝛨 𝛩 𝛪 𝛫 𝛬 𝛭 𝛮 𝛯 𝛰 𝛱 𝛲 𝛳 𝛴 𝛵 𝛶 𝛷 𝛸 𝛹 𝛺 𝛻 𝛼 𝛽 𝛾 𝛿 𝜀 𝜁 𝜂 𝜃 𝜄</t>
        </is>
      </c>
      <c r="Q482" s="38" t="inlineStr">
        <is>
          <t>𝚤 𝚥 𝚨 𝚩 𝚪 𝚫 𝚬 𝚭 𝚮 𝚯 𝚰 𝚱 𝚲 𝚳 𝚴 𝚵 𝚷 𝚸 𝚹 𝚺 𝚻 𝚼 𝚽 𝚾 𝚿 𝛀 𝛁 𝛂 𝛃 𝛄 𝛅 𝛆 𝛇 𝛈 𝛉 𝛊 𝛋 𝛌 𝛍 𝛎 𝛏 𝛑 𝛒 𝛓 𝛔 𝛕 𝛖 𝛗 𝛘 𝛙 𝛚 𝛛 𝛜 𝛝 𝛞 𝛟 𝛠 𝛡 𝛢 𝛣 𝛤 𝛥 𝛦 𝛧 𝛨 𝛩 𝛪 𝛫 𝛬 𝛭 𝛮 𝛯 𝛱 𝛲 𝛳 𝛴 𝛵 𝛶 𝛷 𝛸 𝛹 𝛺 𝛻 𝛼 𝛽 𝛾 𝛿 𝜀 𝜁 𝜂 𝜃 𝜄</t>
        </is>
      </c>
      <c r="R482" s="43" t="inlineStr">
        <is>
          <t>𝚥 𝚪 𝚫 𝚯 𝚲 𝚵 𝚷 𝚹 𝚺 𝚽 𝚿 𝛀 𝛁 𝛃 𝛅 𝛆 𝛇 𝛈 𝛉 𝛋 𝛌 𝛍 𝛏 𝛑 𝛓 𝛕 𝛗 𝛘 𝛙 𝛚 𝛛 𝛜 𝛝 𝛞 𝛟 𝛡 𝛤 𝛥 𝛩 𝛬 𝛯 𝛱 𝛳 𝛴 𝛷 𝛹 𝛺 𝛻 𝛽 𝛿 𝜀 𝜁 𝜂 𝜃</t>
        </is>
      </c>
      <c r="S482" s="40" t="n"/>
      <c r="V482" s="14">
        <f>(LEN(O482)+1)/2</f>
        <v/>
      </c>
      <c r="W482" s="14">
        <f>ROUNDDOWN((LEN(P482)+1)/2,0)</f>
        <v/>
      </c>
      <c r="X482" s="14">
        <f>ROUNDDOWN((LEN(Q482)+1)/2,0)</f>
        <v/>
      </c>
      <c r="Y482" s="14">
        <f>ROUNDDOWN((LEN(R482)+1)/2,0)</f>
        <v/>
      </c>
      <c r="Z482" s="14">
        <f>ROUNDDOWN((LEN(S482)+1)/2,0)</f>
        <v/>
      </c>
      <c r="AA482" s="56" t="n">
        <v>46150.55869680014</v>
      </c>
    </row>
    <row r="483" ht="76.5" customHeight="1">
      <c r="B483" s="46" t="inlineStr">
        <is>
          <t>U+1D705-U+1D7FF</t>
        </is>
      </c>
      <c r="C483" s="46" t="inlineStr">
        <is>
          <t>Mathematical Alphanumeric Symbols</t>
        </is>
      </c>
      <c r="D483" s="54">
        <f>HEX2DEC(MID(B483,3,FIND("-",E483)-3))</f>
        <v/>
      </c>
      <c r="E483" s="46" t="inlineStr">
        <is>
          <t>U+1D400-U+1D7FF</t>
        </is>
      </c>
      <c r="F483" s="12" t="n">
        <v>4</v>
      </c>
      <c r="J483" s="19">
        <f>ROUNDDOWN(W483,0)/$V483</f>
        <v/>
      </c>
      <c r="K483" s="19">
        <f>ROUNDDOWN(X483,0)/$V483</f>
        <v/>
      </c>
      <c r="L483" s="19">
        <f>ROUNDDOWN(Y483,0)/$V483</f>
        <v/>
      </c>
      <c r="M483" s="19">
        <f>ROUNDDOWN(Z483,0)/$V483</f>
        <v/>
      </c>
      <c r="O483" s="36" t="inlineStr">
        <is>
          <t>𝜅 𝜆 𝜇 𝜈 𝜉 𝜊 𝜋 𝜌 𝜍 𝜎 𝜏 𝜐 𝜑 𝜒 𝜓 𝜔 𝜕 𝜖 𝜗 𝜘 𝜙 𝜚 𝜛 𝜜 𝜝 𝜞 𝜟 𝜠 𝜡 𝜢 𝜣 𝜤 𝜥 𝜦 𝜧 𝜨 𝜩 𝜪 𝜫 𝜬 𝜭 𝜮 𝜯 𝜰 𝜱 𝜲 𝜳 𝜴 𝜵 𝜶 𝜷 𝜸 𝜹 𝜺 𝜻 𝜼 𝜽 𝜾 𝜿 𝝀 𝝁 𝝂 𝝃 𝝄 𝝅 𝝆 𝝇 𝝈 𝝉 𝝊 𝝋 𝝌 𝝍 𝝎 𝝏 𝝐 𝝑 𝝒 𝝓 𝝔 𝝕 𝝖 𝝗 𝝘 𝝙 𝝚 𝝛 𝝜 𝝝 𝝞 𝝟 𝝠 𝝡 𝝢 𝝣 𝝤 𝝥 𝝦 𝝧 𝝨 𝝩 𝝪 𝝫 𝝬 𝝭 𝝮 𝝯 𝝰 𝝱 𝝲 𝝳 𝝴 𝝵 𝝶 𝝷 𝝸 𝝹 𝝺 𝝻 𝝼 𝝽 𝝾 𝝿 𝞀 𝞁 𝞂 𝞃 𝞄 𝞅 𝞆 𝞇 𝞈 𝞉 𝞊 𝞋 𝞌 𝞍 𝞎 𝞏 𝞐 𝞑 𝞒 𝞓 𝞔 𝞕 𝞖 𝞗 𝞘 𝞙 𝞚 𝞛 𝞜 𝞝 𝞞 𝞟 𝞠 𝞡 𝞢 𝞣 𝞤 𝞥 𝞦 𝞧 𝞨 𝞩 𝞪 𝞫 𝞬 𝞭 𝞮 𝞯 𝞰 𝞱 𝞲 𝞳 𝞴 𝞵 𝞶 𝞷 𝞸 𝞹 𝞺 𝞻 𝞼 𝞽 𝞾 𝞿 𝟀 𝟁 𝟂 𝟃 𝟄 𝟅 𝟆 𝟇 𝟈 𝟉 𝟊 𝟋 𝟎 𝟏 𝟐 𝟑 𝟒 𝟓 𝟔 𝟕 𝟖 𝟗 𝟘 𝟙 𝟚 𝟛 𝟜 𝟝 𝟞 𝟟 𝟠 𝟡 𝟢 𝟣 𝟤 𝟥 𝟦 𝟧 𝟨 𝟩 𝟪 𝟫 𝟬 𝟭 𝟮 𝟯 𝟰 𝟱 𝟲 𝟳 𝟴 𝟵 𝟶 𝟷 𝟸 𝟹 𝟺 𝟻 𝟼 𝟽 𝟾 𝟿</t>
        </is>
      </c>
      <c r="P483" s="37" t="inlineStr">
        <is>
          <t>𝜅 𝜆 𝜇 𝜈 𝜉 𝜊 𝜋 𝜌 𝜍 𝜎 𝜏 𝜐 𝜑 𝜒 𝜓 𝜔 𝜕 𝜖 𝜗 𝜘 𝜙 𝜚 𝜛 𝜜 𝜝 𝜞 𝜟 𝜠 𝜡 𝜢 𝜣 𝜤 𝜥 𝜦 𝜧 𝜨 𝜩 𝜪 𝜫 𝜬 𝜭 𝜮 𝜯 𝜰 𝜱 𝜲 𝜳 𝜴 𝜵 𝜶 𝜷 𝜸 𝜹 𝜺 𝜻 𝜼 𝜽 𝜾 𝜿 𝝀 𝝁 𝝂 𝝃 𝝄 𝝅 𝝆 𝝇 𝝈 𝝉 𝝊 𝝋 𝝌 𝝍 𝝎 𝝏 𝝐 𝝑 𝝒 𝝓 𝝔 𝝕 𝝖 𝝗 𝝘 𝝙 𝝚 𝝛 𝝜 𝝝 𝝞 𝝟 𝝠 𝝡 𝝢 𝝣 𝝤 𝝥 𝝦 𝝧 𝝨 𝝩 𝝪 𝝫 𝝬 𝝭 𝝮 𝝯 𝝰 𝝱 𝝲 𝝳 𝝴 𝝵 𝝶 𝝷 𝝸 𝝹 𝝺 𝝻 𝝼 𝝽 𝝾 𝝿 𝞀 𝞁 𝞂 𝞃 𝞄 𝞅 𝞆 𝞇 𝞈 𝞉 𝞊 𝞋 𝞌 𝞍 𝞎 𝞏 𝞐 𝞑 𝞒 𝞓 𝞔 𝞕 𝞖 𝞗 𝞘 𝞙 𝞚 𝞛 𝞜 𝞝 𝞞 𝞟 𝞠 𝞡 𝞢 𝞣 𝞤 𝞥 𝞦 𝞧 𝞨 𝞩 𝞪 𝞫 𝞬 𝞭 𝞮 𝞯 𝞰 𝞱 𝞲 𝞳 𝞴 𝞵 𝞶 𝞷 𝞸 𝞹 𝞺 𝞻 𝞼 𝞽 𝞾 𝞿 𝟀 𝟁 𝟂 𝟃 𝟄 𝟅 𝟆 𝟇 𝟈 𝟉 𝟊 𝟋 𝟎 𝟏 𝟐 𝟑 𝟒 𝟓 𝟔 𝟕 𝟖 𝟗 𝟘 𝟙 𝟚 𝟛 𝟜 𝟝 𝟞 𝟟 𝟠 𝟡 𝟢 𝟣 𝟤 𝟥 𝟦 𝟧 𝟨 𝟩 𝟪 𝟫 𝟬 𝟭 𝟮 𝟯 𝟰 𝟱 𝟲 𝟳 𝟴 𝟵 𝟶 𝟷 𝟸 𝟹 𝟺 𝟻 𝟼 𝟽 𝟾 𝟿</t>
        </is>
      </c>
      <c r="Q483" s="38" t="inlineStr">
        <is>
          <t>𝜅 𝜆 𝜇 𝜈 𝜉 𝜋 𝜌 𝜍 𝜎 𝜏 𝜐 𝜑 𝜒 𝜓 𝜔 𝜕 𝜖 𝜗 𝜘 𝜙 𝜚 𝜛 𝜜 𝜝 𝜞 𝜟 𝜠 𝜡 𝜢 𝜣 𝜤 𝜥 𝜦 𝜧 𝜨 𝜩 𝜫 𝜬 𝜭 𝜮 𝜯 𝜰 𝜱 𝜲 𝜳 𝜴 𝜵 𝜶 𝜷 𝜸 𝜹 𝜺 𝜻 𝜼 𝜽 𝜾 𝜿 𝝀 𝝁 𝝂 𝝃 𝝅 𝝆 𝝇 𝝈 𝝉 𝝊 𝝋 𝝌 𝝍 𝝎 𝝏 𝝐 𝝑 𝝒 𝝓 𝝔 𝝕 𝝖 𝝗 𝝘 𝝙 𝝚 𝝛 𝝜 𝝝 𝝞 𝝟 𝝠 𝝡 𝝢 𝝣 𝝥 𝝦 𝝧 𝝨 𝝩 𝝪 𝝫 𝝬 𝝭 𝝮 𝝯 𝝰 𝝱 𝝲 𝝳 𝝴 𝝵 𝝶 𝝷 𝝸 𝝹 𝝺 𝝻 𝝼 𝝽 𝝿 𝞀 𝞁 𝞂 𝞃 𝞄 𝞅 𝞆 𝞇 𝞈 𝞉 𝞊 𝞋 𝞌 𝞍 𝞎 𝞏 𝞐 𝞑 𝞒 𝞓 𝞔 𝞕 𝞖 𝞗 𝞘 𝞙 𝞚 𝞛 𝞜 𝞝 𝞟 𝞠 𝞡 𝞢 𝞣 𝞤 𝞥 𝞦 𝞧 𝞨 𝞩 𝞪 𝞫 𝞬 𝞭 𝞮 𝞯 𝞰 𝞱 𝞲 𝞳 𝞴 𝞵 𝞶 𝞷 𝞹 𝞺 𝞻 𝞼 𝞽 𝞾 𝞿 𝟀 𝟁 𝟂 𝟃 𝟄 𝟅 𝟆 𝟇 𝟈 𝟉 𝟊 𝟋</t>
        </is>
      </c>
      <c r="R483" s="43" t="inlineStr">
        <is>
          <t>𝜅 𝜆 𝜇 𝜉 𝜋 𝜍 𝜏 𝜑 𝜒 𝜓 𝜔 𝜕 𝜖 𝜗 𝜘 𝜙 𝜛 𝜞 𝜟 𝜣 𝜦 𝜩 𝜫 𝜭 𝜮 𝜱 𝜳 𝜴 𝜵 𝜷 𝜹 𝜺 𝜻 𝜼 𝜽 𝜿 𝝀 𝝁 𝝃 𝝅 𝝇 𝝉 𝝋 𝝌 𝝍 𝝎 𝝏 𝝐 𝝑 𝝒 𝝓 𝝕</t>
        </is>
      </c>
      <c r="S483" s="40" t="n"/>
      <c r="V483" s="14">
        <f>(LEN(O483)+1)/2</f>
        <v/>
      </c>
      <c r="W483" s="14">
        <f>ROUNDDOWN((LEN(P483)+1)/2,0)</f>
        <v/>
      </c>
      <c r="X483" s="14">
        <f>ROUNDDOWN((LEN(Q483)+1)/2,0)</f>
        <v/>
      </c>
      <c r="Y483" s="14">
        <f>ROUNDDOWN((LEN(R483)+1)/2,0)</f>
        <v/>
      </c>
      <c r="Z483" s="14">
        <f>ROUNDDOWN((LEN(S483)+1)/2,0)</f>
        <v/>
      </c>
      <c r="AA483" s="56" t="n">
        <v>46150.55869756057</v>
      </c>
    </row>
    <row r="484" ht="89.25" customHeight="1">
      <c r="B484" s="46" t="inlineStr">
        <is>
          <t>U+1D800-U+1D8DF</t>
        </is>
      </c>
      <c r="C484" s="46" t="inlineStr">
        <is>
          <t>Sutton SignWriting</t>
        </is>
      </c>
      <c r="D484" s="54">
        <f>HEX2DEC(MID(B484,3,FIND("-",E484)-3))</f>
        <v/>
      </c>
      <c r="E484" s="46" t="inlineStr">
        <is>
          <t>U+1D800-U+1DAAF</t>
        </is>
      </c>
      <c r="F484" s="12" t="n">
        <v>4</v>
      </c>
      <c r="J484" s="19">
        <f>ROUNDDOWN(W484,0)/$V484</f>
        <v/>
      </c>
      <c r="K484" s="19">
        <f>ROUNDDOWN(X484,0)/$V484</f>
        <v/>
      </c>
      <c r="L484" s="19">
        <f>ROUNDDOWN(Y484,0)/$V484</f>
        <v/>
      </c>
      <c r="M484" s="19">
        <f>ROUNDDOWN(Z484,0)/$V484</f>
        <v/>
      </c>
      <c r="O484" s="36" t="inlineStr">
        <is>
          <t>𝠀 𝠁 𝠂 𝠃 𝠄 𝠅 𝠆 𝠇 𝠈 𝠉 𝠊 𝠋 𝠌 𝠍 𝠎 𝠏 𝠐 𝠑 𝠒 𝠓 𝠔 𝠕 𝠖 𝠗 𝠘 𝠙 𝠚 𝠛 𝠜 𝠝 𝠞 𝠟 𝠠 𝠡 𝠢 𝠣 𝠤 𝠥 𝠦 𝠧 𝠨 𝠩 𝠪 𝠫 𝠬 𝠭 𝠮 𝠯 𝠰 𝠱 𝠲 𝠳 𝠴 𝠵 𝠶 𝠷 𝠸 𝠹 𝠺 𝠻 𝠼 𝠽 𝠾 𝠿 𝡀 𝡁 𝡂 𝡃 𝡄 𝡅 𝡆 𝡇 𝡈 𝡉 𝡊 𝡋 𝡌 𝡍 𝡎 𝡏 𝡐 𝡑 𝡒 𝡓 𝡔 𝡕 𝡖 𝡗 𝡘 𝡙 𝡚 𝡛 𝡜 𝡝 𝡞 𝡟 𝡠 𝡡 𝡢 𝡣 𝡤 𝡥 𝡦 𝡧 𝡨 𝡩 𝡪 𝡫 𝡬 𝡭 𝡮 𝡯 𝡰 𝡱 𝡲 𝡳 𝡴 𝡵 𝡶 𝡷 𝡸 𝡹 𝡺 𝡻 𝡼 𝡽 𝡾 𝡿 𝢀 𝢁 𝢂 𝢃 𝢄 𝢅 𝢆 𝢇 𝢈 𝢉 𝢊 𝢋 𝢌 𝢍 𝢎 𝢏 𝢐 𝢑 𝢒 𝢓 𝢔 𝢕 𝢖 𝢗 𝢘 𝢙 𝢚 𝢛 𝢜 𝢝 𝢞 𝢟 𝢠 𝢡 𝢢 𝢣 𝢤 𝢥 𝢦 𝢧 𝢨 𝢩 𝢪 𝢫 𝢬 𝢭 𝢮 𝢯 𝢰 𝢱 𝢲 𝢳 𝢴 𝢵 𝢶 𝢷 𝢸 𝢹 𝢺 𝢻 𝢼 𝢽 𝢾 𝢿 𝣀 𝣁 𝣂 𝣃 𝣄 𝣅 𝣆 𝣇 𝣈 𝣉 𝣊 𝣋 𝣌 𝣍 𝣎 𝣏 𝣐 𝣑 𝣒 𝣓 𝣔 𝣕 𝣖 𝣗 𝣘 𝣙 𝣚 𝣛 𝣜 𝣝 𝣞 𝣟</t>
        </is>
      </c>
      <c r="P484" s="37" t="inlineStr">
        <is>
          <t>𝠀 𝠁 𝠂 𝠃 𝠄 𝠅 𝠆 𝠇 𝠈 𝠉 𝠊 𝠋 𝠌 𝠍 𝠎 𝠏 𝠐 𝠑 𝠒 𝠓 𝠔 𝠕 𝠖 𝠗 𝠘 𝠙 𝠚 𝠛 𝠜 𝠝 𝠞 𝠟 𝠠 𝠡 𝠢 𝠣 𝠤 𝠥 𝠦 𝠧 𝠨 𝠩 𝠪 𝠫 𝠬 𝠭 𝠮 𝠯 𝠰 𝠱 𝠲 𝠳 𝠴 𝠵 𝠶 𝠷 𝠸 𝠹 𝠺 𝠻 𝠼 𝠽 𝠾 𝠿 𝡀 𝡁 𝡂 𝡃 𝡄 𝡅 𝡆 𝡇 𝡈 𝡉 𝡊 𝡋 𝡌 𝡍 𝡎 𝡏 𝡐 𝡑 𝡒 𝡓 𝡔 𝡕 𝡖 𝡗 𝡘 𝡙 𝡚 𝡛 𝡜 𝡝 𝡞 𝡟 𝡠 𝡡 𝡢 𝡣 𝡤 𝡥 𝡦 𝡧 𝡨 𝡩 𝡪 𝡫 𝡬 𝡭 𝡮 𝡯 𝡰 𝡱 𝡲 𝡳 𝡴 𝡵 𝡶 𝡷 𝡸 𝡹 𝡺 𝡻 𝡼 𝡽 𝡾 𝡿 𝢀 𝢁 𝢂 𝢃 𝢄 𝢅 𝢆 𝢇 𝢈 𝢉 𝢊 𝢋 𝢌 𝢍 𝢎 𝢏 𝢐 𝢑 𝢒 𝢓 𝢔 𝢕 𝢖 𝢗 𝢘 𝢙 𝢚 𝢛 𝢜 𝢝 𝢞 𝢟 𝢠 𝢡 𝢢 𝢣 𝢤 𝢥 𝢦 𝢧 𝢨 𝢩 𝢪 𝢫 𝢬 𝢭 𝢮 𝢯 𝢰 𝢱 𝢲 𝢳 𝢴 𝢵 𝢶 𝢷 𝢸 𝢹 𝢺 𝢻 𝢼 𝢽 𝢾 𝢿 𝣀 𝣁 𝣂 𝣃 𝣄 𝣅 𝣆 𝣇 𝣈 𝣉 𝣊 𝣋 𝣌 𝣍 𝣎 𝣏 𝣐 𝣑 𝣒 𝣓 𝣔 𝣕 𝣖 𝣗 𝣘 𝣙 𝣚 𝣛 𝣜 𝣝 𝣞 𝣟</t>
        </is>
      </c>
      <c r="Q484" s="38" t="inlineStr">
        <is>
          <t>𝠀 𝠁 𝠂 𝠃 𝠄 𝠅 𝠆 𝠇 𝠈 𝠉 𝠊 𝠋 𝠌 𝠍 𝠎 𝠏 𝠐 𝠑 𝠒 𝠓 𝠔 𝠕 𝠖 𝠗 𝠘 𝠙 𝠜 𝠝 𝠞 𝠟 𝠠 𝠡 𝠢 𝠣 𝠤 𝠥 𝠦 𝠧 𝠨 𝠩 𝠪 𝠫 𝠬 𝠭 𝠮 𝠯 𝠰 𝠱 𝠲 𝠴 𝠵 𝠶 𝠷 𝠸 𝠹 𝠺 𝠻 𝠼 𝠽 𝠾 𝠿 𝡀 𝡂 𝡃 𝡄 𝡅 𝡆 𝡇 𝡈 𝡉 𝡊 𝡋 𝡌 𝡍 𝡎 𝡏 𝡐 𝡑 𝡒 𝡓 𝡕 𝡖 𝡗 𝡘 𝡙 𝡚 𝡛 𝡜 𝡝 𝡞 𝡟 𝡠 𝡡 𝡢 𝡣 𝡤 𝡥 𝡦 𝡧 𝡨 𝡩 𝡪 𝡫 𝡬 𝡮 𝡯 𝡰 𝡱 𝡲 𝡳 𝡴 𝡶 𝡷 𝡸 𝡹 𝡺 𝡻 𝡼 𝡽 𝡿 𝢀 𝢁 𝢂 𝢃 𝢄 𝢅 𝢆 𝢇 𝢈 𝢉 𝢊 𝢋 𝢌 𝢍 𝢎 𝢏 𝢐 𝢑 𝢒 𝢓 𝢔 𝢕 𝢖 𝢗 𝢘 𝢙 𝢚 𝢛 𝢜 𝢝 𝢞 𝢟 𝢠 𝢡 𝢢 𝢣 𝢤 𝢥 𝢦 𝢧 𝢨 𝢩 𝢪 𝢫 𝢬 𝢭 𝢮 𝢯 𝢰 𝢱 𝢲 𝢳 𝢴 𝢵 𝢶 𝢷 𝢸 𝢹 𝢺 𝢻 𝢼 𝢽 𝢾 𝢿 𝣀 𝣁 𝣂 𝣃 𝣄 𝣅 𝣆 𝣇 𝣈 𝣉 𝣊 𝣋 𝣌 𝣍 𝣎 𝣏 𝣐 𝣑 𝣒 𝣓 𝣔 𝣕 𝣖 𝣗 𝣘 𝣙 𝣚 𝣛 𝣜 𝣝 𝣞 𝣟</t>
        </is>
      </c>
      <c r="R484" s="43" t="inlineStr"/>
      <c r="S484" s="40" t="n"/>
      <c r="V484" s="14">
        <f>(LEN(O484)+1)/2</f>
        <v/>
      </c>
      <c r="W484" s="14">
        <f>ROUNDDOWN((LEN(P484)+1)/2,0)</f>
        <v/>
      </c>
      <c r="X484" s="14">
        <f>ROUNDDOWN((LEN(Q484)+1)/2,0)</f>
        <v/>
      </c>
      <c r="Y484" s="14">
        <f>ROUNDDOWN((LEN(R484)+1)/2,0)</f>
        <v/>
      </c>
      <c r="Z484" s="14">
        <f>ROUNDDOWN((LEN(S484)+1)/2,0)</f>
        <v/>
      </c>
      <c r="AA484" s="56" t="n">
        <v>46150.55869851093</v>
      </c>
    </row>
    <row r="485" ht="89.25" customHeight="1">
      <c r="B485" s="46" t="inlineStr">
        <is>
          <t>U+1D8E0-U+1D9BF</t>
        </is>
      </c>
      <c r="C485" s="46" t="inlineStr">
        <is>
          <t>Sutton SignWriting</t>
        </is>
      </c>
      <c r="D485" s="54">
        <f>HEX2DEC(MID(B485,3,FIND("-",E485)-3))</f>
        <v/>
      </c>
      <c r="E485" s="46" t="inlineStr">
        <is>
          <t>U+1D800-U+1DAAF</t>
        </is>
      </c>
      <c r="F485" s="12" t="n">
        <v>4</v>
      </c>
      <c r="J485" s="19">
        <f>ROUNDDOWN(W485,0)/$V485</f>
        <v/>
      </c>
      <c r="K485" s="19">
        <f>ROUNDDOWN(X485,0)/$V485</f>
        <v/>
      </c>
      <c r="L485" s="19">
        <f>ROUNDDOWN(Y485,0)/$V485</f>
        <v/>
      </c>
      <c r="M485" s="19">
        <f>ROUNDDOWN(Z485,0)/$V485</f>
        <v/>
      </c>
      <c r="O485" s="36" t="inlineStr">
        <is>
          <t>𝣠 𝣡 𝣢 𝣣 𝣤 𝣥 𝣦 𝣧 𝣨 𝣩 𝣪 𝣫 𝣬 𝣭 𝣮 𝣯 𝣰 𝣱 𝣲 𝣳 𝣴 𝣵 𝣶 𝣷 𝣸 𝣹 𝣺 𝣻 𝣼 𝣽 𝣾 𝣿 𝤀 𝤁 𝤂 𝤃 𝤄 𝤅 𝤆 𝤇 𝤈 𝤉 𝤊 𝤋 𝤌 𝤍 𝤎 𝤏 𝤐 𝤑 𝤒 𝤓 𝤔 𝤕 𝤖 𝤗 𝤘 𝤙 𝤚 𝤛 𝤜 𝤝 𝤞 𝤟 𝤠 𝤡 𝤢 𝤣 𝤤 𝤥 𝤦 𝤧 𝤨 𝤩 𝤪 𝤫 𝤬 𝤭 𝤮 𝤯 𝤰 𝤱 𝤲 𝤳 𝤴 𝤵 𝤶 𝤷 𝤸 𝤹 𝤺 𝤻 𝤼 𝤽 𝤾 𝤿 𝥀 𝥁 𝥂 𝥃 𝥄 𝥅 𝥆 𝥇 𝥈 𝥉 𝥊 𝥋 𝥌 𝥍 𝥎 𝥏 𝥐 𝥑 𝥒 𝥓 𝥔 𝥕 𝥖 𝥗 𝥘 𝥙 𝥚 𝥛 𝥜 𝥝 𝥞 𝥟 𝥠 𝥡 𝥢 𝥣 𝥤 𝥥 𝥦 𝥧 𝥨 𝥩 𝥪 𝥫 𝥬 𝥭 𝥮 𝥯 𝥰 𝥱 𝥲 𝥳 𝥴 𝥵 𝥶 𝥷 𝥸 𝥹 𝥺 𝥻 𝥼 𝥽 𝥾 𝥿 𝦀 𝦁 𝦂 𝦃 𝦄 𝦅 𝦆 𝦇 𝦈 𝦉 𝦊 𝦋 𝦌 𝦍 𝦎 𝦏 𝦐 𝦑 𝦒 𝦓 𝦔 𝦕 𝦖 𝦗 𝦘 𝦙 𝦚 𝦛 𝦜 𝦝 𝦞 𝦟 𝦠 𝦡 𝦢 𝦣 𝦤 𝦥 𝦦 𝦧 𝦨 𝦩 𝦪 𝦫 𝦬 𝦭 𝦮 𝦯 𝦰 𝦱 𝦲 𝦳 𝦴 𝦵 𝦶 𝦷 𝦸 𝦹 𝦺 𝦻 𝦼 𝦽 𝦾 𝦿</t>
        </is>
      </c>
      <c r="P485" s="37" t="inlineStr">
        <is>
          <t>𝣠 𝣡 𝣢 𝣣 𝣤 𝣥 𝣦 𝣧 𝣨 𝣩 𝣪 𝣫 𝣬 𝣭 𝣮 𝣯 𝣰 𝣱 𝣲 𝣳 𝣴 𝣵 𝣶 𝣷 𝣸 𝣹 𝣺 𝣻 𝣼 𝣽 𝣾 𝣿 𝤀 𝤁 𝤂 𝤃 𝤄 𝤅 𝤆 𝤇 𝤈 𝤉 𝤊 𝤋 𝤌 𝤍 𝤎 𝤏 𝤐 𝤑 𝤒 𝤓 𝤔 𝤕 𝤖 𝤗 𝤘 𝤙 𝤚 𝤛 𝤜 𝤝 𝤞 𝤟 𝤠 𝤡 𝤢 𝤣 𝤤 𝤥 𝤦 𝤧 𝤨 𝤩 𝤪 𝤫 𝤬 𝤭 𝤮 𝤯 𝤰 𝤱 𝤲 𝤳 𝤴 𝤵 𝤶 𝤷 𝤸 𝤹 𝤺 𝤻 𝤼 𝤽 𝤾 𝤿 𝥀 𝥁 𝥂 𝥃 𝥄 𝥅 𝥆 𝥇 𝥈 𝥉 𝥊 𝥋 𝥌 𝥍 𝥎 𝥏 𝥐 𝥑 𝥒 𝥓 𝥔 𝥕 𝥖 𝥗 𝥘 𝥙 𝥚 𝥛 𝥜 𝥝 𝥞 𝥟 𝥠 𝥡 𝥢 𝥣 𝥤 𝥥 𝥦 𝥧 𝥨 𝥩 𝥪 𝥫 𝥬 𝥭 𝥮 𝥯 𝥰 𝥱 𝥲 𝥳 𝥴 𝥵 𝥶 𝥷 𝥸 𝥹 𝥺 𝥻 𝥼 𝥽 𝥾 𝥿 𝦀 𝦁 𝦂 𝦃 𝦄 𝦅 𝦆 𝦇 𝦈 𝦉 𝦊 𝦋 𝦌 𝦍 𝦎 𝦏 𝦐 𝦑 𝦒 𝦓 𝦔 𝦕 𝦖 𝦗 𝦘 𝦙 𝦚 𝦛 𝦜 𝦝 𝦞 𝦟 𝦠 𝦡 𝦢 𝦣 𝦤 𝦥 𝦦 𝦧 𝦨 𝦩 𝦪 𝦫 𝦬 𝦭 𝦮 𝦯 𝦰 𝦱 𝦲 𝦳 𝦴 𝦵 𝦶 𝦷 𝦸 𝦹 𝦺 𝦻 𝦼 𝦽 𝦾 𝦿</t>
        </is>
      </c>
      <c r="Q485" s="38" t="inlineStr">
        <is>
          <t>𝣠 𝣡 𝣢 𝣣 𝣤 𝣥 𝣦 𝣧 𝣨 𝣩 𝣪 𝣫 𝣬 𝣮 𝣲 𝣳 𝣴 𝣵 𝣶 𝣷 𝣸 𝣹 𝣺 𝣻 𝣼 𝣽 𝣾 𝣿 𝤀 𝤁 𝤂 𝤃 𝤄 𝤅 𝤆 𝤇 𝤈 𝤉 𝤊 𝤋 𝤌 𝤍 𝤎 𝤏 𝤐 𝤑 𝤒 𝤓 𝤔 𝤕 𝤖 𝤘 𝤚 𝤛 𝤝 𝤟 𝤠 𝤡 𝤣 𝤥 𝤧 𝤨 𝤩 𝤪 𝤭 𝤮 𝤯 𝤰 𝤱 𝤲 𝤳 𝤴 𝤵 𝤶 𝤷 𝤸 𝤻 𝤾 𝤿 𝥂 𝥅 𝥈 𝥋 𝥌 𝥍 𝥎 𝥏 𝥐 𝥑 𝥒 𝥓 𝥕 𝥘 𝥙 𝥜 𝥝 𝥠 𝥡 𝥤 𝥥 𝥨 𝥩 𝥪 𝥫 𝥬 𝥭 𝥮 𝥯 𝥰 𝥱 𝥲 𝥳 𝥴 𝥷 𝥸 𝥻 𝥾 𝦁 𝦂 𝦃 𝦄 𝦅 𝦆 𝦇 𝦈 𝦋 𝦌 𝦏 𝦐 𝦒 𝦕 𝦙 𝦟 𝦠 𝦢 𝦣 𝦤 𝦥 𝦦 𝦧 𝦨 𝦩 𝦪 𝦫 𝦬 𝦭 𝦮 𝦯 𝦰 𝦱 𝦲 𝦳 𝦴 𝦷 𝦹 𝦽 𝦿</t>
        </is>
      </c>
      <c r="R485" s="43" t="inlineStr"/>
      <c r="S485" s="40" t="n"/>
      <c r="V485" s="14">
        <f>(LEN(O485)+1)/2</f>
        <v/>
      </c>
      <c r="W485" s="14">
        <f>ROUNDDOWN((LEN(P485)+1)/2,0)</f>
        <v/>
      </c>
      <c r="X485" s="14">
        <f>ROUNDDOWN((LEN(Q485)+1)/2,0)</f>
        <v/>
      </c>
      <c r="Y485" s="14">
        <f>ROUNDDOWN((LEN(R485)+1)/2,0)</f>
        <v/>
      </c>
      <c r="Z485" s="14">
        <f>ROUNDDOWN((LEN(S485)+1)/2,0)</f>
        <v/>
      </c>
      <c r="AA485" s="56" t="n">
        <v>46150.55869923341</v>
      </c>
    </row>
    <row r="486" ht="89.25" customHeight="1">
      <c r="B486" s="46" t="inlineStr">
        <is>
          <t>U+1D9C0-U+1DAAF</t>
        </is>
      </c>
      <c r="C486" s="46" t="inlineStr">
        <is>
          <t>Sutton SignWriting</t>
        </is>
      </c>
      <c r="D486" s="54">
        <f>HEX2DEC(MID(B486,3,FIND("-",E486)-3))</f>
        <v/>
      </c>
      <c r="E486" s="46" t="inlineStr">
        <is>
          <t>U+1D800-U+1DAAF</t>
        </is>
      </c>
      <c r="F486" s="12" t="n">
        <v>4</v>
      </c>
      <c r="J486" s="19">
        <f>ROUNDDOWN(W486,0)/$V486</f>
        <v/>
      </c>
      <c r="K486" s="19">
        <f>ROUNDDOWN(X486,0)/$V486</f>
        <v/>
      </c>
      <c r="L486" s="19">
        <f>ROUNDDOWN(Y486,0)/$V486</f>
        <v/>
      </c>
      <c r="M486" s="19">
        <f>ROUNDDOWN(Z486,0)/$V486</f>
        <v/>
      </c>
      <c r="O486" s="36" t="inlineStr">
        <is>
          <t>𝧀 𝧁 𝧂 𝧃 𝧄 𝧅 𝧆 𝧇 𝧈 𝧉 𝧊 𝧋 𝧌 𝧍 𝧎 𝧏 𝧐 𝧑 𝧒 𝧓 𝧔 𝧕 𝧖 𝧗 𝧘 𝧙 𝧚 𝧛 𝧜 𝧝 𝧞 𝧟 𝧠 𝧡 𝧢 𝧣 𝧤 𝧥 𝧦 𝧧 𝧨 𝧩 𝧪 𝧫 𝧬 𝧭 𝧮 𝧯 𝧰 𝧱 𝧲 𝧳 𝧴 𝧵 𝧶 𝧷 𝧸 𝧹 𝧺 𝧻 𝧼 𝧽 𝧾 𝧿 𝨀 𝨁 𝨂 𝨃 𝨄 𝨅 𝨆 𝨇 𝨈 𝨉 𝨊 𝨋 𝨌 𝨍 𝨎 𝨏 𝨐 𝨑 𝨒 𝨓 𝨔 𝨕 𝨖 𝨗 𝨘 𝨙 𝨚 𝨛 𝨜 𝨝 𝨞 𝨟 𝨠 𝨡 𝨢 𝨣 𝨤 𝨥 𝨦 𝨧 𝨨 𝨩 𝨪 𝨫 𝨬 𝨭 𝨮 𝨯 𝨰 𝨱 𝨲 𝨳 𝨴 𝨵 𝨶 𝨷 𝨸 𝨹 𝨺 𝨻 𝨼 𝨽 𝨾 𝨿 𝩀 𝩁 𝩂 𝩃 𝩄 𝩅 𝩆 𝩇 𝩈 𝩉 𝩊 𝩋 𝩌 𝩍 𝩎 𝩏 𝩐 𝩑 𝩒 𝩓 𝩔 𝩕 𝩖 𝩗 𝩘 𝩙 𝩚 𝩛 𝩜 𝩝 𝩞 𝩟 𝩠 𝩡 𝩢 𝩣 𝩤 𝩥 𝩦 𝩧 𝩨 𝩩 𝩪 𝩫 𝩬 𝩭 𝩮 𝩯 𝩰 𝩱 𝩲 𝩳 𝩴 𝩵 𝩶 𝩷 𝩸 𝩹 𝩺 𝩻 𝩼 𝩽 𝩾 𝩿 𝪀 𝪁 𝪂 𝪃 𝪄 𝪅 𝪆 𝪇 𝪈 𝪉 𝪊 𝪋 𝪛 𝪜 𝪝 𝪞 𝪟 𝪡 𝪢 𝪣 𝪤 𝪥 𝪦 𝪧 𝪨 𝪩 𝪪 𝪫 𝪬 𝪭 𝪮 𝪯</t>
        </is>
      </c>
      <c r="P486" s="37" t="inlineStr">
        <is>
          <t>𝧀 𝧁 𝧂 𝧃 𝧄 𝧅 𝧆 𝧇 𝧈 𝧉 𝧊 𝧋 𝧌 𝧍 𝧎 𝧏 𝧐 𝧑 𝧒 𝧓 𝧔 𝧕 𝧖 𝧗 𝧘 𝧙 𝧚 𝧛 𝧜 𝧝 𝧞 𝧟 𝧠 𝧡 𝧢 𝧣 𝧤 𝧥 𝧦 𝧧 𝧨 𝧩 𝧪 𝧫 𝧬 𝧭 𝧮 𝧯 𝧰 𝧱 𝧲 𝧳 𝧴 𝧵 𝧶 𝧷 𝧸 𝧹 𝧺 𝧻 𝧼 𝧽 𝧾 𝧿 𝨷 𝨸 𝨹 𝨺 𝩭 𝩮 𝩯 𝩰 𝩱 𝩲 𝩳 𝩴 𝩶 𝩷 𝩸 𝩹 𝩺 𝩻 𝩼 𝩽 𝩾 𝩿 𝪀 𝪁 𝪂 𝪃 𝪅 𝪆 𝪇 𝪈 𝪉 𝪊 𝪋</t>
        </is>
      </c>
      <c r="Q486" s="38" t="inlineStr">
        <is>
          <t>𝧀 𝧁 𝧃 𝧄 𝧅 𝧆 𝧈 𝧌 𝧎 𝧐 𝧒 𝧓 𝧔 𝧕 𝧘 𝧙 𝧚 𝧛 𝧜 𝧝 𝧟 𝧠 𝧡 𝧢 𝧣 𝧥 𝧧 𝧪 𝧭 𝧮 𝧯 𝧰 𝧱 𝧲 𝧳 𝧴 𝧵 𝧷 𝧸 𝧹 𝧺 𝧻 𝧼 𝧽 𝧾 𝧿 𝨷 𝨸 𝨹 𝨺 𝩭 𝩮 𝩯 𝩰 𝩱 𝩲 𝩳 𝩴 𝩶 𝩷 𝩸 𝩹 𝩺 𝩻 𝩼 𝩽 𝩾 𝩿 𝪀 𝪁 𝪂 𝪃 𝪅 𝪆 𝪇 𝪈 𝪉 𝪊 𝪋</t>
        </is>
      </c>
      <c r="R486" s="43" t="inlineStr"/>
      <c r="S486" s="40" t="n"/>
      <c r="V486" s="14">
        <f>(LEN(O486)+1)/2</f>
        <v/>
      </c>
      <c r="W486" s="14">
        <f>ROUNDDOWN((LEN(P486)+1)/2,0)</f>
        <v/>
      </c>
      <c r="X486" s="14">
        <f>ROUNDDOWN((LEN(Q486)+1)/2,0)</f>
        <v/>
      </c>
      <c r="Y486" s="14">
        <f>ROUNDDOWN((LEN(R486)+1)/2,0)</f>
        <v/>
      </c>
      <c r="Z486" s="14">
        <f>ROUNDDOWN((LEN(S486)+1)/2,0)</f>
        <v/>
      </c>
      <c r="AA486" s="56" t="n">
        <v>46150.55869966428</v>
      </c>
    </row>
    <row r="487" ht="25.5" customHeight="1">
      <c r="B487" s="46" t="inlineStr">
        <is>
          <t>U+1DF00-U+1DF2A</t>
        </is>
      </c>
      <c r="C487" s="46" t="inlineStr">
        <is>
          <t>Latin Extended-G</t>
        </is>
      </c>
      <c r="D487" s="54">
        <f>HEX2DEC(MID(B487,3,FIND("-",E487)-3))</f>
        <v/>
      </c>
      <c r="E487" s="46" t="inlineStr">
        <is>
          <t>U+1DF00-U+1DFFF</t>
        </is>
      </c>
      <c r="F487" s="12" t="n">
        <v>4</v>
      </c>
      <c r="J487" s="19">
        <f>ROUNDDOWN(W487,0)/$V487</f>
        <v/>
      </c>
      <c r="K487" s="19">
        <f>ROUNDDOWN(X487,0)/$V487</f>
        <v/>
      </c>
      <c r="L487" s="19">
        <f>ROUNDDOWN(Y487,0)/$V487</f>
        <v/>
      </c>
      <c r="M487" s="19">
        <f>ROUNDDOWN(Z487,0)/$V487</f>
        <v/>
      </c>
      <c r="O487" s="36" t="inlineStr">
        <is>
          <t>𝼀 𝼁 𝼂 𝼃 𝼄 𝼅 𝼆 𝼇 𝼈 𝼉 𝼊 𝼋 𝼌 𝼍 𝼎 𝼏 𝼐 𝼑 𝼒 𝼓 𝼔 𝼕 𝼖 𝼗 𝼘 𝼙 𝼚 𝼛 𝼜 𝼝 𝼞 𝼥 𝼦 𝼧 𝼨 𝼩 𝼪</t>
        </is>
      </c>
      <c r="P487" s="37" t="inlineStr">
        <is>
          <t>𝼀 𝼁 𝼂 𝼃 𝼄 𝼅 𝼆 𝼇 𝼈 𝼉 𝼊 𝼋 𝼌 𝼍 𝼎 𝼏 𝼐 𝼑 𝼒 𝼓 𝼔 𝼕 𝼖 𝼗 𝼘 𝼙 𝼚 𝼛 𝼜 𝼝 𝼞 𝼥 𝼦 𝼧 𝼨 𝼩 𝼪</t>
        </is>
      </c>
      <c r="Q487" s="38" t="inlineStr">
        <is>
          <t>𝼁 𝼂 𝼃 𝼇 𝼐</t>
        </is>
      </c>
      <c r="R487" s="43" t="inlineStr">
        <is>
          <t>𝼁 𝼂 𝼃 𝼇 𝼐</t>
        </is>
      </c>
      <c r="S487" s="40" t="n"/>
      <c r="T487" s="41" t="inlineStr">
        <is>
          <t>𝼀 𝼁 𝼂 𝼃 𝼄 𝼅 𝼆 𝼇 𝼈 𝼉 𝼊 𝼋 𝼌 𝼍 𝼎 𝼏 𝼐 𝼑 𝼒 𝼓 𝼔 𝼕 𝼖 𝼗 𝼘 𝼙 𝼚 𝼛 𝼜 𝼝 𝼞 𝼥 𝼦 𝼧 𝼨 𝼩 𝼪</t>
        </is>
      </c>
      <c r="U487" s="42" t="inlineStr">
        <is>
          <t>𝼁 𝼃 𝼇 𝼂 𝼐 𝼚 𝼓 𝼑 𝼖 𝼉 𝼈 𝼥 𝼦 𝼧 𝼨 𝼩 𝼪 𝼒 𝼔 𝼘 𝼕 𝼗 𝼝 𝼛 𝼙 𝼅 𝼜 𝼊 𝼋 𝼌 𝼆 𝼄 𝼞 𝼍 𝼎 𝼏 𝼀</t>
        </is>
      </c>
      <c r="V487" s="14">
        <f>(LEN(O487)+1)/2</f>
        <v/>
      </c>
      <c r="W487" s="14">
        <f>ROUNDDOWN((LEN(P487)+1)/2,0)</f>
        <v/>
      </c>
      <c r="X487" s="14">
        <f>ROUNDDOWN((LEN(Q487)+1)/2,0)</f>
        <v/>
      </c>
      <c r="Y487" s="14">
        <f>ROUNDDOWN((LEN(R487)+1)/2,0)</f>
        <v/>
      </c>
      <c r="Z487" s="14">
        <f>ROUNDDOWN((LEN(S487)+1)/2,0)</f>
        <v/>
      </c>
      <c r="AA487" s="56" t="n">
        <v>46150.5586998432</v>
      </c>
    </row>
    <row r="488" ht="25.5" customHeight="1">
      <c r="B488" s="46" t="inlineStr">
        <is>
          <t>U+1E000-U+1E02A</t>
        </is>
      </c>
      <c r="C488" s="46" t="inlineStr">
        <is>
          <t>Glagolitic Supplement</t>
        </is>
      </c>
      <c r="D488" s="54">
        <f>HEX2DEC(MID(B488,3,FIND("-",E488)-3))</f>
        <v/>
      </c>
      <c r="E488" s="46" t="inlineStr">
        <is>
          <t>U+1E000-U+1E02F</t>
        </is>
      </c>
      <c r="F488" s="12" t="n">
        <v>4</v>
      </c>
      <c r="J488" s="19">
        <f>ROUNDDOWN(W488,0)/$V488</f>
        <v/>
      </c>
      <c r="K488" s="19">
        <f>ROUNDDOWN(X488,0)/$V488</f>
        <v/>
      </c>
      <c r="L488" s="19">
        <f>ROUNDDOWN(Y488,0)/$V488</f>
        <v/>
      </c>
      <c r="M488" s="19">
        <f>ROUNDDOWN(Z488,0)/$V488</f>
        <v/>
      </c>
      <c r="O488" s="36" t="inlineStr">
        <is>
          <t>𝼀 𝼁 𝼂 𝼃 𝼄 𝼅 𝼆 𝼇 𝼈 𝼉 𝼊 𝼋 𝼌 𝼍 𝼎 𝼏 𝼐 𝼑 𝼒 𝼓 𝼔 𝼕 𝼖 𝼗 𝼘 𝼙 𝼚 𝼛 𝼜 𝼝 𝼞 𝼥 𝼦 𝼧 𝼨 𝼩 𝼪</t>
        </is>
      </c>
      <c r="P488" s="37" t="inlineStr">
        <is>
          <t>𝼀 𝼁 𝼂 𝼃 𝼄 𝼅 𝼆 𝼇 𝼈 𝼉 𝼊 𝼋 𝼌 𝼍 𝼎 𝼏 𝼐 𝼑 𝼒 𝼓 𝼔 𝼕 𝼖 𝼗 𝼘 𝼙 𝼚 𝼛 𝼜 𝼝 𝼞 𝼥 𝼦 𝼧 𝼨 𝼩 𝼪</t>
        </is>
      </c>
      <c r="Q488" s="38" t="inlineStr">
        <is>
          <t>𝼁 𝼂 𝼃 𝼇 𝼐</t>
        </is>
      </c>
      <c r="R488" s="43" t="inlineStr">
        <is>
          <t>𝼁 𝼂 𝼃 𝼇 𝼐</t>
        </is>
      </c>
      <c r="S488" s="40" t="n"/>
      <c r="V488" s="14">
        <f>(LEN(O488)+1)/2</f>
        <v/>
      </c>
      <c r="W488" s="14">
        <f>ROUNDDOWN((LEN(P488)+1)/2,0)</f>
        <v/>
      </c>
      <c r="X488" s="14">
        <f>ROUNDDOWN((LEN(Q488)+1)/2,0)</f>
        <v/>
      </c>
      <c r="Y488" s="14">
        <f>ROUNDDOWN((LEN(R488)+1)/2,0)</f>
        <v/>
      </c>
      <c r="Z488" s="14">
        <f>ROUNDDOWN((LEN(S488)+1)/2,0)</f>
        <v/>
      </c>
      <c r="AA488" s="56" t="n">
        <v>46150.55870002207</v>
      </c>
    </row>
    <row r="489" ht="25.5" customHeight="1">
      <c r="B489" s="46" t="inlineStr">
        <is>
          <t>U+1E030-U+1E08F</t>
        </is>
      </c>
      <c r="C489" s="46" t="inlineStr">
        <is>
          <t>Cyrillic Extended-D</t>
        </is>
      </c>
      <c r="D489" s="54">
        <f>HEX2DEC(MID(B489,3,FIND("-",E489)-3))</f>
        <v/>
      </c>
      <c r="E489" s="46" t="inlineStr">
        <is>
          <t>U+1E030-U+1E08F</t>
        </is>
      </c>
      <c r="F489" s="12" t="n">
        <v>4</v>
      </c>
      <c r="J489" s="19">
        <f>ROUNDDOWN(W489,0)/$V489</f>
        <v/>
      </c>
      <c r="K489" s="19">
        <f>ROUNDDOWN(X489,0)/$V489</f>
        <v/>
      </c>
      <c r="L489" s="19">
        <f>ROUNDDOWN(Y489,0)/$V489</f>
        <v/>
      </c>
      <c r="M489" s="19">
        <f>ROUNDDOWN(Z489,0)/$V489</f>
        <v/>
      </c>
      <c r="O489" s="36" t="inlineStr">
        <is>
          <t>𞀀 𞀁 𞀂 𞀃 𞀄 𞀅 𞀆 𞀈 𞀉 𞀊 𞀋 𞀌 𞀍 𞀎 𞀏 𞀐 𞀑 𞀒 𞀓 𞀔 𞀕 𞀖 𞀗 𞀘 𞀛 𞀜 𞀝 𞀞 𞀟 𞀠 𞀡 𞀣 𞀤 𞀦 𞀧 𞀨 𞀩 𞀪</t>
        </is>
      </c>
      <c r="P489" s="37" t="inlineStr"/>
      <c r="Q489" s="38" t="inlineStr"/>
      <c r="R489" t="inlineStr"/>
      <c r="V489" s="14">
        <f>(LEN(O489)+1)/2</f>
        <v/>
      </c>
      <c r="W489" s="14">
        <f>ROUNDDOWN((LEN(P489)+1)/2,0)</f>
        <v/>
      </c>
      <c r="X489" s="14">
        <f>ROUNDDOWN((LEN(Q489)+1)/2,0)</f>
        <v/>
      </c>
      <c r="Y489" s="14">
        <f>ROUNDDOWN((LEN(R489)+1)/2,0)</f>
        <v/>
      </c>
      <c r="Z489" s="14">
        <f>ROUNDDOWN((LEN(S489)+1)/2,0)</f>
        <v/>
      </c>
      <c r="AA489" s="56" t="n">
        <v>46150.55870002263</v>
      </c>
    </row>
    <row r="490" ht="25.5" customHeight="1">
      <c r="B490" s="46" t="inlineStr">
        <is>
          <t>U+1E100-U+1E14F</t>
        </is>
      </c>
      <c r="C490" s="46" t="inlineStr">
        <is>
          <t>Nyiakeng Puachue Hmong</t>
        </is>
      </c>
      <c r="D490" s="54">
        <f>HEX2DEC(MID(B490,3,FIND("-",E490)-3))</f>
        <v/>
      </c>
      <c r="E490" s="46" t="inlineStr">
        <is>
          <t>U+1E100-U+1E14F</t>
        </is>
      </c>
      <c r="F490" s="12" t="n">
        <v>4</v>
      </c>
      <c r="J490" s="19">
        <f>ROUNDDOWN(W490,0)/$V490</f>
        <v/>
      </c>
      <c r="K490" s="19">
        <f>ROUNDDOWN(X490,0)/$V490</f>
        <v/>
      </c>
      <c r="L490" s="19">
        <f>ROUNDDOWN(Y490,0)/$V490</f>
        <v/>
      </c>
      <c r="M490" s="19">
        <f>ROUNDDOWN(Z490,0)/$V490</f>
        <v/>
      </c>
      <c r="O490" s="36" t="inlineStr">
        <is>
          <t>𞀰 𞀱 𞀲 𞀳 𞀴 𞀵 𞀶 𞀷 𞀸 𞀹 𞀺 𞀻 𞀼 𞀽 𞀾 𞀿 𞁀 𞁁 𞁂 𞁃 𞁄 𞁅 𞁆 𞁇 𞁈 𞁉 𞁊 𞁋 𞁌 𞁍 𞁎 𞁏 𞁐 𞁑 𞁒 𞁓 𞁔 𞁕 𞁖 𞁗 𞁘 𞁙 𞁚 𞁛 𞁜 𞁝 𞁞 𞁟 𞁠 𞁡 𞁢 𞁣 𞁤 𞁥 𞁦 𞁧 𞁨 𞁩 𞁪 𞁫 𞁬 𞁭 𞂏</t>
        </is>
      </c>
      <c r="P490" s="37" t="inlineStr">
        <is>
          <t>𞀰 𞀱 𞀲 𞀳 𞀴 𞀵 𞀶 𞀷 𞀸 𞀹 𞀺 𞀻 𞀼 𞀽 𞀾 𞀿 𞁀 𞁁 𞁂 𞁃 𞁄 𞁅 𞁆 𞁇 𞁈 𞁉 𞁊 𞁋 𞁌 𞁍 𞁎 𞁏 𞁐 𞁑 𞁒 𞁓 𞁔 𞁕 𞁖 𞁗 𞁘 𞁙 𞁚 𞁛 𞁜 𞁝 𞁞 𞁟 𞁠 𞁡 𞁢 𞁣 𞁤 𞁥 𞁦 𞁧 𞁨 𞁩 𞁪 𞁫 𞁬 𞁭</t>
        </is>
      </c>
      <c r="Q490" s="38" t="inlineStr">
        <is>
          <t>𞀰 𞀱 𞀲 𞀳 𞀴 𞀵 𞀶 𞀷 𞀸 𞀹 𞀺 𞀻 𞀽 𞀾 𞀿 𞁀 𞁁 𞁂 𞁃 𞁄 𞁅 𞁆 𞁇 𞁈 𞁉 𞁊 𞁋 𞁌 𞁍 𞁏 𞁐 𞁑 𞁒 𞁓 𞁔 𞁕 𞁖 𞁗 𞁘 𞁙 𞁚 𞁛 𞁝 𞁞 𞁟 𞁠 𞁡 𞁢 𞁣 𞁤 𞁥 𞁦 𞁨 𞁩 𞁪</t>
        </is>
      </c>
      <c r="R490" s="43" t="inlineStr"/>
      <c r="S490" s="40" t="n"/>
      <c r="V490" s="14">
        <f>(LEN(O490)+1)/2</f>
        <v/>
      </c>
      <c r="W490" s="14">
        <f>ROUNDDOWN((LEN(P490)+1)/2,0)</f>
        <v/>
      </c>
      <c r="X490" s="14">
        <f>ROUNDDOWN((LEN(Q490)+1)/2,0)</f>
        <v/>
      </c>
      <c r="Y490" s="14">
        <f>ROUNDDOWN((LEN(R490)+1)/2,0)</f>
        <v/>
      </c>
      <c r="Z490" s="14">
        <f>ROUNDDOWN((LEN(S490)+1)/2,0)</f>
        <v/>
      </c>
      <c r="AA490" s="56" t="n">
        <v>46150.55870036323</v>
      </c>
    </row>
    <row r="491" ht="38.25" customHeight="1">
      <c r="B491" s="46" t="inlineStr">
        <is>
          <t>U+1E290-U+1E2AE</t>
        </is>
      </c>
      <c r="C491" s="46" t="inlineStr">
        <is>
          <t>Toto</t>
        </is>
      </c>
      <c r="D491" s="54">
        <f>HEX2DEC(MID(B491,3,FIND("-",E491)-3))</f>
        <v/>
      </c>
      <c r="E491" s="46" t="inlineStr">
        <is>
          <t>U+1E290-U+1E2BF</t>
        </is>
      </c>
      <c r="F491" s="12" t="n">
        <v>4</v>
      </c>
      <c r="J491" s="19">
        <f>ROUNDDOWN(W491,0)/$V491</f>
        <v/>
      </c>
      <c r="K491" s="19">
        <f>ROUNDDOWN(X491,0)/$V491</f>
        <v/>
      </c>
      <c r="L491" s="19">
        <f>ROUNDDOWN(Y491,0)/$V491</f>
        <v/>
      </c>
      <c r="M491" s="19">
        <f>ROUNDDOWN(Z491,0)/$V491</f>
        <v/>
      </c>
      <c r="O491" s="36" t="inlineStr">
        <is>
          <t>𞄀 𞄁 𞄂 𞄃 𞄄 𞄅 𞄆 𞄇 𞄈 𞄉 𞄊 𞄋 𞄌 𞄍 𞄎 𞄏 𞄐 𞄑 𞄒 𞄓 𞄔 𞄕 𞄖 𞄗 𞄘 𞄙 𞄚 𞄛 𞄜 𞄝 𞄞 𞄟 𞄠 𞄡 𞄢 𞄣 𞄤 𞄥 𞄦 𞄧 𞄨 𞄩 𞄪 𞄫 𞄬 𞄰 𞄱 𞄲 𞄳 𞄴 𞄵 𞄶 𞄷 𞄸 𞄹 𞄺 𞄻 𞄼 𞄽 𞅀 𞅁 𞅂 𞅃 𞅄 𞅅 𞅆 𞅇 𞅈 𞅉 𞅎 𞅏</t>
        </is>
      </c>
      <c r="P491" s="37" t="inlineStr">
        <is>
          <t>𞄀 𞄁 𞄂 𞄃 𞄄 𞄅 𞄆 𞄇 𞄈 𞄉 𞄊 𞄋 𞄌 𞄍 𞄎 𞄏 𞄐 𞄑 𞄒 𞄓 𞄔 𞄕 𞄖 𞄗 𞄘 𞄙 𞄚 𞄛 𞄜 𞄝 𞄞 𞄟 𞄠 𞄡 𞄢 𞄣 𞄤 𞄥 𞄦 𞄧 𞄨 𞄩 𞄪 𞄫 𞄬 𞄷 𞄸 𞄹 𞄺 𞄻 𞄼 𞄽 𞅀 𞅁 𞅂 𞅃 𞅄 𞅅 𞅆 𞅇 𞅈 𞅉 𞅎 𞅏</t>
        </is>
      </c>
      <c r="Q491" s="38" t="inlineStr">
        <is>
          <t>𞄀 𞄁 𞄂 𞄃 𞄄 𞄅 𞄆 𞄇 𞄈 𞄉 𞄊 𞄋 𞄌 𞄍 𞄎 𞄏 𞄐 𞄑 𞄒 𞄓 𞄔 𞄕 𞄖 𞄗 𞄘 𞄙 𞄚 𞄛 𞄜 𞄝 𞄞 𞄟 𞄠 𞄡 𞄢 𞄣 𞄤 𞄥 𞄦 𞄧 𞄩 𞄪 𞄫 𞄬 𞄷 𞄸 𞄹 𞄺 𞄻 𞄼 𞄽 𞅎 𞅏</t>
        </is>
      </c>
      <c r="R491" s="43" t="inlineStr"/>
      <c r="S491" s="40" t="n"/>
      <c r="V491" s="14">
        <f>(LEN(O491)+1)/2</f>
        <v/>
      </c>
      <c r="W491" s="14">
        <f>ROUNDDOWN((LEN(P491)+1)/2,0)</f>
        <v/>
      </c>
      <c r="X491" s="14">
        <f>ROUNDDOWN((LEN(Q491)+1)/2,0)</f>
        <v/>
      </c>
      <c r="Y491" s="14">
        <f>ROUNDDOWN((LEN(R491)+1)/2,0)</f>
        <v/>
      </c>
      <c r="Z491" s="14">
        <f>ROUNDDOWN((LEN(S491)+1)/2,0)</f>
        <v/>
      </c>
      <c r="AA491" s="56" t="n">
        <v>46150.55870069596</v>
      </c>
    </row>
    <row r="492" ht="25.5" customHeight="1">
      <c r="B492" s="46" t="inlineStr">
        <is>
          <t>U+1E2C0-U+1E2FF</t>
        </is>
      </c>
      <c r="C492" s="46" t="inlineStr">
        <is>
          <t>Wancho</t>
        </is>
      </c>
      <c r="D492" s="54">
        <f>HEX2DEC(MID(B492,3,FIND("-",E492)-3))</f>
        <v/>
      </c>
      <c r="E492" s="46" t="inlineStr">
        <is>
          <t>U+1E2C0-U+1E2FF</t>
        </is>
      </c>
      <c r="F492" s="12" t="n">
        <v>4</v>
      </c>
      <c r="J492" s="19">
        <f>ROUNDDOWN(W492,0)/$V492</f>
        <v/>
      </c>
      <c r="K492" s="19">
        <f>ROUNDDOWN(X492,0)/$V492</f>
        <v/>
      </c>
      <c r="L492" s="19">
        <f>ROUNDDOWN(Y492,0)/$V492</f>
        <v/>
      </c>
      <c r="M492" s="19">
        <f>ROUNDDOWN(Z492,0)/$V492</f>
        <v/>
      </c>
      <c r="O492" s="36" t="inlineStr">
        <is>
          <t>𞊐 𞊑 𞊒 𞊓 𞊔 𞊕 𞊖 𞊗 𞊘 𞊙 𞊚 𞊛 𞊜 𞊝 𞊞 𞊟 𞊠 𞊡 𞊢 𞊣 𞊤 𞊥 𞊦 𞊧 𞊨 𞊩 𞊪 𞊫 𞊬 𞊭 𞊮</t>
        </is>
      </c>
      <c r="P492" s="37" t="inlineStr">
        <is>
          <t>𞊐 𞊑 𞊒 𞊓 𞊔 𞊕 𞊖 𞊗 𞊘 𞊙 𞊚 𞊛 𞊜 𞊝 𞊞 𞊟 𞊠 𞊡 𞊢 𞊣 𞊤 𞊥 𞊦 𞊧 𞊨 𞊩 𞊪 𞊫 𞊬 𞊭</t>
        </is>
      </c>
      <c r="Q492" s="38" t="inlineStr">
        <is>
          <t>𞊐 𞊑 𞊒 𞊓 𞊔 𞊕 𞊖 𞊗 𞊘 𞊙 𞊚 𞊛 𞊜 𞊝 𞊞 𞊟 𞊠 𞊡 𞊢 𞊣 𞊤 𞊥 𞊦 𞊧 𞊨 𞊩 𞊭</t>
        </is>
      </c>
      <c r="R492" s="43" t="inlineStr"/>
      <c r="S492" s="40" t="n"/>
      <c r="V492" s="14">
        <f>(LEN(O492)+1)/2</f>
        <v/>
      </c>
      <c r="W492" s="14">
        <f>ROUNDDOWN((LEN(P492)+1)/2,0)</f>
        <v/>
      </c>
      <c r="X492" s="14">
        <f>ROUNDDOWN((LEN(Q492)+1)/2,0)</f>
        <v/>
      </c>
      <c r="Y492" s="14">
        <f>ROUNDDOWN((LEN(R492)+1)/2,0)</f>
        <v/>
      </c>
      <c r="Z492" s="14">
        <f>ROUNDDOWN((LEN(S492)+1)/2,0)</f>
        <v/>
      </c>
      <c r="AA492" s="56" t="n">
        <v>46150.55870093629</v>
      </c>
    </row>
    <row r="493" ht="25.5" customHeight="1">
      <c r="B493" s="46" t="inlineStr">
        <is>
          <t>U+1E4D0-U+1E4F9</t>
        </is>
      </c>
      <c r="C493" s="46" t="inlineStr">
        <is>
          <t>Nag Mundari</t>
        </is>
      </c>
      <c r="D493" s="54">
        <f>HEX2DEC(MID(B493,3,FIND("-",E493)-3))</f>
        <v/>
      </c>
      <c r="E493" s="46" t="inlineStr">
        <is>
          <t>U+1E4D0-U+1E4FF</t>
        </is>
      </c>
      <c r="F493" s="12" t="n">
        <v>4</v>
      </c>
      <c r="J493" s="19">
        <f>ROUNDDOWN(W493,0)/$V493</f>
        <v/>
      </c>
      <c r="K493" s="19">
        <f>ROUNDDOWN(X493,0)/$V493</f>
        <v/>
      </c>
      <c r="L493" s="19">
        <f>ROUNDDOWN(Y493,0)/$V493</f>
        <v/>
      </c>
      <c r="M493" s="19">
        <f>ROUNDDOWN(Z493,0)/$V493</f>
        <v/>
      </c>
      <c r="O493" s="36" t="inlineStr">
        <is>
          <t>𞋀 𞋁 𞋂 𞋃 𞋄 𞋅 𞋆 𞋇 𞋈 𞋉 𞋊 𞋋 𞋌 𞋍 𞋎 𞋏 𞋐 𞋑 𞋒 𞋓 𞋔 𞋕 𞋖 𞋗 𞋘 𞋙 𞋚 𞋛 𞋜 𞋝 𞋞 𞋟 𞋠 𞋡 𞋢 𞋣 𞋤 𞋥 𞋦 𞋧 𞋨 𞋩 𞋪 𞋫 𞋬 𞋭 𞋮 𞋯 𞋰 𞋱 𞋲 𞋳 𞋴 𞋵 𞋶 𞋷 𞋸 𞋹 𞋿</t>
        </is>
      </c>
      <c r="P493" s="37" t="inlineStr">
        <is>
          <t>𞋀 𞋁 𞋂 𞋃 𞋄 𞋅 𞋆 𞋇 𞋈 𞋉 𞋊 𞋋 𞋌 𞋍 𞋎 𞋏 𞋐 𞋑 𞋒 𞋓 𞋔 𞋕 𞋖 𞋗 𞋘 𞋙 𞋚 𞋛 𞋜 𞋝 𞋞 𞋟 𞋠 𞋡 𞋢 𞋣 𞋤 𞋥 𞋦 𞋧 𞋨 𞋩 𞋪 𞋫 𞋰 𞋱 𞋲 𞋳 𞋴 𞋵 𞋶 𞋷 𞋸 𞋹 𞋿</t>
        </is>
      </c>
      <c r="Q493" s="38" t="inlineStr">
        <is>
          <t>𞋀 𞋁 𞋂 𞋃 𞋄 𞋅 𞋆 𞋇 𞋈 𞋉 𞋊 𞋋 𞋌 𞋍 𞋎 𞋏 𞋐 𞋑 𞋒 𞋓 𞋔 𞋖 𞋗 𞋘 𞋙 𞋚 𞋛 𞋜 𞋝 𞋞 𞋟 𞋠 𞋡 𞋢 𞋣 𞋤 𞋥 𞋦 𞋧 𞋨 𞋩 𞋪 𞋫 𞋿</t>
        </is>
      </c>
      <c r="R493" s="43" t="inlineStr"/>
      <c r="S493" s="40" t="n"/>
      <c r="V493" s="14">
        <f>(LEN(O493)+1)/2</f>
        <v/>
      </c>
      <c r="W493" s="14">
        <f>ROUNDDOWN((LEN(P493)+1)/2,0)</f>
        <v/>
      </c>
      <c r="X493" s="14">
        <f>ROUNDDOWN((LEN(Q493)+1)/2,0)</f>
        <v/>
      </c>
      <c r="Y493" s="14">
        <f>ROUNDDOWN((LEN(R493)+1)/2,0)</f>
        <v/>
      </c>
      <c r="Z493" s="14">
        <f>ROUNDDOWN((LEN(S493)+1)/2,0)</f>
        <v/>
      </c>
      <c r="AA493" s="56" t="n">
        <v>46150.55870124175</v>
      </c>
    </row>
    <row r="494" ht="25.5" customHeight="1">
      <c r="B494" s="46" t="inlineStr">
        <is>
          <t>U+1E7E0-U+1E7FE</t>
        </is>
      </c>
      <c r="C494" s="46" t="inlineStr">
        <is>
          <t>Ethiopic Extended-B</t>
        </is>
      </c>
      <c r="D494" s="54">
        <f>HEX2DEC(MID(B494,3,FIND("-",E494)-3))</f>
        <v/>
      </c>
      <c r="E494" s="46" t="inlineStr">
        <is>
          <t>U+1E7E0-U+1E7FF</t>
        </is>
      </c>
      <c r="F494" s="12" t="n">
        <v>4</v>
      </c>
      <c r="J494" s="19">
        <f>ROUNDDOWN(W494,0)/$V494</f>
        <v/>
      </c>
      <c r="K494" s="19">
        <f>ROUNDDOWN(X494,0)/$V494</f>
        <v/>
      </c>
      <c r="L494" s="19">
        <f>ROUNDDOWN(Y494,0)/$V494</f>
        <v/>
      </c>
      <c r="M494" s="19">
        <f>ROUNDDOWN(Z494,0)/$V494</f>
        <v/>
      </c>
      <c r="O494" s="36" t="inlineStr">
        <is>
          <t>𞓐 𞓑 𞓒 𞓓 𞓔 𞓕 𞓖 𞓗 𞓘 𞓙 𞓚 𞓛 𞓜 𞓝 𞓞 𞓟 𞓠 𞓡 𞓢 𞓣 𞓤 𞓥 𞓦 𞓧 𞓨 𞓩 𞓪 𞓫 𞓬 𞓭 𞓮 𞓯 𞓰 𞓱 𞓲 𞓳 𞓴 𞓵 𞓶 𞓷 𞓸 𞓹</t>
        </is>
      </c>
      <c r="P494" s="37" t="inlineStr">
        <is>
          <t>𞓐 𞓑 𞓒 𞓓 𞓔 𞓕 𞓖 𞓗 𞓘 𞓙 𞓚 𞓛 𞓜 𞓝 𞓞 𞓟 𞓠 𞓡 𞓢 𞓣 𞓤 𞓥 𞓦 𞓧 𞓨 𞓩 𞓪 𞓰 𞓱 𞓲 𞓳 𞓴 𞓵 𞓶 𞓷 𞓸 𞓹</t>
        </is>
      </c>
      <c r="Q494" s="38" t="inlineStr">
        <is>
          <t>𞓑 𞓒 𞓓 𞓔 𞓕 𞓖 𞓗 𞓘 𞓙 𞓚 𞓛 𞓜 𞓝 𞓞 𞓟 𞓠 𞓡 𞓢 𞓣 𞓤 𞓥 𞓦 𞓧 𞓨 𞓩 𞓪</t>
        </is>
      </c>
      <c r="R494" s="43" t="inlineStr"/>
      <c r="S494" s="40" t="n"/>
      <c r="V494" s="14">
        <f>(LEN(O494)+1)/2</f>
        <v/>
      </c>
      <c r="W494" s="14">
        <f>ROUNDDOWN((LEN(P494)+1)/2,0)</f>
        <v/>
      </c>
      <c r="X494" s="14">
        <f>ROUNDDOWN((LEN(Q494)+1)/2,0)</f>
        <v/>
      </c>
      <c r="Y494" s="14">
        <f>ROUNDDOWN((LEN(R494)+1)/2,0)</f>
        <v/>
      </c>
      <c r="Z494" s="14">
        <f>ROUNDDOWN((LEN(S494)+1)/2,0)</f>
        <v/>
      </c>
      <c r="AA494" s="56" t="n">
        <v>46150.55870149544</v>
      </c>
    </row>
    <row r="495" ht="25.5" customHeight="1">
      <c r="B495" s="46" t="inlineStr">
        <is>
          <t>U+1E800-U+1E8D6</t>
        </is>
      </c>
      <c r="C495" s="46" t="inlineStr">
        <is>
          <t>Mende Kikakui</t>
        </is>
      </c>
      <c r="D495" s="54">
        <f>HEX2DEC(MID(B495,3,FIND("-",E495)-3))</f>
        <v/>
      </c>
      <c r="E495" s="46" t="inlineStr">
        <is>
          <t>U+1E800-U+1E8DF</t>
        </is>
      </c>
      <c r="F495" s="12" t="n">
        <v>4</v>
      </c>
      <c r="J495" s="19">
        <f>ROUNDDOWN(W495,0)/$V495</f>
        <v/>
      </c>
      <c r="K495" s="19">
        <f>ROUNDDOWN(X495,0)/$V495</f>
        <v/>
      </c>
      <c r="L495" s="19">
        <f>ROUNDDOWN(Y495,0)/$V495</f>
        <v/>
      </c>
      <c r="M495" s="19">
        <f>ROUNDDOWN(Z495,0)/$V495</f>
        <v/>
      </c>
      <c r="O495" s="36" t="inlineStr">
        <is>
          <t>𞟠 𞟡 𞟢 𞟣 𞟤 𞟥 𞟦 𞟨 𞟩 𞟪 𞟫 𞟭 𞟮 𞟰 𞟱 𞟲 𞟳 𞟴 𞟵 𞟶 𞟷 𞟸 𞟹 𞟺 𞟻 𞟼 𞟽 𞟾</t>
        </is>
      </c>
      <c r="P495" s="37" t="inlineStr">
        <is>
          <t>𞟠 𞟡 𞟢 𞟣 𞟤 𞟥 𞟦 𞟨 𞟩 𞟪 𞟫 𞟭 𞟮 𞟰 𞟱 𞟲 𞟳 𞟴 𞟵 𞟶 𞟷 𞟸 𞟹 𞟺 𞟻 𞟼 𞟽 𞟾</t>
        </is>
      </c>
      <c r="Q495" s="38" t="inlineStr">
        <is>
          <t>𞟠 𞟡 𞟢 𞟣 𞟤 𞟥 𞟦 𞟨 𞟩 𞟪 𞟫 𞟭 𞟮 𞟰 𞟱 𞟲 𞟳 𞟴 𞟵 𞟶 𞟷 𞟸 𞟹 𞟺 𞟻 𞟼 𞟽 𞟾</t>
        </is>
      </c>
      <c r="R495" s="43" t="inlineStr"/>
      <c r="S495" s="40" t="n"/>
      <c r="V495" s="14">
        <f>(LEN(O495)+1)/2</f>
        <v/>
      </c>
      <c r="W495" s="14">
        <f>ROUNDDOWN((LEN(P495)+1)/2,0)</f>
        <v/>
      </c>
      <c r="X495" s="14">
        <f>ROUNDDOWN((LEN(Q495)+1)/2,0)</f>
        <v/>
      </c>
      <c r="Y495" s="14">
        <f>ROUNDDOWN((LEN(R495)+1)/2,0)</f>
        <v/>
      </c>
      <c r="Z495" s="14">
        <f>ROUNDDOWN((LEN(S495)+1)/2,0)</f>
        <v/>
      </c>
      <c r="AA495" s="56" t="n">
        <v>46150.55870175228</v>
      </c>
    </row>
    <row r="496" ht="89.25" customHeight="1">
      <c r="B496" s="46" t="inlineStr">
        <is>
          <t>U+1E900-U+1E95F</t>
        </is>
      </c>
      <c r="C496" s="46" t="inlineStr">
        <is>
          <t>Adlam</t>
        </is>
      </c>
      <c r="D496" s="54">
        <f>HEX2DEC(MID(B496,3,FIND("-",E496)-3))</f>
        <v/>
      </c>
      <c r="E496" s="46" t="inlineStr">
        <is>
          <t>U+1E900-U+1E95F</t>
        </is>
      </c>
      <c r="F496" s="12" t="n">
        <v>4</v>
      </c>
      <c r="J496" s="19">
        <f>ROUNDDOWN(W496,0)/$V496</f>
        <v/>
      </c>
      <c r="K496" s="19">
        <f>ROUNDDOWN(X496,0)/$V496</f>
        <v/>
      </c>
      <c r="L496" s="19">
        <f>ROUNDDOWN(Y496,0)/$V496</f>
        <v/>
      </c>
      <c r="M496" s="19">
        <f>ROUNDDOWN(Z496,0)/$V496</f>
        <v/>
      </c>
      <c r="O496" s="36" t="inlineStr">
        <is>
          <t>𞠀 𞠁 𞠂 𞠃 𞠄 𞠅 𞠆 𞠇 𞠈 𞠉 𞠊 𞠋 𞠌 𞠍 𞠎 𞠏 𞠐 𞠑 𞠒 𞠓 𞠔 𞠕 𞠖 𞠗 𞠘 𞠙 𞠚 𞠛 𞠜 𞠝 𞠞 𞠟 𞠠 𞠡 𞠢 𞠣 𞠤 𞠥 𞠦 𞠧 𞠨 𞠩 𞠪 𞠫 𞠬 𞠭 𞠮 𞠯 𞠰 𞠱 𞠲 𞠳 𞠴 𞠵 𞠶 𞠷 𞠸 𞠹 𞠺 𞠻 𞠼 𞠽 𞠾 𞠿 𞡀 𞡁 𞡂 𞡃 𞡄 𞡅 𞡆 𞡇 𞡈 𞡉 𞡊 𞡋 𞡌 𞡍 𞡎 𞡏 𞡐 𞡑 𞡒 𞡓 𞡔 𞡕 𞡖 𞡗 𞡘 𞡙 𞡚 𞡛 𞡜 𞡝 𞡞 𞡟 𞡠 𞡡 𞡢 𞡣 𞡤 𞡥 𞡦 𞡧 𞡨 𞡩 𞡪 𞡫 𞡬 𞡭 𞡮 𞡯 𞡰 𞡱 𞡲 𞡳 𞡴 𞡵 𞡶 𞡷 𞡸 𞡹 𞡺 𞡻 𞡼 𞡽 𞡾 𞡿 𞢀 𞢁 𞢂 𞢃 𞢄 𞢅 𞢆 𞢇 𞢈 𞢉 𞢊 𞢋 𞢌 𞢍 𞢎 𞢏 𞢐 𞢑 𞢒 𞢓 𞢔 𞢕 𞢖 𞢗 𞢘 𞢙 𞢚 𞢛 𞢜 𞢝 𞢞 𞢟 𞢠 𞢡 𞢢 𞢣 𞢤 𞢥 𞢦 𞢧 𞢨 𞢩 𞢪 𞢫 𞢬 𞢭 𞢮 𞢯 𞢰 𞢱 𞢲 𞢳 𞢴 𞢵 𞢶 𞢷 𞢸 𞢹 𞢺 𞢻 𞢼 𞢽 𞢾 𞢿 𞣀 𞣁 𞣂 𞣃 𞣄 𞣇 𞣈 𞣉 𞣊 𞣋 𞣌 𞣍 𞣎 𞣏 𞣐 𞣑 𞣒 𞣓 𞣔 𞣕 𞣖</t>
        </is>
      </c>
      <c r="P496" s="37" t="inlineStr"/>
      <c r="Q496" s="38" t="inlineStr"/>
      <c r="R496" s="43" t="inlineStr"/>
      <c r="S496" s="40" t="n"/>
      <c r="V496" s="14">
        <f>(LEN(O496)+1)/2</f>
        <v/>
      </c>
      <c r="W496" s="14">
        <f>ROUNDDOWN((LEN(P496)+1)/2,0)</f>
        <v/>
      </c>
      <c r="X496" s="14">
        <f>ROUNDDOWN((LEN(Q496)+1)/2,0)</f>
        <v/>
      </c>
      <c r="Y496" s="14">
        <f>ROUNDDOWN((LEN(R496)+1)/2,0)</f>
        <v/>
      </c>
      <c r="Z496" s="14">
        <f>ROUNDDOWN((LEN(S496)+1)/2,0)</f>
        <v/>
      </c>
      <c r="AA496" s="56" t="n">
        <v>46150.55870175384</v>
      </c>
    </row>
    <row r="497" ht="38.25" customHeight="1">
      <c r="B497" s="46" t="inlineStr">
        <is>
          <t>U+1EC71-U+1ECB4</t>
        </is>
      </c>
      <c r="C497" s="46" t="inlineStr">
        <is>
          <t>Indic Siyaq Numbers</t>
        </is>
      </c>
      <c r="D497" s="54">
        <f>HEX2DEC(MID(B497,3,FIND("-",E497)-3))</f>
        <v/>
      </c>
      <c r="E497" s="46" t="inlineStr">
        <is>
          <t>U+1EC70-U+1ECBF</t>
        </is>
      </c>
      <c r="F497" s="12" t="n">
        <v>4</v>
      </c>
      <c r="J497" s="19">
        <f>ROUNDDOWN(W497,0)/$V497</f>
        <v/>
      </c>
      <c r="K497" s="19">
        <f>ROUNDDOWN(X497,0)/$V497</f>
        <v/>
      </c>
      <c r="L497" s="19">
        <f>ROUNDDOWN(Y497,0)/$V497</f>
        <v/>
      </c>
      <c r="M497" s="19">
        <f>ROUNDDOWN(Z497,0)/$V497</f>
        <v/>
      </c>
      <c r="O497" s="36" t="inlineStr">
        <is>
          <t>𞤀 𞤁 𞤂 𞤃 𞤄 𞤅 𞤆 𞤇 𞤈 𞤉 𞤊 𞤋 𞤌 𞤍 𞤎 𞤏 𞤐 𞤑 𞤒 𞤓 𞤔 𞤕 𞤖 𞤗 𞤘 𞤙 𞤚 𞤛 𞤜 𞤝 𞤞 𞤟 𞤠 𞤡 𞤢 𞤣 𞤤 𞤥 𞤦 𞤧 𞤨 𞤩 𞤪 𞤫 𞤬 𞤭 𞤮 𞤯 𞤰 𞤱 𞤲 𞤳 𞤴 𞤵 𞤶 𞤷 𞤸 𞤹 𞤺 𞤻 𞤼 𞤽 𞤾 𞤿 𞥀 𞥁 𞥂 𞥃 𞥄 𞥅 𞥆 𞥇 𞥈 𞥉 𞥊 𞥋 𞥐 𞥑 𞥒 𞥓 𞥔 𞥕 𞥖 𞥗 𞥘 𞥙 𞥞 𞥟</t>
        </is>
      </c>
      <c r="P497" s="37" t="inlineStr"/>
      <c r="Q497" s="38" t="inlineStr"/>
      <c r="R497" s="43" t="inlineStr"/>
      <c r="S497" s="40" t="n"/>
      <c r="V497" s="14">
        <f>(LEN(O497)+1)/2</f>
        <v/>
      </c>
      <c r="W497" s="14">
        <f>ROUNDDOWN((LEN(P497)+1)/2,0)</f>
        <v/>
      </c>
      <c r="X497" s="14">
        <f>ROUNDDOWN((LEN(Q497)+1)/2,0)</f>
        <v/>
      </c>
      <c r="Y497" s="14">
        <f>ROUNDDOWN((LEN(R497)+1)/2,0)</f>
        <v/>
      </c>
      <c r="Z497" s="14">
        <f>ROUNDDOWN((LEN(S497)+1)/2,0)</f>
        <v/>
      </c>
      <c r="AA497" s="56" t="n">
        <v>46150.55870175445</v>
      </c>
    </row>
    <row r="498" ht="38.25" customHeight="1">
      <c r="B498" s="46" t="inlineStr">
        <is>
          <t>U+1ED01-U+1ED3D</t>
        </is>
      </c>
      <c r="C498" s="46" t="inlineStr">
        <is>
          <t>Ottoman Siyaq Numbers</t>
        </is>
      </c>
      <c r="D498" s="54">
        <f>HEX2DEC(MID(B498,3,FIND("-",E498)-3))</f>
        <v/>
      </c>
      <c r="E498" s="46" t="inlineStr">
        <is>
          <t>U+1ED00-U+1ED4F</t>
        </is>
      </c>
      <c r="F498" s="12" t="n">
        <v>4</v>
      </c>
      <c r="J498" s="19">
        <f>ROUNDDOWN(W498,0)/$V498</f>
        <v/>
      </c>
      <c r="K498" s="19">
        <f>ROUNDDOWN(X498,0)/$V498</f>
        <v/>
      </c>
      <c r="L498" s="19">
        <f>ROUNDDOWN(Y498,0)/$V498</f>
        <v/>
      </c>
      <c r="M498" s="19">
        <f>ROUNDDOWN(Z498,0)/$V498</f>
        <v/>
      </c>
      <c r="O498" s="36" t="inlineStr">
        <is>
          <t>𞱱 𞱲 𞱳 𞱴 𞱵 𞱶 𞱷 𞱸 𞱹 𞱺 𞱻 𞱼 𞱽 𞱾 𞱿 𞲀 𞲁 𞲂 𞲃 𞲄 𞲅 𞲆 𞲇 𞲈 𞲉 𞲊 𞲋 𞲌 𞲍 𞲎 𞲏 𞲐 𞲑 𞲒 𞲓 𞲔 𞲕 𞲖 𞲗 𞲘 𞲙 𞲚 𞲛 𞲜 𞲝 𞲞 𞲟 𞲠 𞲡 𞲢 𞲣 𞲤 𞲥 𞲦 𞲧 𞲨 𞲩 𞲪 𞲫 𞲬 𞲭 𞲮 𞲯 𞲰 𞲱 𞲲 𞲳 𞲴</t>
        </is>
      </c>
      <c r="P498" s="37" t="inlineStr"/>
      <c r="Q498" s="38" t="inlineStr"/>
      <c r="R498" s="43" t="inlineStr"/>
      <c r="S498" s="40" t="n"/>
      <c r="V498" s="14">
        <f>(LEN(O498)+1)/2</f>
        <v/>
      </c>
      <c r="W498" s="14">
        <f>ROUNDDOWN((LEN(P498)+1)/2,0)</f>
        <v/>
      </c>
      <c r="X498" s="14">
        <f>ROUNDDOWN((LEN(Q498)+1)/2,0)</f>
        <v/>
      </c>
      <c r="Y498" s="14">
        <f>ROUNDDOWN((LEN(R498)+1)/2,0)</f>
        <v/>
      </c>
      <c r="Z498" s="14">
        <f>ROUNDDOWN((LEN(S498)+1)/2,0)</f>
        <v/>
      </c>
      <c r="AA498" s="56" t="n">
        <v>46150.55870175499</v>
      </c>
    </row>
    <row r="499" ht="38.25" customHeight="1">
      <c r="B499" s="46" t="inlineStr">
        <is>
          <t>U+1EE00-U+1EEF1</t>
        </is>
      </c>
      <c r="C499" s="46" t="inlineStr">
        <is>
          <t>Arabic Mathematical Alphabetic Symbols</t>
        </is>
      </c>
      <c r="D499" s="54">
        <f>HEX2DEC(MID(B499,3,FIND("-",E499)-3))</f>
        <v/>
      </c>
      <c r="E499" s="46" t="inlineStr">
        <is>
          <t>U+1EE00-U+1EEFF</t>
        </is>
      </c>
      <c r="F499" s="12" t="n">
        <v>4</v>
      </c>
      <c r="J499" s="19">
        <f>ROUNDDOWN(W499,0)/$V499</f>
        <v/>
      </c>
      <c r="K499" s="19">
        <f>ROUNDDOWN(X499,0)/$V499</f>
        <v/>
      </c>
      <c r="L499" s="19">
        <f>ROUNDDOWN(Y499,0)/$V499</f>
        <v/>
      </c>
      <c r="M499" s="19">
        <f>ROUNDDOWN(Z499,0)/$V499</f>
        <v/>
      </c>
      <c r="O499" s="36" t="inlineStr">
        <is>
          <t>𞴁 𞴂 𞴃 𞴄 𞴅 𞴆 𞴇 𞴈 𞴉 𞴊 𞴋 𞴌 𞴍 𞴎 𞴏 𞴐 𞴑 𞴒 𞴓 𞴔 𞴕 𞴖 𞴗 𞴘 𞴙 𞴚 𞴛 𞴜 𞴝 𞴞 𞴟 𞴠 𞴡 𞴢 𞴣 𞴤 𞴥 𞴦 𞴧 𞴨 𞴩 𞴪 𞴫 𞴬 𞴭 𞴮 𞴯 𞴰 𞴱 𞴲 𞴳 𞴴 𞴵 𞴶 𞴷 𞴸 𞴹 𞴺 𞴻 𞴼 𞴽</t>
        </is>
      </c>
      <c r="P499" s="37" t="inlineStr"/>
      <c r="Q499" s="38" t="inlineStr"/>
      <c r="R499" s="43" t="inlineStr"/>
      <c r="S499" s="40" t="n"/>
      <c r="V499" s="14">
        <f>(LEN(O499)+1)/2</f>
        <v/>
      </c>
      <c r="W499" s="14">
        <f>ROUNDDOWN((LEN(P499)+1)/2,0)</f>
        <v/>
      </c>
      <c r="X499" s="14">
        <f>ROUNDDOWN((LEN(Q499)+1)/2,0)</f>
        <v/>
      </c>
      <c r="Y499" s="14">
        <f>ROUNDDOWN((LEN(R499)+1)/2,0)</f>
        <v/>
      </c>
      <c r="Z499" s="14">
        <f>ROUNDDOWN((LEN(S499)+1)/2,0)</f>
        <v/>
      </c>
      <c r="AA499" s="56" t="n">
        <v>46150.55870175547</v>
      </c>
    </row>
    <row r="500" ht="63.75" customHeight="1">
      <c r="B500" s="46" t="inlineStr">
        <is>
          <t>U+1F000-U+1F02B</t>
        </is>
      </c>
      <c r="C500" s="46" t="inlineStr">
        <is>
          <t>Mahjong Tiles</t>
        </is>
      </c>
      <c r="D500" s="54">
        <f>HEX2DEC(MID(B500,3,FIND("-",E500)-3))</f>
        <v/>
      </c>
      <c r="E500" s="46" t="inlineStr">
        <is>
          <t>U+1F000-U+1F02F</t>
        </is>
      </c>
      <c r="F500" s="12" t="n">
        <v>4</v>
      </c>
      <c r="J500" s="19">
        <f>ROUNDDOWN(W500,0)/$V500</f>
        <v/>
      </c>
      <c r="K500" s="19">
        <f>ROUNDDOWN(X500,0)/$V500</f>
        <v/>
      </c>
      <c r="L500" s="19">
        <f>ROUNDDOWN(Y500,0)/$V500</f>
        <v/>
      </c>
      <c r="M500" s="19">
        <f>ROUNDDOWN(Z500,0)/$V500</f>
        <v/>
      </c>
      <c r="O500" s="36" t="inlineStr">
        <is>
          <t>𞸀 𞸁 𞸂 𞸃 𞸅 𞸆 𞸇 𞸈 𞸉 𞸊 𞸋 𞸌 𞸍 𞸎 𞸏 𞸐 𞸑 𞸒 𞸓 𞸔 𞸕 𞸖 𞸗 𞸘 𞸙 𞸚 𞸛 𞸜 𞸝 𞸞 𞸟 𞸡 𞸢 𞸤 𞸧 𞸩 𞸪 𞸫 𞸬 𞸭 𞸮 𞸯 𞸰 𞸱 𞸲 𞸴 𞸵 𞸶 𞸷 𞸹 𞸻 𞹂 𞹇 𞹉 𞹋 𞹍 𞹎 𞹏 𞹑 𞹒 𞹔 𞹗 𞹙 𞹛 𞹝 𞹟 𞹡 𞹢 𞹤 𞹧 𞹨 𞹩 𞹪 𞹬 𞹭 𞹮 𞹯 𞹰 𞹱 𞹲 𞹴 𞹵 𞹶 𞹷 𞹹 𞹺 𞹻 𞹼 𞹾 𞺀 𞺁 𞺂 𞺃 𞺄 𞺅 𞺆 𞺇 𞺈 𞺉 𞺋 𞺌 𞺍 𞺎 𞺏 𞺐 𞺑 𞺒 𞺓 𞺔 𞺕 𞺖 𞺗 𞺘 𞺙 𞺚 𞺛 𞺡 𞺢 𞺣 𞺥 𞺦 𞺧 𞺨 𞺩 𞺫 𞺬 𞺭 𞺮 𞺯 𞺰 𞺱 𞺲 𞺳 𞺴 𞺵 𞺶 𞺷 𞺸 𞺹 𞺺 𞺻 𞻰 𞻱</t>
        </is>
      </c>
      <c r="P500" s="37" t="inlineStr">
        <is>
          <t>𞻰 𞻱</t>
        </is>
      </c>
      <c r="Q500" s="38" t="inlineStr"/>
      <c r="R500" s="43" t="inlineStr"/>
      <c r="S500" s="40" t="n"/>
      <c r="V500" s="14">
        <f>(LEN(O500)+1)/2</f>
        <v/>
      </c>
      <c r="W500" s="14">
        <f>ROUNDDOWN((LEN(P500)+1)/2,0)</f>
        <v/>
      </c>
      <c r="X500" s="14">
        <f>ROUNDDOWN((LEN(Q500)+1)/2,0)</f>
        <v/>
      </c>
      <c r="Y500" s="14">
        <f>ROUNDDOWN((LEN(R500)+1)/2,0)</f>
        <v/>
      </c>
      <c r="Z500" s="14">
        <f>ROUNDDOWN((LEN(S500)+1)/2,0)</f>
        <v/>
      </c>
      <c r="AA500" s="56" t="n">
        <v>46150.55870175668</v>
      </c>
    </row>
    <row r="501" ht="25.5" customHeight="1">
      <c r="B501" s="46" t="inlineStr">
        <is>
          <t>U+1F030-U+1F093</t>
        </is>
      </c>
      <c r="C501" s="46" t="inlineStr">
        <is>
          <t>Domino Tiles</t>
        </is>
      </c>
      <c r="D501" s="54">
        <f>HEX2DEC(MID(B501,3,FIND("-",E501)-3))</f>
        <v/>
      </c>
      <c r="E501" s="46" t="inlineStr">
        <is>
          <t>U+1F030-U+1F09F</t>
        </is>
      </c>
      <c r="F501" s="12" t="n">
        <v>4</v>
      </c>
      <c r="J501" s="19">
        <f>ROUNDDOWN(W501,0)/$V501</f>
        <v/>
      </c>
      <c r="K501" s="19">
        <f>ROUNDDOWN(X501,0)/$V501</f>
        <v/>
      </c>
      <c r="L501" s="19">
        <f>ROUNDDOWN(Y501,0)/$V501</f>
        <v/>
      </c>
      <c r="M501" s="19">
        <f>ROUNDDOWN(Z501,0)/$V501</f>
        <v/>
      </c>
      <c r="O501" s="36" t="inlineStr">
        <is>
          <t>🀀 🀁 🀂 🀃 🀄 🀅 🀆 🀇 🀈 🀉 🀊 🀋 🀌 🀍 🀎 🀏 🀐 🀑 🀒 🀓 🀔 🀕 🀖 🀗 🀘 🀙 🀚 🀛 🀜 🀝 🀞 🀟 🀠 🀡 🀢 🀣 🀤 🀥 🀦 🀧 🀨 🀩 🀪 🀫</t>
        </is>
      </c>
      <c r="P501" s="37" t="inlineStr">
        <is>
          <t>🀀 🀁 🀂 🀃 🀄 🀅 🀆 🀇 🀈 🀉 🀊 🀋 🀌 🀍 🀎 🀏 🀐 🀑 🀒 🀓 🀔 🀕 🀖 🀗 🀘 🀙 🀚 🀛 🀜 🀝 🀞 🀟 🀠 🀡 🀢 🀣 🀤 🀥 🀦 🀧 🀨 🀩 🀪 🀫</t>
        </is>
      </c>
      <c r="Q501" s="38" t="inlineStr">
        <is>
          <t>🀀 🀄 🀅 🀆 🀇 🀈 🀉 🀊 🀋 🀌 🀍 🀎 🀏 🀐 🀑 🀒 🀓 🀔 🀕 🀖 🀗 🀘 🀙 🀚 🀛 🀜 🀝 🀞 🀟 🀠 🀡 🀢 🀣 🀤 🀥 🀦 🀧 🀨 🀩 🀪 🀫</t>
        </is>
      </c>
      <c r="R501" s="43" t="inlineStr"/>
      <c r="S501" s="40" t="n"/>
      <c r="V501" s="14">
        <f>(LEN(O501)+1)/2</f>
        <v/>
      </c>
      <c r="W501" s="14">
        <f>ROUNDDOWN((LEN(P501)+1)/2,0)</f>
        <v/>
      </c>
      <c r="X501" s="14">
        <f>ROUNDDOWN((LEN(Q501)+1)/2,0)</f>
        <v/>
      </c>
      <c r="Y501" s="14">
        <f>ROUNDDOWN((LEN(R501)+1)/2,0)</f>
        <v/>
      </c>
      <c r="Z501" s="14">
        <f>ROUNDDOWN((LEN(S501)+1)/2,0)</f>
        <v/>
      </c>
      <c r="AA501" s="56" t="n">
        <v>46150.55870206041</v>
      </c>
    </row>
    <row r="502" ht="38.25" customHeight="1">
      <c r="B502" s="46" t="inlineStr">
        <is>
          <t>U+1F0A0-U+1F0F5</t>
        </is>
      </c>
      <c r="C502" s="46" t="inlineStr">
        <is>
          <t>Playing Cards</t>
        </is>
      </c>
      <c r="D502" s="54">
        <f>HEX2DEC(MID(B502,3,FIND("-",E502)-3))</f>
        <v/>
      </c>
      <c r="E502" s="46" t="inlineStr">
        <is>
          <t>U+1F0A0-U+1F0FF</t>
        </is>
      </c>
      <c r="F502" s="12" t="n">
        <v>4</v>
      </c>
      <c r="J502" s="19">
        <f>ROUNDDOWN(W502,0)/$V502</f>
        <v/>
      </c>
      <c r="K502" s="19">
        <f>ROUNDDOWN(X502,0)/$V502</f>
        <v/>
      </c>
      <c r="L502" s="19">
        <f>ROUNDDOWN(Y502,0)/$V502</f>
        <v/>
      </c>
      <c r="M502" s="19">
        <f>ROUNDDOWN(Z502,0)/$V502</f>
        <v/>
      </c>
      <c r="O502" s="36" t="inlineStr">
        <is>
          <t>🀰 🀱 🀲 🀳 🀴 🀵 🀶 🀷 🀸 🀹 🀺 🀻 🀼 🀽 🀾 🀿 🁀 🁁 🁂 🁃 🁄 🁅 🁆 🁇 🁈 🁉 🁊 🁋 🁌 🁍 🁎 🁏 🁐 🁑 🁒 🁓 🁔 🁕 🁖 🁗 🁘 🁙 🁚 🁛 🁜 🁝 🁞 🁟 🁠 🁡 🁢 🁣 🁤 🁥 🁦 🁧 🁨 🁩 🁪 🁫 🁬 🁭 🁮 🁯 🁰 🁱 🁲 🁳 🁴 🁵 🁶 🁷 🁸 🁹 🁺 🁻 🁼 🁽 🁾 🁿 🂀 🂁 🂂 🂃 🂄 🂅 🂆 🂇 🂈 🂉 🂊 🂋 🂌 🂍 🂎 🂏 🂐 🂑 🂒 🂓</t>
        </is>
      </c>
      <c r="P502" s="37" t="inlineStr">
        <is>
          <t>🀰 🀱 🀲 🀳 🀴 🀵 🀶 🀷 🀸 🀹 🀺 🀻 🀼 🀽 🀾 🀿 🁀 🁁 🁂 🁃 🁄 🁅 🁆 🁇 🁈 🁉 🁊 🁋 🁌 🁍 🁎 🁏 🁐 🁑 🁒 🁓 🁔 🁕 🁖 🁗 🁘 🁙 🁚 🁛 🁜 🁝 🁞 🁟 🁠 🁡 🁢 🁣 🁤 🁥 🁦 🁧 🁨 🁩 🁪 🁫 🁬 🁭 🁮 🁯 🁰 🁱 🁲 🁳 🁴 🁵 🁶 🁷 🁸 🁹 🁺 🁻 🁼 🁽 🁾 🁿 🂀 🂁 🂂 🂃 🂄 🂅 🂆 🂇 🂈 🂉 🂊 🂋 🂌 🂍 🂎 🂏 🂐 🂑 🂒 🂓</t>
        </is>
      </c>
      <c r="Q502" s="38" t="inlineStr">
        <is>
          <t>🀰 🀱 🀲 🀳 🀴 🀵 🀶 🀷 🀸 🀹 🀺 🀻 🀼 🀽 🀾 🀿 🁀 🁁 🁂 🁃 🁄 🁅 🁆 🁇 🁈 🁉 🁊 🁋 🁌 🁍 🁎 🁏 🁐 🁑 🁒 🁓 🁔 🁕 🁖 🁗 🁘 🁙 🁚 🁛 🁜 🁝 🁞 🁟 🁠 🁡 🁢 🁣 🁤 🁥 🁦 🁧 🁨 🁩 🁪 🁫 🁬 🁭 🁮 🁯 🁰 🁱 🁲 🁳 🁴 🁵 🁶 🁷 🁸 🁹 🁺 🁻 🁼 🁽 🁾 🁿 🂀 🂁 🂂 🂃 🂄 🂅 🂆 🂇 🂈 🂉 🂊 🂋 🂌 🂍 🂎 🂏 🂐 🂑 🂒 🂓</t>
        </is>
      </c>
      <c r="R502" s="43" t="inlineStr"/>
      <c r="S502" s="40" t="n"/>
      <c r="V502" s="14">
        <f>(LEN(O502)+1)/2</f>
        <v/>
      </c>
      <c r="W502" s="14">
        <f>ROUNDDOWN((LEN(P502)+1)/2,0)</f>
        <v/>
      </c>
      <c r="X502" s="14">
        <f>ROUNDDOWN((LEN(Q502)+1)/2,0)</f>
        <v/>
      </c>
      <c r="Y502" s="14">
        <f>ROUNDDOWN((LEN(R502)+1)/2,0)</f>
        <v/>
      </c>
      <c r="Z502" s="14">
        <f>ROUNDDOWN((LEN(S502)+1)/2,0)</f>
        <v/>
      </c>
      <c r="AA502" s="56" t="n">
        <v>46150.55870259291</v>
      </c>
    </row>
    <row r="503" ht="38.25" customHeight="1">
      <c r="B503" s="46" t="inlineStr">
        <is>
          <t>U+1F100-U+1F1FF</t>
        </is>
      </c>
      <c r="C503" s="46" t="inlineStr">
        <is>
          <t>Enclosed Alphanumeric Supplement</t>
        </is>
      </c>
      <c r="D503" s="54">
        <f>HEX2DEC(MID(B503,3,FIND("-",E503)-3))</f>
        <v/>
      </c>
      <c r="E503" s="46" t="inlineStr">
        <is>
          <t>U+1F100-U+1F1FF</t>
        </is>
      </c>
      <c r="F503" s="12" t="n">
        <v>4</v>
      </c>
      <c r="J503" s="19">
        <f>ROUNDDOWN(W503,0)/$V503</f>
        <v/>
      </c>
      <c r="K503" s="19">
        <f>ROUNDDOWN(X503,0)/$V503</f>
        <v/>
      </c>
      <c r="L503" s="19">
        <f>ROUNDDOWN(Y503,0)/$V503</f>
        <v/>
      </c>
      <c r="M503" s="19">
        <f>ROUNDDOWN(Z503,0)/$V503</f>
        <v/>
      </c>
      <c r="O503" s="36" t="inlineStr">
        <is>
          <t>🂠 🂡 🂢 🂣 🂤 🂥 🂦 🂧 🂨 🂩 🂪 🂫 🂬 🂭 🂮 🂱 🂲 🂳 🂴 🂵 🂶 🂷 🂸 🂹 🂺 🂻 🂼 🂽 🂾 🂿 🃁 🃂 🃃 🃄 🃅 🃆 🃇 🃈 🃉 🃊 🃋 🃌 🃍 🃎 🃏 🃑 🃒 🃓 🃔 🃕 🃖 🃗 🃘 🃙 🃚 🃛 🃜 🃝 🃞 🃟 🃠 🃡 🃢 🃣 🃤 🃥 🃦 🃧 🃨 🃩 🃪 🃫 🃬 🃭 🃮 🃯 🃰 🃱 🃲 🃳 🃴 🃵</t>
        </is>
      </c>
      <c r="P503" s="37" t="inlineStr">
        <is>
          <t>🂠 🂡 🂢 🂣 🂤 🂥 🂦 🂧 🂨 🂩 🂪 🂫 🂬 🂭 🂮 🂱 🂲 🂳 🂴 🂵 🂶 🂷 🂸 🂹 🂺 🂻 🂼 🂽 🂾 🂿 🃁 🃂 🃃 🃄 🃅 🃆 🃇 🃈 🃉 🃊 🃋 🃌 🃍 🃎 🃏 🃑 🃒 🃓 🃔 🃕 🃖 🃗 🃘 🃙 🃚 🃛 🃜 🃝 🃞 🃟 🃠 🃡 🃢 🃣 🃤 🃥 🃦 🃧 🃨 🃩 🃪 🃫 🃬 🃭 🃮 🃯 🃰 🃱 🃲 🃳 🃴 🃵</t>
        </is>
      </c>
      <c r="Q503" s="38" t="inlineStr">
        <is>
          <t>🂠 🂡 🂢 🂣 🂤 🂥 🂦 🂧 🂨 🂩 🂪 🂫 🂬 🂭 🂮 🂱 🂲 🂳 🂴 🂵 🂶 🂷 🂸 🂹 🂺 🂻 🂼 🂽 🂾 🂿 🃁 🃂 🃃 🃄 🃅 🃆 🃇 🃈 🃉 🃊 🃋 🃌 🃍 🃎 🃏 🃑 🃒 🃓 🃔 🃕 🃖 🃗 🃘 🃙 🃚 🃛 🃜 🃝 🃞 🃟 🃠 🃡 🃢 🃣 🃤 🃥 🃦 🃧 🃨 🃩 🃪 🃫 🃬 🃭 🃮 🃯 🃰 🃱 🃲 🃳 🃴 🃵</t>
        </is>
      </c>
      <c r="R503" s="43" t="inlineStr"/>
      <c r="S503" s="40" t="n"/>
      <c r="V503" s="14">
        <f>(LEN(O503)+1)/2</f>
        <v/>
      </c>
      <c r="W503" s="14">
        <f>ROUNDDOWN((LEN(P503)+1)/2,0)</f>
        <v/>
      </c>
      <c r="X503" s="14">
        <f>ROUNDDOWN((LEN(Q503)+1)/2,0)</f>
        <v/>
      </c>
      <c r="Y503" s="14">
        <f>ROUNDDOWN((LEN(R503)+1)/2,0)</f>
        <v/>
      </c>
      <c r="Z503" s="14">
        <f>ROUNDDOWN((LEN(S503)+1)/2,0)</f>
        <v/>
      </c>
      <c r="AA503" s="56" t="n">
        <v>46150.55870307128</v>
      </c>
    </row>
    <row r="504" ht="63.75" customHeight="1">
      <c r="B504" s="46" t="inlineStr">
        <is>
          <t>U+1F200-U+1F265</t>
        </is>
      </c>
      <c r="C504" s="46" t="inlineStr">
        <is>
          <t>Enclosed Ideographic Supplement</t>
        </is>
      </c>
      <c r="D504" s="54">
        <f>HEX2DEC(MID(B504,3,FIND("-",E504)-3))</f>
        <v/>
      </c>
      <c r="E504" s="46" t="inlineStr">
        <is>
          <t>U+1F200-U+1F2FF</t>
        </is>
      </c>
      <c r="F504" s="12" t="n">
        <v>4</v>
      </c>
      <c r="J504" s="19">
        <f>ROUNDDOWN(W504,0)/$V504</f>
        <v/>
      </c>
      <c r="K504" s="19">
        <f>ROUNDDOWN(X504,0)/$V504</f>
        <v/>
      </c>
      <c r="L504" s="19">
        <f>ROUNDDOWN(Y504,0)/$V504</f>
        <v/>
      </c>
      <c r="M504" s="19">
        <f>ROUNDDOWN(Z504,0)/$V504</f>
        <v/>
      </c>
      <c r="O504" s="36" t="inlineStr">
        <is>
          <t>🄀 🄁 🄂 🄃 🄄 🄅 🄆 🄇 🄈 🄉 🄊 🄋 🄌 🄍 🄎 🄏 🄐 🄑 🄒 🄓 🄔 🄕 🄖 🄗 🄘 🄙 🄚 🄛 🄜 🄝 🄞 🄟 🄠 🄡 🄢 🄣 🄤 🄥 🄦 🄧 🄨 🄩 🄪 🄫 🄬 🄭 🄮 🄯 🄰 🄱 🄲 🄳 🄴 🄵 🄶 🄷 🄸 🄹 🄺 🄻 🄼 🄽 🄾 🄿 🅀 🅁 🅂 🅃 🅄 🅅 🅆 🅇 🅈 🅉 🅊 🅋 🅌 🅍 🅎 🅏 🅐 🅑 🅒 🅓 🅔 🅕 🅖 🅗 🅘 🅙 🅚 🅛 🅜 🅝 🅞 🅟 🅠 🅡 🅢 🅣 🅤 🅥 🅦 🅧 🅨 🅩 🅪 🅫 🅬 🅭 🅮 🅯 🅰 🅱 🅲 🅳 🅴 🅵 🅶 🅷 🅸 🅹 🅺 🅻 🅼 🅽 🅾 🅿 🆀 🆁 🆂 🆃 🆄 🆅 🆆 🆇 🆈 🆉 🆊 🆋 🆌 🆍 🆎 🆏 🆐 🆑 🆒 🆓 🆔 🆕 🆖 🆗 🆘 🆙 🆚 🆛 🆜 🆝 🆞 🆟 🆠 🆡 🆢 🆣 🆤 🆥 🆦 🆧 🆨 🆩 🆪 🆫 🆬 🆭 🇦 🇧 🇨 🇩 🇪 🇫 🇬 🇭 🇮 🇯 🇰 🇱 🇲 🇳 🇴 🇵 🇶 🇷 🇸 🇹 🇺 🇻 🇼 🇽 🇾 🇿</t>
        </is>
      </c>
      <c r="P504" s="37" t="inlineStr">
        <is>
          <t>🄀 🄁 🄂 🄃 🄄 🄅 🄆 🄇 🄈 🄉 🄊 🄋 🄌 🄍 🄎 🄏 🄐 🄑 🄒 🄓 🄔 🄕 🄖 🄗 🄘 🄙 🄚 🄛 🄜 🄝 🄞 🄟 🄠 🄡 🄢 🄣 🄤 🄥 🄦 🄧 🄨 🄩 🄪 🄫 🄬 🄭 🄮 🄯 🄰 🄱 🄲 🄳 🄴 🄵 🄶 🄷 🄸 🄹 🄺 🄻 🄼 🄽 🄾 🄿 🅀 🅁 🅂 🅃 🅄 🅅 🅆 🅇 🅈 🅉 🅊 🅋 🅌 🅍 🅎 🅏 🅐 🅑 🅒 🅓 🅔 🅕 🅖 🅗 🅘 🅙 🅚 🅛 🅜 🅝 🅞 🅟 🅠 🅡 🅢 🅣 🅤 🅥 🅦 🅧 🅨 🅩 🅪 🅫 🅬 🅭 🅮 🅯 🅰 🅱 🅲 🅳 🅴 🅵 🅶 🅷 🅸 🅹 🅺 🅻 🅼 🅽 🅾 🅿 🆀 🆁 🆂 🆃 🆄 🆅 🆆 🆇 🆈 🆉 🆊 🆋 🆌 🆍 🆎 🆏 🆐 🆑 🆒 🆓 🆔 🆕 🆖 🆗 🆘 🆙 🆚 🆛 🆜 🆝 🆞 🆟 🆠 🆡 🆢 🆣 🆤 🆥 🆦 🆧 🆨 🆩 🆪 🆫 🆬 🆭 🇦 🇧 🇨 🇩 🇪 🇫 🇬 🇭 🇮 🇯 🇰 🇱 🇲 🇳 🇴 🇵 🇶 🇷 🇸 🇹 🇺 🇻 🇼 🇽 🇾 🇿</t>
        </is>
      </c>
      <c r="Q504" s="38" t="inlineStr">
        <is>
          <t>🄎 🄯 🅐 🅑 🅒 🅓 🅔 🅕 🅖 🅗 🅘 🅙 🅚 🅛 🅜 🅝 🅟 🅠 🅡 🅢 🅣 🅤 🅥 🅦 🅧 🅨 🅩 🅭 🅯 🅰 🅱 🅲 🅳 🅴 🅵 🅶 🅷 🅸 🅹 🅺 🅻 🅼 🅽 🅿 🆀 🆁 🆂 🆃 🆄 🆅 🆆 🆇 🆈 🆉 🆋 🆌 🆍 🆎 🆏 🆑 🆒 🆓 🆔 🆕 🆖 🆗 🆘 🆙 🆚 🆛 🆜 🆝 🆞 🆟 🆠 🆡 🆢 🆣 🆤 🆥 🆦 🆧 🆨 🆩 🆪 🆫 🆬 🆭 🇦 🇧 🇨 🇩 🇪 🇫 🇬 🇭 🇮 🇯 🇰 🇱 🇲 🇳 🇵 🇶 🇷 🇸 🇹 🇺 🇻 🇼 🇽 🇾 🇿</t>
        </is>
      </c>
      <c r="R504" s="43" t="inlineStr">
        <is>
          <t>🄯 🅐 🅑 🅒 🅓 🅔 🅕 🅖 🅗 🅘 🅙 🅚 🅛 🅜 🅝 🅟 🅠 🅡 🅢 🅣 🅤 🅥 🅦 🅧 🅨 🅩 🅰 🅱 🅲 🅳 🅴 🅵 🅶 🅷 🅸 🅹 🅺 🅻 🅼 🅽 🅿 🆀 🆁 🆂 🆃 🆄 🆅 🆆 🆇 🆈 🆉 🆑 🆔 🆕 🆖 🆗</t>
        </is>
      </c>
      <c r="S504" s="40" t="n"/>
      <c r="V504" s="14">
        <f>(LEN(O504)+1)/2</f>
        <v/>
      </c>
      <c r="W504" s="14">
        <f>ROUNDDOWN((LEN(P504)+1)/2,0)</f>
        <v/>
      </c>
      <c r="X504" s="14">
        <f>ROUNDDOWN((LEN(Q504)+1)/2,0)</f>
        <v/>
      </c>
      <c r="Y504" s="14">
        <f>ROUNDDOWN((LEN(R504)+1)/2,0)</f>
        <v/>
      </c>
      <c r="Z504" s="14">
        <f>ROUNDDOWN((LEN(S504)+1)/2,0)</f>
        <v/>
      </c>
      <c r="AA504" s="56" t="n">
        <v>46150.55870406191</v>
      </c>
    </row>
    <row r="505" ht="38.25" customHeight="1">
      <c r="B505" s="46" t="inlineStr">
        <is>
          <t>U+1F300-U+1F3FF</t>
        </is>
      </c>
      <c r="C505" s="46" t="inlineStr">
        <is>
          <t>Miscellaneous Symbols and Pictographs</t>
        </is>
      </c>
      <c r="D505" s="54">
        <f>HEX2DEC(MID(B505,3,FIND("-",E505)-3))</f>
        <v/>
      </c>
      <c r="E505" s="46" t="inlineStr">
        <is>
          <t>U+1F300-U+1F5FF</t>
        </is>
      </c>
      <c r="F505" s="12" t="n">
        <v>4</v>
      </c>
      <c r="J505" s="19">
        <f>ROUNDDOWN(W505,0)/$V505</f>
        <v/>
      </c>
      <c r="K505" s="19">
        <f>ROUNDDOWN(X505,0)/$V505</f>
        <v/>
      </c>
      <c r="L505" s="19">
        <f>ROUNDDOWN(Y505,0)/$V505</f>
        <v/>
      </c>
      <c r="M505" s="19">
        <f>ROUNDDOWN(Z505,0)/$V505</f>
        <v/>
      </c>
      <c r="O505" s="36" t="inlineStr">
        <is>
          <t>🈀 🈁 🈂 🈐 🈑 🈒 🈓 🈔 🈕 🈖 🈗 🈘 🈙 🈚 🈛 🈜 🈝 🈞 🈟 🈠 🈡 🈢 🈣 🈤 🈥 🈦 🈧 🈨 🈩 🈪 🈫 🈬 🈭 🈮 🈯 🈰 🈱 🈲 🈳 🈴 🈵 🈶 🈷 🈸 🈹 🈺 🈻 🉀 🉁 🉂 🉃 🉄 🉅 🉆 🉇 🉈 🉐 🉑 🉠 🉡 🉢 🉣 🉤 🉥</t>
        </is>
      </c>
      <c r="P505" s="37" t="inlineStr">
        <is>
          <t>🈀 🈁 🈂 🈐 🈑 🈒 🈓 🈔 🈕 🈖 🈗 🈘 🈙 🈚 🈛 🈜 🈝 🈞 🈟 🈠 🈡 🈢 🈣 🈤 🈥 🈦 🈧 🈨 🈩 🈪 🈫 🈬 🈭 🈮 🈯 🈰 🈱 🈲 🈳 🈴 🈵 🈶 🈷 🈸 🈹 🈺 🈻 🉀 🉁 🉂 🉃 🉄 🉅 🉆 🉇 🉈 🉐 🉑 🉠 🉡 🉢 🉣 🉤 🉥</t>
        </is>
      </c>
      <c r="Q505" s="38" t="inlineStr">
        <is>
          <t>🈂 🈐 🈑 🈒 🈔 🈕 🈖 🈗 🈘 🈙 🈚 🈛 🈜 🈝 🈞 🈟 🈠 🈡 🈢 🈣 🈤 🈥 🈦 🈧 🈨 🈩 🈪 🈫 🈬 🈭 🈮 🈯 🈰 🈱 🈲 🈳 🈴 🈵 🈶 🈷 🈸 🈹 🈺 🈻 🉐 🉑 🉠 🉡 🉢 🉣 🉤 🉥</t>
        </is>
      </c>
      <c r="R505" s="43" t="inlineStr"/>
      <c r="S505" s="40" t="n"/>
      <c r="V505" s="14">
        <f>(LEN(O505)+1)/2</f>
        <v/>
      </c>
      <c r="W505" s="14">
        <f>ROUNDDOWN((LEN(P505)+1)/2,0)</f>
        <v/>
      </c>
      <c r="X505" s="14">
        <f>ROUNDDOWN((LEN(Q505)+1)/2,0)</f>
        <v/>
      </c>
      <c r="Y505" s="14">
        <f>ROUNDDOWN((LEN(R505)+1)/2,0)</f>
        <v/>
      </c>
      <c r="Z505" s="14">
        <f>ROUNDDOWN((LEN(S505)+1)/2,0)</f>
        <v/>
      </c>
      <c r="AA505" s="56" t="n">
        <v>46150.55870445771</v>
      </c>
    </row>
    <row r="506" ht="102" customHeight="1">
      <c r="B506" s="46" t="inlineStr">
        <is>
          <t>U+1F400-U+1F4FF</t>
        </is>
      </c>
      <c r="C506" s="46" t="inlineStr">
        <is>
          <t>Miscellaneous Symbols and Pictographs</t>
        </is>
      </c>
      <c r="D506" s="54">
        <f>HEX2DEC(MID(B506,3,FIND("-",E506)-3))</f>
        <v/>
      </c>
      <c r="E506" s="46" t="inlineStr">
        <is>
          <t>U+1F300-U+1F5FF</t>
        </is>
      </c>
      <c r="F506" s="12" t="n">
        <v>4</v>
      </c>
      <c r="J506" s="19">
        <f>ROUNDDOWN(W506,0)/$V506</f>
        <v/>
      </c>
      <c r="K506" s="19">
        <f>ROUNDDOWN(X506,0)/$V506</f>
        <v/>
      </c>
      <c r="L506" s="19">
        <f>ROUNDDOWN(Y506,0)/$V506</f>
        <v/>
      </c>
      <c r="M506" s="19">
        <f>ROUNDDOWN(Z506,0)/$V506</f>
        <v/>
      </c>
      <c r="O506" s="36" t="inlineStr">
        <is>
          <t>🌀 🌁 🌂 🌃 🌄 🌅 🌆 🌇 🌈 🌉 🌊 🌋 🌌 🌍 🌎 🌏 🌐 🌑 🌒 🌓 🌔 🌕 🌖 🌗 🌘 🌙 🌚 🌛 🌜 🌝 🌞 🌟 🌠 🌡 🌢 🌣 🌤 🌥 🌦 🌧 🌨 🌩 🌪 🌫 🌬 🌭 🌮 🌯 🌰 🌱 🌲 🌳 🌴 🌵 🌶 🌷 🌸 🌹 🌺 🌻 🌼 🌽 🌾 🌿 🍀 🍁 🍂 🍃 🍄 🍅 🍆 🍇 🍈 🍉 🍊 🍋 🍌 🍍 🍎 🍏 🍐 🍑 🍒 🍓 🍔 🍕 🍖 🍗 🍘 🍙 🍚 🍛 🍜 🍝 🍞 🍟 🍠 🍡 🍢 🍣 🍤 🍥 🍦 🍧 🍨 🍩 🍪 🍫 🍬 🍭 🍮 🍯 🍰 🍱 🍲 🍳 🍴 🍵 🍶 🍷 🍸 🍹 🍺 🍻 🍼 🍽 🍾 🍿 🎀 🎁 🎂 🎃 🎄 🎅 🎆 🎇 🎈 🎉 🎊 🎋 🎌 🎍 🎎 🎏 🎐 🎑 🎒 🎓 🎔 🎕 🎖 🎗 🎘 🎙 🎚 🎛 🎜 🎝 🎞 🎟 🎠 🎡 🎢 🎣 🎤 🎥 🎦 🎧 🎨 🎩 🎪 🎫 🎬 🎭 🎮 🎯 🎰 🎱 🎲 🎳 🎴 🎵 🎶 🎷 🎸 🎹 🎺 🎻 🎼 🎽 🎾 🎿 🏀 🏁 🏂 🏃 🏄 🏅 🏆 🏇 🏈 🏉 🏊 🏋 🏌 🏍 🏎 🏏 🏐 🏑 🏒 🏓 🏔 🏕 🏖 🏗 🏘 🏙 🏚 🏛 🏜 🏝 🏞 🏟 🏠 🏡 🏢 🏣 🏤 🏥 🏦 🏧 🏨 🏩 🏪 🏫 🏬 🏭 🏮 🏯 🏰 🏱 🏲 🏳 🏴 🏵 🏶 🏷 🏸 🏹 🏺 🏻 🏼 🏽 🏾 🏿</t>
        </is>
      </c>
      <c r="P506" s="37" t="inlineStr">
        <is>
          <t>🌀 🌁 🌂 🌃 🌄 🌅 🌆 🌇 🌈 🌉 🌊 🌋 🌌 🌍 🌎 🌏 🌐 🌑 🌒 🌓 🌔 🌕 🌖 🌗 🌘 🌙 🌚 🌛 🌜 🌝 🌞 🌟 🌠 🌡 🌢 🌣 🌤 🌥 🌦 🌧 🌨 🌩 🌪 🌫 🌬 🌭 🌮 🌯 🌰 🌱 🌲 🌳 🌴 🌵 🌶 🌷 🌸 🌹 🌺 🌻 🌼 🌽 🌾 🌿 🍀 🍁 🍂 🍃 🍄 🍅 🍆 🍇 🍈 🍉 🍊 🍋 🍌 🍍 🍎 🍏 🍐 🍑 🍒 🍓 🍔 🍕 🍖 🍗 🍘 🍙 🍚 🍛 🍜 🍝 🍞 🍟 🍠 🍡 🍢 🍣 🍤 🍥 🍦 🍧 🍨 🍩 🍪 🍫 🍬 🍭 🍮 🍯 🍰 🍱 🍲 🍳 🍴 🍵 🍶 🍷 🍸 🍹 🍺 🍻 🍼 🍽 🍾 🍿 🎀 🎁 🎂 🎃 🎄 🎅 🎆 🎇 🎈 🎉 🎊 🎋 🎌 🎍 🎎 🎏 🎐 🎑 🎒 🎓 🎔 🎕 🎖 🎗 🎘 🎙 🎚 🎛 🎜 🎝 🎞 🎟 🎠 🎡 🎢 🎣 🎤 🎥 🎦 🎧 🎨 🎩 🎪 🎫 🎬 🎭 🎮 🎯 🎰 🎱 🎲 🎳 🎴 🎵 🎶 🎷 🎸 🎹 🎺 🎻 🎼 🎽 🎾 🎿 🏀 🏁 🏂 🏃 🏄 🏅 🏆 🏇 🏈 🏉 🏊 🏋 🏌 🏍 🏎 🏏 🏐 🏑 🏒 🏓 🏔 🏕 🏖 🏗 🏘 🏙 🏚 🏛 🏜 🏝 🏞 🏟 🏠 🏡 🏢 🏣 🏤 🏥 🏦 🏧 🏨 🏩 🏪 🏫 🏬 🏭 🏮 🏯 🏰 🏱 🏲 🏳 🏴 🏵 🏶 🏷 🏸 🏹 🏺 🏻 🏼 🏽 🏾 🏿</t>
        </is>
      </c>
      <c r="Q506" s="38" t="inlineStr"/>
      <c r="R506" t="inlineStr"/>
      <c r="S506" s="40" t="n"/>
      <c r="V506" s="14">
        <f>(LEN(O506)+1)/2</f>
        <v/>
      </c>
      <c r="W506" s="14">
        <f>ROUNDDOWN((LEN(P506)+1)/2,0)</f>
        <v/>
      </c>
      <c r="X506" s="14">
        <f>ROUNDDOWN((LEN(Q506)+1)/2,0)</f>
        <v/>
      </c>
      <c r="Y506" s="14">
        <f>ROUNDDOWN((LEN(R506)+1)/2,0)</f>
        <v/>
      </c>
      <c r="Z506" s="14">
        <f>ROUNDDOWN((LEN(S506)+1)/2,0)</f>
        <v/>
      </c>
      <c r="AA506" s="56" t="n">
        <v>46150.55870447076</v>
      </c>
    </row>
    <row r="507" ht="102" customHeight="1">
      <c r="B507" s="46" t="inlineStr">
        <is>
          <t>U+1F500-U+1F5FF</t>
        </is>
      </c>
      <c r="C507" s="46" t="inlineStr">
        <is>
          <t>Miscellaneous Symbols and Pictographs</t>
        </is>
      </c>
      <c r="D507" s="54">
        <f>HEX2DEC(MID(B507,3,FIND("-",E507)-3))</f>
        <v/>
      </c>
      <c r="E507" s="46" t="inlineStr">
        <is>
          <t>U+1F300-U+1F5FF</t>
        </is>
      </c>
      <c r="F507" s="12" t="n">
        <v>4</v>
      </c>
      <c r="J507" s="19">
        <f>ROUNDDOWN(W507,0)/$V507</f>
        <v/>
      </c>
      <c r="K507" s="19">
        <f>ROUNDDOWN(X507,0)/$V507</f>
        <v/>
      </c>
      <c r="L507" s="19">
        <f>ROUNDDOWN(Y507,0)/$V507</f>
        <v/>
      </c>
      <c r="M507" s="19">
        <f>ROUNDDOWN(Z507,0)/$V507</f>
        <v/>
      </c>
      <c r="O507" s="36" t="inlineStr">
        <is>
          <t>🐀 🐁 🐂 🐃 🐄 🐅 🐆 🐇 🐈 🐉 🐊 🐋 🐌 🐍 🐎 🐏 🐐 🐑 🐒 🐓 🐔 🐕 🐖 🐗 🐘 🐙 🐚 🐛 🐜 🐝 🐞 🐟 🐠 🐡 🐢 🐣 🐤 🐥 🐦 🐧 🐨 🐩 🐪 🐫 🐬 🐭 🐮 🐯 🐰 🐱 🐲 🐳 🐴 🐵 🐶 🐷 🐸 🐹 🐺 🐻 🐼 🐽 🐾 🐿 👀 👁 👂 👃 👄 👅 👆 👇 👈 👉 👊 👋 👌 👍 👎 👏 👐 👑 👒 👓 👔 👕 👖 👗 👘 👙 👚 👛 👜 👝 👞 👟 👠 👡 👢 👣 👤 👥 👦 👧 👨 👩 👪 👫 👬 👭 👮 👯 👰 👱 👲 👳 👴 👵 👶 👷 👸 👹 👺 👻 👼 👽 👾 👿 💀 💁 💂 💃 💄 💅 💆 💇 💈 💉 💊 💋 💌 💍 💎 💏 💐 💑 💒 💓 💔 💕 💖 💗 💘 💙 💚 💛 💜 💝 💞 💟 💠 💡 💢 💣 💤 💥 💦 💧 💨 💩 💪 💫 💬 💭 💮 💯 💰 💱 💲 💳 💴 💵 💶 💷 💸 💹 💺 💻 💼 💽 💾 💿 📀 📁 📂 📃 📄 📅 📆 📇 📈 📉 📊 📋 📌 📍 📎 📏 📐 📑 📒 📓 📔 📕 📖 📗 📘 📙 📚 📛 📜 📝 📞 📟 📠 📡 📢 📣 📤 📥 📦 📧 📨 📩 📪 📫 📬 📭 📮 📯 📰 📱 📲 📳 📴 📵 📶 📷 📸 📹 📺 📻 📼 📽 📾 📿</t>
        </is>
      </c>
      <c r="P507" s="37" t="inlineStr">
        <is>
          <t>🐀 🐁 🐂 🐃 🐄 🐅 🐆 🐇 🐈 🐉 🐊 🐋 🐌 🐍 🐎 🐏 🐐 🐑 🐒 🐓 🐔 🐕 🐖 🐗 🐘 🐙 🐚 🐛 🐜 🐝 🐞 🐟 🐠 🐡 🐢 🐣 🐤 🐥 🐦 🐧 🐨 🐩 🐪 🐫 🐬 🐭 🐮 🐯 🐰 🐱 🐲 🐳 🐴 🐵 🐶 🐷 🐸 🐹 🐺 🐻 🐼 🐽 🐾 🐿 👀 👁 👂 👃 👄 👅 👆 👇 👈 👉 👊 👋 👌 👍 👎 👏 👐 👑 👒 👓 👔 👕 👖 👗 👘 👙 👚 👛 👜 👝 👞 👟 👠 👡 👢 👣 👤 👥 👦 👧 👨 👩 👪 👫 👬 👭 👮 👯 👰 👱 👲 👳 👴 👵 👶 👷 👸 👹 👺 👻 👼 👽 👾 👿 💀 💁 💂 💃 💄 💅 💆 💇 💈 💉 💊 💋 💌 💍 💎 💏 💐 💑 💒 💓 💔 💕 💖 💗 💘 💙 💚 💛 💜 💝 💞 💟 💠 💡 💢 💣 💤 💥 💦 💧 💨 💩 💪 💫 💬 💭 💮 💯 💰 💱 💲 💳 💴 💵 💶 💷 💸 💹 💺 💻 💼 💽 💾 💿 📀 📁 📂 📃 📄 📅 📆 📇 📈 📉 📊 📋 📌 📍 📎 📏 📐 📑 📒 📓 📔 📕 📖 📗 📘 📙 📚 📛 📜 📝 📞 📟 📠 📡 📢 📣 📤 📥 📦 📧 📨 📩 📪 📫 📬 📭 📮 📯 📰 📱 📲 📳 📴 📵 📶 📷 📸 📹 📺 📻 📼 📽 📾 📿</t>
        </is>
      </c>
      <c r="Q507" s="38" t="inlineStr"/>
      <c r="R507" t="inlineStr"/>
      <c r="S507" s="40" t="n"/>
      <c r="V507" s="14">
        <f>(LEN(O507)+1)/2</f>
        <v/>
      </c>
      <c r="W507" s="14">
        <f>ROUNDDOWN((LEN(P507)+1)/2,0)</f>
        <v/>
      </c>
      <c r="X507" s="14">
        <f>ROUNDDOWN((LEN(Q507)+1)/2,0)</f>
        <v/>
      </c>
      <c r="Y507" s="14">
        <f>ROUNDDOWN((LEN(R507)+1)/2,0)</f>
        <v/>
      </c>
      <c r="Z507" s="14">
        <f>ROUNDDOWN((LEN(S507)+1)/2,0)</f>
        <v/>
      </c>
      <c r="AA507" s="56" t="n">
        <v>46150.55870448452</v>
      </c>
    </row>
    <row r="508" ht="102" customHeight="1">
      <c r="B508" s="46" t="inlineStr">
        <is>
          <t>U+1F600-U+1F64F</t>
        </is>
      </c>
      <c r="C508" s="46" t="inlineStr">
        <is>
          <t>Emoticons</t>
        </is>
      </c>
      <c r="D508" s="54">
        <f>HEX2DEC(MID(B508,3,FIND("-",E508)-3))</f>
        <v/>
      </c>
      <c r="E508" s="46" t="inlineStr">
        <is>
          <t>U+1F600-U+1F64F</t>
        </is>
      </c>
      <c r="F508" s="12" t="n">
        <v>4</v>
      </c>
      <c r="J508" s="19">
        <f>ROUNDDOWN(W508,0)/$V508</f>
        <v/>
      </c>
      <c r="K508" s="19">
        <f>ROUNDDOWN(X508,0)/$V508</f>
        <v/>
      </c>
      <c r="L508" s="19">
        <f>ROUNDDOWN(Y508,0)/$V508</f>
        <v/>
      </c>
      <c r="M508" s="19">
        <f>ROUNDDOWN(Z508,0)/$V508</f>
        <v/>
      </c>
      <c r="O508" s="36" t="inlineStr">
        <is>
          <t>🔀 🔁 🔂 🔃 🔄 🔅 🔆 🔇 🔈 🔉 🔊 🔋 🔌 🔍 🔎 🔏 🔐 🔑 🔒 🔓 🔔 🔕 🔖 🔗 🔘 🔙 🔚 🔛 🔜 🔝 🔞 🔟 🔠 🔡 🔢 🔣 🔤 🔥 🔦 🔧 🔨 🔩 🔪 🔫 🔬 🔭 🔮 🔯 🔰 🔱 🔲 🔳 🔴 🔵 🔶 🔷 🔸 🔹 🔺 🔻 🔼 🔽 🔾 🔿 🕀 🕁 🕂 🕃 🕄 🕅 🕆 🕇 🕈 🕉 🕊 🕋 🕌 🕍 🕎 🕏 🕐 🕑 🕒 🕓 🕔 🕕 🕖 🕗 🕘 🕙 🕚 🕛 🕜 🕝 🕞 🕟 🕠 🕡 🕢 🕣 🕤 🕥 🕦 🕧 🕨 🕩 🕪 🕫 🕬 🕭 🕮 🕯 🕰 🕱 🕲 🕳 🕴 🕵 🕶 🕷 🕸 🕹 🕺 🕻 🕼 🕽 🕾 🕿 🖀 🖁 🖂 🖃 🖄 🖅 🖆 🖇 🖈 🖉 🖊 🖋 🖌 🖍 🖎 🖏 🖐 🖑 🖒 🖓 🖔 🖕 🖖 🖗 🖘 🖙 🖚 🖛 🖜 🖝 🖞 🖟 🖠 🖡 🖢 🖣 🖤 🖥 🖦 🖧 🖨 🖩 🖪 🖫 🖬 🖭 🖮 🖯 🖰 🖱 🖲 🖳 🖴 🖵 🖶 🖷 🖸 🖹 🖺 🖻 🖼 🖽 🖾 🖿 🗀 🗁 🗂 🗃 🗄 🗅 🗆 🗇 🗈 🗉 🗊 🗋 🗌 🗍 🗎 🗏 🗐 🗑 🗒 🗓 🗔 🗕 🗖 🗗 🗘 🗙 🗚 🗛 🗜 🗝 🗞 🗟 🗠 🗡 🗢 🗣 🗤 🗥 🗦 🗧 🗨 🗩 🗪 🗫 🗬 🗭 🗮 🗯 🗰 🗱 🗲 🗳 🗴 🗵 🗶 🗷 🗸 🗹 🗺 🗻 🗼 🗽 🗾 🗿</t>
        </is>
      </c>
      <c r="P508" s="37" t="inlineStr">
        <is>
          <t>🔀 🔁 🔂 🔃 🔄 🔅 🔆 🔇 🔈 🔉 🔊 🔋 🔌 🔍 🔎 🔏 🔐 🔑 🔒 🔓 🔔 🔕 🔖 🔗 🔘 🔙 🔚 🔛 🔜 🔝 🔞 🔟 🔠 🔡 🔢 🔣 🔤 🔥 🔦 🔧 🔨 🔩 🔪 🔫 🔬 🔭 🔮 🔯 🔰 🔱 🔲 🔳 🔴 🔵 🔶 🔷 🔸 🔹 🔺 🔻 🔼 🔽 🔾 🔿 🕀 🕁 🕂 🕃 🕄 🕅 🕆 🕇 🕈 🕉 🕊 🕋 🕌 🕍 🕎 🕏 🕐 🕑 🕒 🕓 🕔 🕕 🕖 🕗 🕘 🕙 🕚 🕛 🕜 🕝 🕞 🕟 🕠 🕡 🕢 🕣 🕤 🕥 🕦 🕧 🕨 🕩 🕪 🕫 🕬 🕭 🕮 🕯 🕰 🕱 🕲 🕳 🕴 🕵 🕶 🕷 🕸 🕹 🕺 🕻 🕼 🕽 🕾 🕿 🖀 🖁 🖂 🖃 🖄 🖅 🖆 🖇 🖈 🖉 🖊 🖋 🖌 🖍 🖎 🖏 🖐 🖑 🖒 🖓 🖔 🖕 🖖 🖗 🖘 🖙 🖚 🖛 🖜 🖝 🖞 🖟 🖠 🖡 🖢 🖣 🖤 🖥 🖦 🖧 🖨 🖩 🖪 🖫 🖬 🖭 🖮 🖯 🖰 🖱 🖲 🖳 🖴 🖵 🖶 🖷 🖸 🖹 🖺 🖻 🖼 🖽 🖾 🖿 🗀 🗁 🗂 🗃 🗄 🗅 🗆 🗇 🗈 🗉 🗊 🗋 🗌 🗍 🗎 🗏 🗐 🗑 🗒 🗓 🗔 🗕 🗖 🗗 🗘 🗙 🗚 🗛 🗜 🗝 🗞 🗟 🗠 🗡 🗢 🗣 🗤 🗥 🗦 🗧 🗨 🗩 🗪 🗫 🗬 🗭 🗮 🗯 🗰 🗱 🗲 🗳 🗴 🗵 🗶 🗷 🗸 🗹 🗺 🗻 🗼 🗽 🗾 🗿</t>
        </is>
      </c>
      <c r="Q508" s="38" t="inlineStr"/>
      <c r="R508" t="inlineStr"/>
      <c r="S508" s="40" t="n"/>
      <c r="V508" s="14">
        <f>(LEN(O508)+1)/2</f>
        <v/>
      </c>
      <c r="W508" s="14">
        <f>ROUNDDOWN((LEN(P508)+1)/2,0)</f>
        <v/>
      </c>
      <c r="X508" s="14">
        <f>ROUNDDOWN((LEN(Q508)+1)/2,0)</f>
        <v/>
      </c>
      <c r="Y508" s="14">
        <f>ROUNDDOWN((LEN(R508)+1)/2,0)</f>
        <v/>
      </c>
      <c r="Z508" s="14">
        <f>ROUNDDOWN((LEN(S508)+1)/2,0)</f>
        <v/>
      </c>
      <c r="AA508" s="56" t="n">
        <v>46150.55870449757</v>
      </c>
    </row>
    <row r="509" ht="38.25" customHeight="1">
      <c r="B509" s="46" t="inlineStr">
        <is>
          <t>U+1F650-U+1F67F</t>
        </is>
      </c>
      <c r="C509" s="46" t="inlineStr">
        <is>
          <t>Ornamental Dingbats</t>
        </is>
      </c>
      <c r="D509" s="54">
        <f>HEX2DEC(MID(B509,3,FIND("-",E509)-3))</f>
        <v/>
      </c>
      <c r="E509" s="46" t="inlineStr">
        <is>
          <t>U+1F650-U+1F67F</t>
        </is>
      </c>
      <c r="F509" s="12" t="n">
        <v>4</v>
      </c>
      <c r="J509" s="19">
        <f>ROUNDDOWN(W509,0)/$V509</f>
        <v/>
      </c>
      <c r="K509" s="19">
        <f>ROUNDDOWN(X509,0)/$V509</f>
        <v/>
      </c>
      <c r="L509" s="19">
        <f>ROUNDDOWN(Y509,0)/$V509</f>
        <v/>
      </c>
      <c r="M509" s="19">
        <f>ROUNDDOWN(Z509,0)/$V509</f>
        <v/>
      </c>
      <c r="O509" s="36" t="inlineStr">
        <is>
          <t>😀 😁 😂 😃 😄 😅 😆 😇 😈 😉 😊 😋 😌 😍 😎 😏 😐 😑 😒 😓 😔 😕 😖 😗 😘 😙 😚 😛 😜 😝 😞 😟 😠 😡 😢 😣 😤 😥 😦 😧 😨 😩 😪 😫 😬 😭 😮 😯 😰 😱 😲 😳 😴 😵 😶 😷 😸 😹 😺 😻 😼 😽 😾 😿 🙀 🙁 🙂 🙃 🙄 🙅 🙆 🙇 🙈 🙉 🙊 🙋 🙌 🙍 🙎 🙏</t>
        </is>
      </c>
      <c r="P509" s="37" t="inlineStr">
        <is>
          <t>😀 😁 😂 😃 😄 😅 😆 😇 😈 😉 😊 😋 😌 😍 😎 😏 😐 😑 😒 😓 😔 😕 😖 😗 😘 😙 😚 😛 😜 😝 😞 😟 😠 😡 😢 😣 😤 😥 😦 😧 😨 😩 😪 😫 😬 😭 😮 😯 😰 😱 😲 😳 😴 😵 😶 😷 😸 😹 😺 😻 😼 😽 😾 😿 🙀 🙁 🙂 🙃 🙄 🙅 🙆 🙇 🙈 🙉 🙊 🙋 🙌 🙍 🙎 🙏</t>
        </is>
      </c>
      <c r="Q509" s="38" t="inlineStr"/>
      <c r="R509" t="inlineStr"/>
      <c r="S509" s="40" t="n"/>
      <c r="V509" s="14">
        <f>(LEN(O509)+1)/2</f>
        <v/>
      </c>
      <c r="W509" s="14">
        <f>ROUNDDOWN((LEN(P509)+1)/2,0)</f>
        <v/>
      </c>
      <c r="X509" s="14">
        <f>ROUNDDOWN((LEN(Q509)+1)/2,0)</f>
        <v/>
      </c>
      <c r="Y509" s="14">
        <f>ROUNDDOWN((LEN(R509)+1)/2,0)</f>
        <v/>
      </c>
      <c r="Z509" s="14">
        <f>ROUNDDOWN((LEN(S509)+1)/2,0)</f>
        <v/>
      </c>
      <c r="AA509" s="56" t="n">
        <v>46150.55870450217</v>
      </c>
    </row>
    <row r="510" ht="25.5" customHeight="1">
      <c r="B510" s="46" t="inlineStr">
        <is>
          <t>U+1F680-U+1F6FC</t>
        </is>
      </c>
      <c r="C510" s="46" t="inlineStr">
        <is>
          <t>Transport and Map Symbols</t>
        </is>
      </c>
      <c r="D510" s="54">
        <f>HEX2DEC(MID(B510,3,FIND("-",E510)-3))</f>
        <v/>
      </c>
      <c r="E510" s="46" t="inlineStr">
        <is>
          <t>U+1F680-U+1F6FF</t>
        </is>
      </c>
      <c r="F510" s="12" t="n">
        <v>4</v>
      </c>
      <c r="J510" s="19">
        <f>ROUNDDOWN(W510,0)/$V510</f>
        <v/>
      </c>
      <c r="K510" s="19">
        <f>ROUNDDOWN(X510,0)/$V510</f>
        <v/>
      </c>
      <c r="L510" s="19">
        <f>ROUNDDOWN(Y510,0)/$V510</f>
        <v/>
      </c>
      <c r="M510" s="19">
        <f>ROUNDDOWN(Z510,0)/$V510</f>
        <v/>
      </c>
      <c r="O510" s="36" t="inlineStr">
        <is>
          <t>🙐 🙑 🙒 🙓 🙔 🙕 🙖 🙗 🙘 🙙 🙚 🙛 🙜 🙝 🙞 🙟 🙠 🙡 🙢 🙣 🙤 🙥 🙦 🙧 🙨 🙩 🙪 🙫 🙬 🙭 🙮 🙯 🙰 🙱 🙲 🙳 🙴 🙵 🙶 🙷 🙸 🙹 🙺 🙻 🙼 🙽 🙾 🙿</t>
        </is>
      </c>
      <c r="P510" s="37" t="inlineStr">
        <is>
          <t>🙐 🙑 🙒 🙓 🙔 🙕 🙖 🙗 🙘 🙙 🙚 🙛 🙜 🙝 🙞 🙟 🙠 🙡 🙢 🙣 🙤 🙥 🙦 🙧 🙨 🙩 🙪 🙫 🙬 🙭 🙮 🙯 🙰 🙱 🙲 🙳 🙴 🙵 🙶 🙷 🙸 🙹 🙺 🙻 🙼 🙽 🙾 🙿</t>
        </is>
      </c>
      <c r="Q510" s="38" t="inlineStr"/>
      <c r="R510" t="inlineStr"/>
      <c r="S510" s="40" t="n"/>
      <c r="V510" s="14">
        <f>(LEN(O510)+1)/2</f>
        <v/>
      </c>
      <c r="W510" s="14">
        <f>ROUNDDOWN((LEN(P510)+1)/2,0)</f>
        <v/>
      </c>
      <c r="X510" s="14">
        <f>ROUNDDOWN((LEN(Q510)+1)/2,0)</f>
        <v/>
      </c>
      <c r="Y510" s="14">
        <f>ROUNDDOWN((LEN(R510)+1)/2,0)</f>
        <v/>
      </c>
      <c r="Z510" s="14">
        <f>ROUNDDOWN((LEN(S510)+1)/2,0)</f>
        <v/>
      </c>
      <c r="AA510" s="56" t="n">
        <v>46150.55870450454</v>
      </c>
    </row>
    <row r="511" ht="51" customHeight="1">
      <c r="B511" s="46" t="inlineStr">
        <is>
          <t>U+1F700-U+1F77F</t>
        </is>
      </c>
      <c r="C511" s="46" t="inlineStr">
        <is>
          <t>Alchemical Symbols</t>
        </is>
      </c>
      <c r="D511" s="54">
        <f>HEX2DEC(MID(B511,3,FIND("-",E511)-3))</f>
        <v/>
      </c>
      <c r="E511" s="46" t="inlineStr">
        <is>
          <t>U+1F700-U+1F77F</t>
        </is>
      </c>
      <c r="F511" s="12" t="n">
        <v>4</v>
      </c>
      <c r="J511" s="19">
        <f>ROUNDDOWN(W511,0)/$V511</f>
        <v/>
      </c>
      <c r="K511" s="19">
        <f>ROUNDDOWN(X511,0)/$V511</f>
        <v/>
      </c>
      <c r="L511" s="19">
        <f>ROUNDDOWN(Y511,0)/$V511</f>
        <v/>
      </c>
      <c r="M511" s="19">
        <f>ROUNDDOWN(Z511,0)/$V511</f>
        <v/>
      </c>
      <c r="O511" s="36" t="inlineStr">
        <is>
          <t>🚀 🚁 🚂 🚃 🚄 🚅 🚆 🚇 🚈 🚉 🚊 🚋 🚌 🚍 🚎 🚏 🚐 🚑 🚒 🚓 🚔 🚕 🚖 🚗 🚘 🚙 🚚 🚛 🚜 🚝 🚞 🚟 🚠 🚡 🚢 🚣 🚤 🚥 🚦 🚧 🚨 🚩 🚪 🚫 🚬 🚭 🚮 🚯 🚰 🚱 🚲 🚳 🚴 🚵 🚶 🚷 🚸 🚹 🚺 🚻 🚼 🚽 🚾 🚿 🛀 🛁 🛂 🛃 🛄 🛅 🛆 🛇 🛈 🛉 🛊 🛋 🛌 🛍 🛎 🛏 🛐 🛑 🛒 🛓 🛔 🛕 🛖 🛗 🛜 🛝 🛞 🛟 🛠 🛡 🛢 🛣 🛤 🛥 🛦 🛧 🛨 🛩 🛪 🛫 🛬 🛰 🛱 🛲 🛳 🛴 🛵 🛶 🛷 🛸 🛹 🛺 🛻 🛼</t>
        </is>
      </c>
      <c r="P511" s="37" t="inlineStr">
        <is>
          <t>🚀 🚁 🚂 🚃 🚄 🚅 🚆 🚇 🚈 🚉 🚊 🚋 🚌 🚍 🚎 🚏 🚐 🚑 🚒 🚓 🚔 🚕 🚖 🚗 🚘 🚙 🚚 🚛 🚜 🚝 🚞 🚟 🚠 🚡 🚢 🚣 🚤 🚥 🚦 🚧 🚨 🚩 🚪 🚫 🚬 🚭 🚮 🚯 🚰 🚱 🚲 🚳 🚴 🚵 🚶 🚷 🚸 🚹 🚺 🚻 🚼 🚽 🚾 🚿 🛀 🛁 🛂 🛃 🛄 🛅 🛆 🛇 🛈 🛉 🛊 🛋 🛌 🛍 🛎 🛏 🛐 🛑 🛒 🛓 🛔 🛕 🛖 🛗 🛜 🛝 🛞 🛟 🛠 🛡 🛢 🛣 🛤 🛥 🛦 🛧 🛨 🛩 🛪 🛫 🛬 🛰 🛱 🛲 🛳 🛴 🛵 🛶 🛷 🛸 🛹 🛺 🛻 🛼</t>
        </is>
      </c>
      <c r="Q511" s="38" t="inlineStr"/>
      <c r="R511" t="inlineStr"/>
      <c r="S511" s="40" t="n"/>
      <c r="V511" s="14">
        <f>(LEN(O511)+1)/2</f>
        <v/>
      </c>
      <c r="W511" s="14">
        <f>ROUNDDOWN((LEN(P511)+1)/2,0)</f>
        <v/>
      </c>
      <c r="X511" s="14">
        <f>ROUNDDOWN((LEN(Q511)+1)/2,0)</f>
        <v/>
      </c>
      <c r="Y511" s="14">
        <f>ROUNDDOWN((LEN(R511)+1)/2,0)</f>
        <v/>
      </c>
      <c r="Z511" s="14">
        <f>ROUNDDOWN((LEN(S511)+1)/2,0)</f>
        <v/>
      </c>
      <c r="AA511" s="56" t="n">
        <v>46150.55870450969</v>
      </c>
    </row>
    <row r="512" ht="51" customHeight="1">
      <c r="B512" s="46" t="inlineStr">
        <is>
          <t>U+1F780-U+1F7F0</t>
        </is>
      </c>
      <c r="C512" s="46" t="inlineStr">
        <is>
          <t>Geometric Shapes Extended</t>
        </is>
      </c>
      <c r="D512" s="54">
        <f>HEX2DEC(MID(B512,3,FIND("-",E512)-3))</f>
        <v/>
      </c>
      <c r="E512" s="46" t="inlineStr">
        <is>
          <t>U+1F780-U+1F7FF</t>
        </is>
      </c>
      <c r="F512" s="12" t="n">
        <v>4</v>
      </c>
      <c r="J512" s="19">
        <f>ROUNDDOWN(W512,0)/$V512</f>
        <v/>
      </c>
      <c r="K512" s="19">
        <f>ROUNDDOWN(X512,0)/$V512</f>
        <v/>
      </c>
      <c r="L512" s="19">
        <f>ROUNDDOWN(Y512,0)/$V512</f>
        <v/>
      </c>
      <c r="M512" s="19">
        <f>ROUNDDOWN(Z512,0)/$V512</f>
        <v/>
      </c>
      <c r="O512" s="36" t="inlineStr">
        <is>
          <t>🜀 🜁 🜂 🜃 🜄 🜅 🜆 🜇 🜈 🜉 🜊 🜋 🜌 🜍 🜎 🜏 🜐 🜑 🜒 🜓 🜔 🜕 🜖 🜗 🜘 🜙 🜚 🜛 🜜 🜝 🜞 🜟 🜠 🜡 🜢 🜣 🜤 🜥 🜦 🜧 🜨 🜩 🜪 🜫 🜬 🜭 🜮 🜯 🜰 🜱 🜲 🜳 🜴 🜵 🜶 🜷 🜸 🜹 🜺 🜻 🜼 🜽 🜾 🜿 🝀 🝁 🝂 🝃 🝄 🝅 🝆 🝇 🝈 🝉 🝊 🝋 🝌 🝍 🝎 🝏 🝐 🝑 🝒 🝓 🝔 🝕 🝖 🝗 🝘 🝙 🝚 🝛 🝜 🝝 🝞 🝟 🝠 🝡 🝢 🝣 🝤 🝥 🝦 🝧 🝨 🝩 🝪 🝫 🝬 🝭 🝮 🝯 🝰 🝱 🝲 🝳 🝴 🝵 🝶 🝻 🝼 🝽 🝾 🝿</t>
        </is>
      </c>
      <c r="P512" s="37" t="inlineStr">
        <is>
          <t>🜀 🜁 🜂 🜃 🜄 🜅 🜆 🜇 🜈 🜉 🜊 🜋 🜌 🜍 🜎 🜏 🜐 🜑 🜒 🜓 🜔 🜕 🜖 🜗 🜘 🜙 🜚 🜛 🜜 🜝 🜞 🜟 🜠 🜡 🜢 🜣 🜤 🜥 🜦 🜧 🜨 🜩 🜪 🜫 🜬 🜭 🜮 🜯 🜰 🜱 🜲 🜳 🜴 🜵 🜶 🜷 🜸 🜹 🜺 🜻 🜼 🜽 🜾 🜿 🝀 🝁 🝂 🝃 🝄 🝅 🝆 🝇 🝈 🝉 🝊 🝋 🝌 🝍 🝎 🝏 🝐 🝑 🝒 🝓 🝔 🝕 🝖 🝗 🝘 🝙 🝚 🝛 🝜 🝝 🝞 🝟 🝠 🝡 🝢 🝣 🝤 🝥 🝦 🝧 🝨 🝩 🝪 🝫 🝬 🝭 🝮 🝯 🝰 🝱 🝲 🝳 🝴 🝵 🝶 🝻 🝼 🝽 🝾 🝿</t>
        </is>
      </c>
      <c r="Q512" s="38" t="inlineStr">
        <is>
          <t>🜀 🜁 🜂 🜃 🜄 🜅 🜆 🜇 🜈 🜉 🜊 🜋 🜌 🜍 🜎 🜏 🜐 🜑 🜒 🜓 🜔 🜕 🜖 🜗 🜘 🜙 🜚 🜛 🜜 🜝 🜞 🜟 🜠 🜡 🜢 🜣 🜤 🜥 🜦 🜧 🜨 🜩 🜪 🜫 🜬 🜭 🜮 🜯 🜰 🜱 🜲 🜳 🜴 🜵 🜶 🜷 🜸 🜹 🜺 🜻 🜼 🜽 🜾 🜿 🝀 🝁 🝂 🝃 🝄 🝅 🝆 🝇 🝈 🝉 🝊 🝋 🝌 🝍 🝎 🝏 🝐 🝑 🝒 🝓 🝔 🝕 🝖 🝗 🝘 🝙 🝚 🝛 🝜 🝝 🝞 🝟 🝠 🝡 🝢 🝣 🝤 🝥 🝦 🝧 🝨 🝩 🝪 🝫 🝬 🝭 🝮 🝯 🝰 🝱 🝲 🝳 🝴 🝵 🝶 🝻 🝼 🝽 🝾 🝿</t>
        </is>
      </c>
      <c r="R512" s="43" t="inlineStr"/>
      <c r="S512" s="40" t="n"/>
      <c r="V512" s="14">
        <f>(LEN(O512)+1)/2</f>
        <v/>
      </c>
      <c r="W512" s="14">
        <f>ROUNDDOWN((LEN(P512)+1)/2,0)</f>
        <v/>
      </c>
      <c r="X512" s="14">
        <f>ROUNDDOWN((LEN(Q512)+1)/2,0)</f>
        <v/>
      </c>
      <c r="Y512" s="14">
        <f>ROUNDDOWN((LEN(R512)+1)/2,0)</f>
        <v/>
      </c>
      <c r="Z512" s="14">
        <f>ROUNDDOWN((LEN(S512)+1)/2,0)</f>
        <v/>
      </c>
      <c r="AA512" s="56" t="n">
        <v>46150.55870468717</v>
      </c>
    </row>
    <row r="513" ht="51" customHeight="1">
      <c r="B513" s="46" t="inlineStr">
        <is>
          <t>U+1F800-U+1F8B1</t>
        </is>
      </c>
      <c r="C513" s="46" t="inlineStr">
        <is>
          <t>Supplemental Arrows-C</t>
        </is>
      </c>
      <c r="D513" s="54">
        <f>HEX2DEC(MID(B513,3,FIND("-",E513)-3))</f>
        <v/>
      </c>
      <c r="E513" s="46" t="inlineStr">
        <is>
          <t>U+1F800-U+1F8FF</t>
        </is>
      </c>
      <c r="F513" s="12" t="n">
        <v>4</v>
      </c>
      <c r="J513" s="19">
        <f>ROUNDDOWN(W513,0)/$V513</f>
        <v/>
      </c>
      <c r="K513" s="19">
        <f>ROUNDDOWN(X513,0)/$V513</f>
        <v/>
      </c>
      <c r="L513" s="19">
        <f>ROUNDDOWN(Y513,0)/$V513</f>
        <v/>
      </c>
      <c r="M513" s="19">
        <f>ROUNDDOWN(Z513,0)/$V513</f>
        <v/>
      </c>
      <c r="O513" s="36" t="inlineStr">
        <is>
          <t>🞀 🞁 🞂 🞃 🞄 🞅 🞆 🞇 🞈 🞉 🞊 🞋 🞌 🞍 🞎 🞏 🞐 🞑 🞒 🞓 🞔 🞕 🞖 🞗 🞘 🞙 🞚 🞛 🞜 🞝 🞞 🞟 🞠 🞡 🞢 🞣 🞤 🞥 🞦 🞧 🞨 🞩 🞪 🞫 🞬 🞭 🞮 🞯 🞰 🞱 🞲 🞳 🞴 🞵 🞶 🞷 🞸 🞹 🞺 🞻 🞼 🞽 🞾 🞿 🟀 🟁 🟂 🟃 🟄 🟅 🟆 🟇 🟈 🟉 🟊 🟋 🟌 🟍 🟎 🟏 🟐 🟑 🟒 🟓 🟔 🟕 🟖 🟗 🟘 🟙 🟠 🟡 🟢 🟣 🟤 🟥 🟦 🟧 🟨 🟩 🟪 🟫 🟰</t>
        </is>
      </c>
      <c r="P513" s="37" t="inlineStr">
        <is>
          <t>🞀 🞁 🞂 🞃 🞄 🞅 🞆 🞇 🞈 🞉 🞊 🞋 🞌 🞍 🞎 🞏 🞐 🞑 🞒 🞓 🞔 🞕 🞖 🞗 🞘 🞙 🞚 🞛 🞜 🞝 🞞 🞟 🞠 🞡 🞢 🞣 🞤 🞥 🞦 🞧 🞨 🞩 🞪 🞫 🞬 🞭 🞮 🞯 🞰 🞱 🞲 🞳 🞴 🞵 🞶 🞷 🞸 🞹 🞺 🞻 🞼 🞽 🞾 🞿 🟀 🟁 🟂 🟃 🟄 🟅 🟆 🟇 🟈 🟉 🟊 🟋 🟌 🟍 🟎 🟏 🟐 🟑 🟒 🟓 🟔 🟕 🟖 🟗 🟘 🟙 🟠 🟡 🟢 🟣 🟤 🟥 🟦 🟧 🟨 🟩 🟪 🟫 🟰</t>
        </is>
      </c>
      <c r="Q513" s="38" t="inlineStr">
        <is>
          <t>🞀 🞄 🞅 🞇 🞈 🞉 🞊 🞋 🞌 🞍 🞖 🞗 🞘 🞙 🞚 🞛 🞜 🞝 🞞 🞟 🞠 🞡 🞢 🞤 🞥 🞦 🞧 🞨 🞩 🞫 🞬 🞭 🞮 🞯 🞱 🞲 🞳 🞴 🞵 🞷 🞸 🞹 🞺 🞻 🞽 🞾 🞿 🟀 🟃 🟄 🟇 🟈 🟉 🟋 🟍 🟎 🟐 🟑 🟒 🟔 🟕 🟖 🟗 🟘 🟙 🟠 🟡 🟢 🟣 🟤 🟥 🟦 🟧 🟨 🟩 🟪 🟫 🟰</t>
        </is>
      </c>
      <c r="R513" s="43" t="inlineStr"/>
      <c r="S513" s="40" t="n"/>
      <c r="V513" s="14">
        <f>(LEN(O513)+1)/2</f>
        <v/>
      </c>
      <c r="W513" s="14">
        <f>ROUNDDOWN((LEN(P513)+1)/2,0)</f>
        <v/>
      </c>
      <c r="X513" s="14">
        <f>ROUNDDOWN((LEN(Q513)+1)/2,0)</f>
        <v/>
      </c>
      <c r="Y513" s="14">
        <f>ROUNDDOWN((LEN(R513)+1)/2,0)</f>
        <v/>
      </c>
      <c r="Z513" s="14">
        <f>ROUNDDOWN((LEN(S513)+1)/2,0)</f>
        <v/>
      </c>
      <c r="AA513" s="56" t="n">
        <v>46150.55870485477</v>
      </c>
    </row>
    <row r="514" ht="63.75" customHeight="1">
      <c r="B514" s="46" t="inlineStr">
        <is>
          <t>U+1F900-U+1F9FF</t>
        </is>
      </c>
      <c r="C514" s="46" t="inlineStr">
        <is>
          <t>Supplemental Symbols and Pictographs</t>
        </is>
      </c>
      <c r="D514" s="54">
        <f>HEX2DEC(MID(B514,3,FIND("-",E514)-3))</f>
        <v/>
      </c>
      <c r="E514" s="46" t="inlineStr">
        <is>
          <t>U+1F900-U+1F9FF</t>
        </is>
      </c>
      <c r="F514" s="12" t="n">
        <v>4</v>
      </c>
      <c r="J514" s="19">
        <f>ROUNDDOWN(W514,0)/$V514</f>
        <v/>
      </c>
      <c r="K514" s="19">
        <f>ROUNDDOWN(X514,0)/$V514</f>
        <v/>
      </c>
      <c r="L514" s="19">
        <f>ROUNDDOWN(Y514,0)/$V514</f>
        <v/>
      </c>
      <c r="M514" s="19">
        <f>ROUNDDOWN(Z514,0)/$V514</f>
        <v/>
      </c>
      <c r="O514" s="36" t="inlineStr">
        <is>
          <t>🠀 🠁 🠂 🠃 🠄 🠅 🠆 🠇 🠈 🠉 🠊 🠋 🠐 🠑 🠒 🠓 🠔 🠕 🠖 🠗 🠘 🠙 🠚 🠛 🠜 🠝 🠞 🠟 🠠 🠡 🠢 🠣 🠤 🠥 🠦 🠧 🠨 🠩 🠪 🠫 🠬 🠭 🠮 🠯 🠰 🠱 🠲 🠳 🠴 🠵 🠶 🠷 🠸 🠹 🠺 🠻 🠼 🠽 🠾 🠿 🡀 🡁 🡂 🡃 🡄 🡅 🡆 🡇 🡐 🡑 🡒 🡓 🡔 🡕 🡖 🡗 🡘 🡙 🡠 🡡 🡢 🡣 🡤 🡥 🡦 🡧 🡨 🡩 🡪 🡫 🡬 🡭 🡮 🡯 🡰 🡱 🡲 🡳 🡴 🡵 🡶 🡷 🡸 🡹 🡺 🡻 🡼 🡽 🡾 🡿 🢀 🢁 🢂 🢃 🢄 🢅 🢆 🢇 🢐 🢑 🢒 🢓 🢔 🢕 🢖 🢗 🢘 🢙 🢚 🢛 🢜 🢝 🢞 🢟 🢠 🢡 🢢 🢣 🢤 🢥 🢦 🢧 🢨 🢩 🢪 🢫 🢬 🢭 🢰 🢱</t>
        </is>
      </c>
      <c r="P514" s="37" t="inlineStr">
        <is>
          <t>🠀 🠁 🠂 🠃 🠄 🠅 🠆 🠇 🠈 🠉 🠊 🠋 🠐 🠑 🠒 🠓 🠔 🠕 🠖 🠗 🠘 🠙 🠚 🠛 🠜 🠝 🠞 🠟 🠠 🠡 🠢 🠣 🠤 🠥 🠦 🠧 🠨 🠩 🠪 🠫 🠬 🠭 🠮 🠯 🠰 🠱 🠲 🠳 🠴 🠵 🠶 🠷 🠸 🠹 🠺 🠻 🠼 🠽 🠾 🠿 🡀 🡁 🡂 🡃 🡄 🡅 🡆 🡇 🡐 🡑 🡒 🡓 🡔 🡕 🡖 🡗 🡘 🡙 🡠 🡡 🡢 🡣 🡤 🡥 🡦 🡧 🡨 🡩 🡪 🡫 🡬 🡭 🡮 🡯 🡰 🡱 🡲 🡳 🡴 🡵 🡶 🡷 🡸 🡹 🡺 🡻 🡼 🡽 🡾 🡿 🢀 🢁 🢂 🢃 🢄 🢅 🢆 🢇 🢐 🢑 🢒 🢓 🢔 🢕 🢖 🢗 🢘 🢙 🢚 🢛 🢜 🢝 🢞 🢟 🢠 🢡 🢢 🢣 🢤 🢥 🢦 🢧 🢨 🢩 🢪 🢫 🢬 🢭 🢰 🢱</t>
        </is>
      </c>
      <c r="Q514" s="38" t="inlineStr">
        <is>
          <t>🠴 🠵 🠶 🠷 🠸 🠹 🠺 🠻 🠼 🠽 🠾 🠿 🡀 🡁 🡂 🡃 🡄 🡅 🡆 🡇 🡐 🡑 🡒 🡓 🡔 🡠 🡡 🡢 🡣 🡤 🡨 🡩 🡪 🡫 🡬 🡰 🡱 🡲 🡳 🡴 🡸 🡹 🡺 🡻 🡼 🢀 🢁 🢂 🢃 🢄 🢐 🢑 🢒 🢓 🢔 🢕 🢖 🢗 🢜 🢝 🢞 🢟 🢨 🢩 🢪 🢫 🢬 🢭 🢰 🢱</t>
        </is>
      </c>
      <c r="R514" s="43" t="inlineStr"/>
      <c r="S514" s="40" t="n"/>
      <c r="V514" s="14">
        <f>(LEN(O514)+1)/2</f>
        <v/>
      </c>
      <c r="W514" s="14">
        <f>ROUNDDOWN((LEN(P514)+1)/2,0)</f>
        <v/>
      </c>
      <c r="X514" s="14">
        <f>ROUNDDOWN((LEN(Q514)+1)/2,0)</f>
        <v/>
      </c>
      <c r="Y514" s="14">
        <f>ROUNDDOWN((LEN(R514)+1)/2,0)</f>
        <v/>
      </c>
      <c r="Z514" s="14">
        <f>ROUNDDOWN((LEN(S514)+1)/2,0)</f>
        <v/>
      </c>
      <c r="AA514" s="56" t="n">
        <v>46150.55870502436</v>
      </c>
    </row>
    <row r="515" ht="102" customHeight="1">
      <c r="B515" s="46" t="inlineStr">
        <is>
          <t>U+1FA00-U+1FA6D</t>
        </is>
      </c>
      <c r="C515" s="46" t="inlineStr">
        <is>
          <t>Chess Symbols</t>
        </is>
      </c>
      <c r="D515" s="54">
        <f>HEX2DEC(MID(B515,3,FIND("-",E515)-3))</f>
        <v/>
      </c>
      <c r="E515" s="46" t="inlineStr">
        <is>
          <t>U+1FA00-U+1FA6F</t>
        </is>
      </c>
      <c r="F515" s="12" t="n">
        <v>4</v>
      </c>
      <c r="J515" s="19">
        <f>ROUNDDOWN(W515,0)/$V515</f>
        <v/>
      </c>
      <c r="K515" s="19">
        <f>ROUNDDOWN(X515,0)/$V515</f>
        <v/>
      </c>
      <c r="L515" s="19">
        <f>ROUNDDOWN(Y515,0)/$V515</f>
        <v/>
      </c>
      <c r="M515" s="19">
        <f>ROUNDDOWN(Z515,0)/$V515</f>
        <v/>
      </c>
      <c r="O515" s="36" t="inlineStr">
        <is>
          <t>🤀 🤁 🤂 🤃 🤄 🤅 🤆 🤇 🤈 🤉 🤊 🤋 🤌 🤍 🤎 🤏 🤐 🤑 🤒 🤓 🤔 🤕 🤖 🤗 🤘 🤙 🤚 🤛 🤜 🤝 🤞 🤟 🤠 🤡 🤢 🤣 🤤 🤥 🤦 🤧 🤨 🤩 🤪 🤫 🤬 🤭 🤮 🤯 🤰 🤱 🤲 🤳 🤴 🤵 🤶 🤷 🤸 🤹 🤺 🤻 🤼 🤽 🤾 🤿 🥀 🥁 🥂 🥃 🥄 🥅 🥆 🥇 🥈 🥉 🥊 🥋 🥌 🥍 🥎 🥏 🥐 🥑 🥒 🥓 🥔 🥕 🥖 🥗 🥘 🥙 🥚 🥛 🥜 🥝 🥞 🥟 🥠 🥡 🥢 🥣 🥤 🥥 🥦 🥧 🥨 🥩 🥪 🥫 🥬 🥭 🥮 🥯 🥰 🥱 🥲 🥳 🥴 🥵 🥶 🥷 🥸 🥹 🥺 🥻 🥼 🥽 🥾 🥿 🦀 🦁 🦂 🦃 🦄 🦅 🦆 🦇 🦈 🦉 🦊 🦋 🦌 🦍 🦎 🦏 🦐 🦑 🦒 🦓 🦔 🦕 🦖 🦗 🦘 🦙 🦚 🦛 🦜 🦝 🦞 🦟 🦠 🦡 🦢 🦣 🦤 🦥 🦦 🦧 🦨 🦩 🦪 🦫 🦬 🦭 🦮 🦯 🦰 🦱 🦲 🦳 🦴 🦵 🦶 🦷 🦸 🦹 🦺 🦻 🦼 🦽 🦾 🦿 🧀 🧁 🧂 🧃 🧄 🧅 🧆 🧇 🧈 🧉 🧊 🧋 🧌 🧍 🧎 🧏 🧐 🧑 🧒 🧓 🧔 🧕 🧖 🧗 🧘 🧙 🧚 🧛 🧜 🧝 🧞 🧟 🧠 🧡 🧢 🧣 🧤 🧥 🧦 🧧 🧨 🧩 🧪 🧫 🧬 🧭 🧮 🧯 🧰 🧱 🧲 🧳 🧴 🧵 🧶 🧷 🧸 🧹 🧺 🧻 🧼 🧽 🧾 🧿</t>
        </is>
      </c>
      <c r="P515" s="37" t="inlineStr">
        <is>
          <t>🤀 🤁 🤂 🤃 🤄 🤅 🤆 🤇 🤈 🤉 🤊 🤋 🤌 🤍 🤎 🤏 🤐 🤑 🤒 🤓 🤔 🤕 🤖 🤗 🤘 🤙 🤚 🤛 🤜 🤝 🤞 🤟 🤠 🤡 🤢 🤣 🤤 🤥 🤦 🤧 🤨 🤩 🤪 🤫 🤬 🤭 🤮 🤯 🤰 🤱 🤲 🤳 🤴 🤵 🤶 🤷 🤸 🤹 🤺 🤻 🤼 🤽 🤾 🤿 🥀 🥁 🥂 🥃 🥄 🥅 🥆 🥇 🥈 🥉 🥊 🥋 🥌 🥍 🥎 🥏 🥐 🥑 🥒 🥓 🥔 🥕 🥖 🥗 🥘 🥙 🥚 🥛 🥜 🥝 🥞 🥟 🥠 🥡 🥢 🥣 🥤 🥥 🥦 🥧 🥨 🥩 🥪 🥫 🥬 🥭 🥮 🥯 🥰 🥱 🥲 🥳 🥴 🥵 🥶 🥷 🥸 🥹 🥺 🥻 🥼 🥽 🥾 🥿 🦀 🦁 🦂 🦃 🦄 🦅 🦆 🦇 🦈 🦉 🦊 🦋 🦌 🦍 🦎 🦏 🦐 🦑 🦒 🦓 🦔 🦕 🦖 🦗 🦘 🦙 🦚 🦛 🦜 🦝 🦞 🦟 🦠 🦡 🦢 🦣 🦤 🦥 🦦 🦧 🦨 🦩 🦪 🦫 🦬 🦭 🦮 🦯 🦰 🦱 🦲 🦳 🦴 🦵 🦶 🦷 🦸 🦹 🦺 🦻 🦼 🦽 🦾 🦿 🧀 🧁 🧂 🧃 🧄 🧅 🧆 🧇 🧈 🧉 🧊 🧋 🧌 🧍 🧎 🧏 🧐 🧑 🧒 🧓 🧔 🧕 🧖 🧗 🧘 🧙 🧚 🧛 🧜 🧝 🧞 🧟 🧠 🧡 🧢 🧣 🧤 🧥 🧦 🧧 🧨 🧩 🧪 🧫 🧬 🧭 🧮 🧯 🧰 🧱 🧲 🧳 🧴 🧵 🧶 🧷 🧸 🧹 🧺 🧻 🧼 🧽 🧾 🧿</t>
        </is>
      </c>
      <c r="Q515" s="38" t="inlineStr"/>
      <c r="R515" t="inlineStr"/>
      <c r="S515" s="40" t="n"/>
      <c r="V515" s="14">
        <f>(LEN(O515)+1)/2</f>
        <v/>
      </c>
      <c r="W515" s="14">
        <f>ROUNDDOWN((LEN(P515)+1)/2,0)</f>
        <v/>
      </c>
      <c r="X515" s="14">
        <f>ROUNDDOWN((LEN(Q515)+1)/2,0)</f>
        <v/>
      </c>
      <c r="Y515" s="14">
        <f>ROUNDDOWN((LEN(R515)+1)/2,0)</f>
        <v/>
      </c>
      <c r="Z515" s="14">
        <f>ROUNDDOWN((LEN(S515)+1)/2,0)</f>
        <v/>
      </c>
      <c r="AA515" s="56" t="n">
        <v>46150.5587050381</v>
      </c>
    </row>
    <row r="516" ht="38.25" customHeight="1">
      <c r="B516" s="46" t="inlineStr">
        <is>
          <t>U+1FA70-U+1FAF8</t>
        </is>
      </c>
      <c r="C516" s="46" t="inlineStr">
        <is>
          <t>Symbols and Pictographs Extended-A</t>
        </is>
      </c>
      <c r="D516" s="54">
        <f>HEX2DEC(MID(B516,3,FIND("-",E516)-3))</f>
        <v/>
      </c>
      <c r="E516" s="46" t="inlineStr">
        <is>
          <t>U+1FA70-U+1FAFF</t>
        </is>
      </c>
      <c r="F516" s="12" t="n">
        <v>4</v>
      </c>
      <c r="J516" s="19">
        <f>ROUNDDOWN(W516,0)/$V516</f>
        <v/>
      </c>
      <c r="K516" s="19">
        <f>ROUNDDOWN(X516,0)/$V516</f>
        <v/>
      </c>
      <c r="L516" s="19">
        <f>ROUNDDOWN(Y516,0)/$V516</f>
        <v/>
      </c>
      <c r="M516" s="19">
        <f>ROUNDDOWN(Z516,0)/$V516</f>
        <v/>
      </c>
      <c r="O516" s="36" t="inlineStr">
        <is>
          <t>🨀 🨁 🨂 🨃 🨄 🨅 🨆 🨇 🨈 🨉 🨊 🨋 🨌 🨍 🨎 🨏 🨐 🨑 🨒 🨓 🨔 🨕 🨖 🨗 🨘 🨙 🨚 🨛 🨜 🨝 🨞 🨟 🨠 🨡 🨢 🨣 🨤 🨥 🨦 🨧 🨨 🨩 🨪 🨫 🨬 🨭 🨮 🨯 🨰 🨱 🨲 🨳 🨴 🨵 🨶 🨷 🨸 🨹 🨺 🨻 🨼 🨽 🨾 🨿 🩀 🩁 🩂 🩃 🩄 🩅 🩆 🩇 🩈 🩉 🩊 🩋 🩌 🩍 🩎 🩏 🩐 🩑 🩒 🩓 🩠 🩡 🩢 🩣 🩤 🩥 🩦 🩧 🩨 🩩 🩪 🩫 🩬 🩭</t>
        </is>
      </c>
      <c r="P516" s="37" t="inlineStr">
        <is>
          <t>🨀 🨁 🨂 🨃 🨄 🨅 🨆 🨇 🨈 🨉 🨊 🨋 🨌 🨍 🨎 🨏 🨐 🨑 🨒 🨓 🨔 🨕 🨖 🨗 🨘 🨙 🨚 🨛 🨜 🨝 🨞 🨟 🨠 🨡 🨢 🨣 🨤 🨥 🨦 🨧 🨨 🨩 🨪 🨫 🨬 🨭 🨮 🨯 🨰 🨱 🨲 🨳 🨴 🨵 🨶 🨷 🨸 🨹 🨺 🨻 🨼 🨽 🨾 🨿 🩀 🩁 🩂 🩃 🩄 🩅 🩆 🩇 🩈 🩉 🩊 🩋 🩌 🩍 🩎 🩏 🩐 🩑 🩒 🩓 🩠 🩡 🩢 🩣 🩤 🩥 🩦 🩧 🩨 🩩 🩪 🩫 🩬 🩭</t>
        </is>
      </c>
      <c r="Q516" s="38" t="inlineStr"/>
      <c r="R516" t="inlineStr"/>
      <c r="S516" s="40" t="n"/>
      <c r="V516" s="14">
        <f>(LEN(O516)+1)/2</f>
        <v/>
      </c>
      <c r="W516" s="14">
        <f>ROUNDDOWN((LEN(P516)+1)/2,0)</f>
        <v/>
      </c>
      <c r="X516" s="14">
        <f>ROUNDDOWN((LEN(Q516)+1)/2,0)</f>
        <v/>
      </c>
      <c r="Y516" s="14">
        <f>ROUNDDOWN((LEN(R516)+1)/2,0)</f>
        <v/>
      </c>
      <c r="Z516" s="14">
        <f>ROUNDDOWN((LEN(S516)+1)/2,0)</f>
        <v/>
      </c>
      <c r="AA516" s="56" t="n">
        <v>46150.55870504305</v>
      </c>
    </row>
    <row r="517" ht="51" customHeight="1">
      <c r="B517" s="46" t="inlineStr">
        <is>
          <t>U+1FB00-U+1FBF9</t>
        </is>
      </c>
      <c r="C517" s="46" t="inlineStr">
        <is>
          <t>Symbols for Legacy Computing</t>
        </is>
      </c>
      <c r="D517" s="54">
        <f>HEX2DEC(MID(B517,3,FIND("-",E517)-3))</f>
        <v/>
      </c>
      <c r="E517" s="46" t="inlineStr">
        <is>
          <t>U+1FB00-U+1FBFF</t>
        </is>
      </c>
      <c r="F517" s="12" t="n">
        <v>4</v>
      </c>
      <c r="J517" s="19">
        <f>ROUNDDOWN(W517,0)/$V517</f>
        <v/>
      </c>
      <c r="K517" s="19">
        <f>ROUNDDOWN(X517,0)/$V517</f>
        <v/>
      </c>
      <c r="L517" s="19">
        <f>ROUNDDOWN(Y517,0)/$V517</f>
        <v/>
      </c>
      <c r="M517" s="19">
        <f>ROUNDDOWN(Z517,0)/$V517</f>
        <v/>
      </c>
      <c r="O517" s="36" t="inlineStr">
        <is>
          <t>🩰 🩱 🩲 🩳 🩴 🩵 🩶 🩷 🩸 🩹 🩺 🩻 🩼 🪀 🪁 🪂 🪃 🪄 🪅 🪆 🪇 🪈 🪐 🪑 🪒 🪓 🪔 🪕 🪖 🪗 🪘 🪙 🪚 🪛 🪜 🪝 🪞 🪟 🪠 🪡 🪢 🪣 🪤 🪥 🪦 🪧 🪨 🪩 🪪 🪫 🪬 🪭 🪮 🪯 🪰 🪱 🪲 🪳 🪴 🪵 🪶 🪷 🪸 🪹 🪺 🪻 🪼 🪽 🪿 🫀 🫁 🫂 🫃 🫄 🫅 🫎 🫏 🫐 🫑 🫒 🫓 🫔 🫕 🫖 🫗 🫘 🫙 🫚 🫛 🫠 🫡 🫢 🫣 🫤 🫥 🫦 🫧 🫨 🫰 🫱 🫲 🫳 🫴 🫵 🫶 🫷 🫸</t>
        </is>
      </c>
      <c r="P517" s="37" t="inlineStr">
        <is>
          <t>🩰 🩱 🩲 🩳 🩴 🩵 🩶 🩷 🩸 🩹 🩺 🩻 🩼 🪀 🪁 🪂 🪃 🪄 🪅 🪆 🪇 🪈 🪐 🪑 🪒 🪓 🪔 🪕 🪖 🪗 🪘 🪙 🪚 🪛 🪜 🪝 🪞 🪟 🪠 🪡 🪢 🪣 🪤 🪥 🪦 🪧 🪨 🪩 🪪 🪫 🪬 🪭 🪮 🪯 🪰 🪱 🪲 🪳 🪴 🪵 🪶 🪷 🪸 🪹 🪺 🪻 🪼 🪽 🪿 🫀 🫁 🫂 🫃 🫄 🫅 🫎 🫏 🫐 🫑 🫒 🫓 🫔 🫕 🫖 🫗 🫘 🫙 🫚 🫛 🫠 🫡 🫢 🫣 🫤 🫥 🫦 🫧 🫨 🫰 🫱 🫲 🫳 🫴 🫵 🫶 🫷 🫸</t>
        </is>
      </c>
      <c r="Q517" s="38" t="inlineStr"/>
      <c r="R517" t="inlineStr"/>
      <c r="S517" s="40" t="n"/>
      <c r="V517" s="14">
        <f>(LEN(O517)+1)/2</f>
        <v/>
      </c>
      <c r="W517" s="14">
        <f>ROUNDDOWN((LEN(P517)+1)/2,0)</f>
        <v/>
      </c>
      <c r="X517" s="14">
        <f>ROUNDDOWN((LEN(Q517)+1)/2,0)</f>
        <v/>
      </c>
      <c r="Y517" s="14">
        <f>ROUNDDOWN((LEN(R517)+1)/2,0)</f>
        <v/>
      </c>
      <c r="Z517" s="14">
        <f>ROUNDDOWN((LEN(S517)+1)/2,0)</f>
        <v/>
      </c>
      <c r="AA517" s="56" t="n">
        <v>46150.55870504738</v>
      </c>
    </row>
    <row r="518" ht="89.25" customHeight="1">
      <c r="B518" s="46" t="inlineStr">
        <is>
          <t>U+20000-U+200FF</t>
        </is>
      </c>
      <c r="C518" s="46" t="inlineStr">
        <is>
          <t>CJK Unified Ideographs Extension B</t>
        </is>
      </c>
      <c r="D518" s="54">
        <f>HEX2DEC(MID(B518,3,FIND("-",E518)-3))</f>
        <v/>
      </c>
      <c r="E518" s="46" t="inlineStr">
        <is>
          <t>U+20000-U+2A6DF</t>
        </is>
      </c>
      <c r="F518" s="12" t="n">
        <v>4</v>
      </c>
      <c r="J518" s="19">
        <f>ROUNDDOWN(W518,0)/$V518</f>
        <v/>
      </c>
      <c r="K518" s="19">
        <f>ROUNDDOWN(X518,0)/$V518</f>
        <v/>
      </c>
      <c r="L518" s="19">
        <f>ROUNDDOWN(Y518,0)/$V518</f>
        <v/>
      </c>
      <c r="M518" s="19">
        <f>ROUNDDOWN(Z518,0)/$V518</f>
        <v/>
      </c>
      <c r="O518" s="36" t="inlineStr">
        <is>
          <t>🬀 🬁 🬂 🬃 🬄 🬅 🬆 🬇 🬈 🬉 🬊 🬋 🬌 🬍 🬎 🬏 🬐 🬑 🬒 🬓 🬔 🬕 🬖 🬗 🬘 🬙 🬚 🬛 🬜 🬝 🬞 🬟 🬠 🬡 🬢 🬣 🬤 🬥 🬦 🬧 🬨 🬩 🬪 🬫 🬬 🬭 🬮 🬯 🬰 🬱 🬲 🬳 🬴 🬵 🬶 🬷 🬸 🬹 🬺 🬻 🬼 🬽 🬾 🬿 🭀 🭁 🭂 🭃 🭄 🭅 🭆 🭇 🭈 🭉 🭊 🭋 🭌 🭍 🭎 🭏 🭐 🭑 🭒 🭓 🭔 🭕 🭖 🭗 🭘 🭙 🭚 🭛 🭜 🭝 🭞 🭟 🭠 🭡 🭢 🭣 🭤 🭥 🭦 🭧 🭨 🭩 🭪 🭫 🭬 🭭 🭮 🭯 🭰 🭱 🭲 🭳 🭴 🭵 🭶 🭷 🭸 🭹 🭺 🭻 🭼 🭽 🭾 🭿 🮀 🮁 🮂 🮃 🮄 🮅 🮆 🮇 🮈 🮉 🮊 🮋 🮌 🮍 🮎 🮏 🮐 🮑 🮒 🮔 🮕 🮖 🮗 🮘 🮙 🮚 🮛 🮜 🮝 🮞 🮟 🮠 🮡 🮢 🮣 🮤 🮥 🮦 🮧 🮨 🮩 🮪 🮫 🮬 🮭 🮮 🮯 🮰 🮱 🮲 🮳 🮴 🮵 🮶 🮷 🮸 🮹 🮺 🮻 🮼 🮽 🮾 🮿 🯀 🯁 🯂 🯃 🯄 🯅 🯆 🯇 🯈 🯉 🯊 🯰 🯱 🯲 🯳 🯴 🯵 🯶 🯷 🯸 🯹</t>
        </is>
      </c>
      <c r="P518" s="37" t="inlineStr">
        <is>
          <t>🬀 🬁 🬂 🬃 🬄 🬅 🬆 🬇 🬈 🬉 🬊 🬋 🬌 🬍 🬎 🬏 🬐 🬑 🬒 🬓 🬔 🬕 🬖 🬗 🬘 🬙 🬚 🬛 🬜 🬝 🬞 🬟 🬠 🬡 🬢 🬣 🬤 🬥 🬦 🬧 🬨 🬩 🬪 🬫 🬬 🬭 🬮 🬯 🬰 🬱 🬲 🬳 🬴 🬵 🬶 🬷 🬸 🬹 🬺 🬻 🬼 🬽 🬾 🬿 🭀 🭁 🭂 🭃 🭄 🭅 🭆 🭇 🭈 🭉 🭊 🭋 🭌 🭍 🭎 🭏 🭐 🭑 🭒 🭓 🭔 🭕 🭖 🭗 🭘 🭙 🭚 🭛 🭜 🭝 🭞 🭟 🭠 🭡 🭢 🭣 🭤 🭥 🭦 🭧 🭨 🭩 🭪 🭫 🭬 🭭 🭮 🭯 🭰 🭱 🭲 🭳 🭴 🭵 🭶 🭷 🭸 🭹 🭺 🭻 🭼 🭽 🭾 🭿 🮀 🮁 🮂 🮃 🮄 🮅 🮆 🮇 🮈 🮉 🮊 🮋 🮌 🮍 🮎 🮏 🮐 🮑 🮒 🮔 🮕 🮖 🮗 🮘 🮙 🮚 🮛 🮜 🮝 🮞 🮟 🮠 🮡 🮢 🮣 🮤 🮥 🮦 🮧 🮨 🮩 🮪 🮫 🮬 🮭 🮮 🮯 🮰 🮱 🮲 🮳 🮴 🮵 🮶 🮷 🮸 🮹 🮺 🮻 🮼 🮽 🮾 🮿 🯀 🯁 🯂 🯃 🯄 🯅 🯆 🯇 🯈 🯉 🯊 🯰 🯱 🯲 🯳 🯴 🯵 🯶 🯷 🯸 🯹</t>
        </is>
      </c>
      <c r="Q518" s="38" t="inlineStr">
        <is>
          <t>🬼 🬽 🬾 🬿 🭀 🭁 🭂 🭃 🭄 🭅 🭆 🭇 🭈 🭉 🭊 🭋 🭌 🭍 🭎 🭏 🭐 🭑 🭒 🭓 🭔 🭕 🭖 🭗 🭘 🭙 🭚 🭛 🭜 🭝 🭞 🭟 🭠 🭡 🭢 🭣 🭤 🭥 🭦 🭧 🭨 🭬 🭰 🭱 🭲 🭳 🭴 🭵 🭶 🭷 🭸 🭹 🭺 🭻 🭼 🮁 🮂 🮃 🮄 🮅 🮆 🮇 🮈 🮉 🮊 🮋 🮕 🮖 🮗 🮘 🮚 🮠 🮢 🮤 🮦 🮨 🮪 🮬 🮮 🮰 🮱 🮲 🮵 🮶 🮷 🮸 🮹 🮻 🮼 🮽 🮾 🮿 🯁 🯂 🯃 🯄 🯅 🯇 🯊</t>
        </is>
      </c>
      <c r="R518" s="43" t="inlineStr"/>
      <c r="S518" s="40" t="n"/>
      <c r="V518" s="14">
        <f>(LEN(O518)+1)/2</f>
        <v/>
      </c>
      <c r="W518" s="14">
        <f>ROUNDDOWN((LEN(P518)+1)/2,0)</f>
        <v/>
      </c>
      <c r="X518" s="14">
        <f>ROUNDDOWN((LEN(Q518)+1)/2,0)</f>
        <v/>
      </c>
      <c r="Y518" s="14">
        <f>ROUNDDOWN((LEN(R518)+1)/2,0)</f>
        <v/>
      </c>
      <c r="Z518" s="14">
        <f>ROUNDDOWN((LEN(S518)+1)/2,0)</f>
        <v/>
      </c>
      <c r="AA518" s="56" t="n">
        <v>46150.55870560052</v>
      </c>
    </row>
    <row r="519" ht="102" customHeight="1">
      <c r="B519" s="46" t="inlineStr">
        <is>
          <t>U+20100-U+201FF</t>
        </is>
      </c>
      <c r="C519" s="46" t="inlineStr">
        <is>
          <t>CJK Unified Ideographs Extension B</t>
        </is>
      </c>
      <c r="D519" s="54">
        <f>HEX2DEC(MID(B519,3,FIND("-",E519)-3))</f>
        <v/>
      </c>
      <c r="E519" s="46" t="inlineStr">
        <is>
          <t>U+20000-U+2A6DF</t>
        </is>
      </c>
      <c r="F519" s="12" t="n">
        <v>4</v>
      </c>
      <c r="J519" s="19">
        <f>ROUNDDOWN(W519,0)/$V519</f>
        <v/>
      </c>
      <c r="K519" s="19">
        <f>ROUNDDOWN(X519,0)/$V519</f>
        <v/>
      </c>
      <c r="L519" s="19">
        <f>ROUNDDOWN(Y519,0)/$V519</f>
        <v/>
      </c>
      <c r="M519" s="19">
        <f>ROUNDDOWN(Z519,0)/$V519</f>
        <v/>
      </c>
      <c r="O519" s="36" t="inlineStr">
        <is>
          <t>𠀀 𠀁 𠀂 𠀃 𠀄 𠀅 𠀆 𠀇 𠀈 𠀉 𠀊 𠀋 𠀌 𠀍 𠀎 𠀏 𠀐 𠀑 𠀒 𠀓 𠀔 𠀕 𠀖 𠀗 𠀘 𠀙 𠀚 𠀛 𠀜 𠀝 𠀞 𠀟 𠀠 𠀡 𠀢 𠀣 𠀤 𠀥 𠀦 𠀧 𠀨 𠀩 𠀪 𠀫 𠀬 𠀭 𠀮 𠀯 𠀰 𠀱 𠀲 𠀳 𠀴 𠀵 𠀶 𠀷 𠀸 𠀹 𠀺 𠀻 𠀼 𠀽 𠀾 𠀿 𠁀 𠁁 𠁂 𠁃 𠁄 𠁅 𠁆 𠁇 𠁈 𠁉 𠁊 𠁋 𠁌 𠁍 𠁎 𠁏 𠁐 𠁑 𠁒 𠁓 𠁔 𠁕 𠁖 𠁗 𠁘 𠁙 𠁚 𠁛 𠁜 𠁝 𠁞 𠁟 𠁠 𠁡 𠁢 𠁣 𠁤 𠁥 𠁦 𠁧 𠁨 𠁩 𠁪 𠁫 𠁬 𠁭 𠁮 𠁯 𠁰 𠁱 𠁲 𠁳 𠁴 𠁵 𠁶 𠁷 𠁸 𠁹 𠁺 𠁻 𠁼 𠁽 𠁾 𠁿 𠂀 𠂁 𠂂 𠂃 𠂄 𠂅 𠂆 𠂇 𠂈 𠂉 𠂊 𠂋 𠂌 𠂍 𠂎 𠂏 𠂐 𠂑 𠂒 𠂓 𠂔 𠂕 𠂖 𠂗 𠂘 𠂙 𠂚 𠂛 𠂜 𠂝 𠂞 𠂟 𠂠 𠂡 𠂢 𠂣 𠂤 𠂥 𠂦 𠂧 𠂨 𠂩 𠂪 𠂫 𠂬 𠂭 𠂮 𠂯 𠂰 𠂱 𠂲 𠂳 𠂴 𠂵 𠂶 𠂷 𠂸 𠂹 𠂺 𠂻 𠂼 𠂽 𠂾 𠂿 𠃀 𠃁 𠃂 𠃃 𠃄 𠃅 𠃆 𠃇 𠃈 𠃉 𠃊 𠃋 𠃌 𠃍 𠃎 𠃏 𠃐 𠃑 𠃒 𠃓 𠃔 𠃕 𠃖 𠃗 𠃘 𠃙 𠃚 𠃛 𠃜 𠃝 𠃞 𠃟 𠃠 𠃡 𠃢 𠃣 𠃤 𠃥 𠃦 𠃧 𠃨 𠃩 𠃪 𠃫 𠃬 𠃭 𠃮 𠃯 𠃰 𠃱 𠃲 𠃳 𠃴 𠃵 𠃶 𠃷 𠃸 𠃹 𠃺 𠃻 𠃼 𠃽 𠃾 𠃿</t>
        </is>
      </c>
      <c r="P519" s="37" t="inlineStr">
        <is>
          <t>𠀀 𠀁 𠀂 𠀃 𠀄 𠀅 𠀆 𠀇 𠀈 𠀉 𠀊 𠀋 𠀌 𠀍 𠀎 𠀏 𠀐 𠀑 𠀒 𠀓 𠀔 𠀕 𠀖 𠀗 𠀘 𠀙 𠀚 𠀛 𠀜 𠀝 𠀞 𠀟 𠀠 𠀡 𠀢 𠀣 𠀤 𠀥 𠀦 𠀧 𠀨 𠀩 𠀪 𠀫 𠀬 𠀭 𠀮 𠀯 𠀰 𠀱 𠀲 𠀳 𠀴 𠀵 𠀶 𠀷 𠀸 𠀹 𠀺 𠀻 𠀼 𠀽 𠀾 𠀿 𠁀 𠁁 𠁂 𠁃 𠁄 𠁅 𠁆 𠁇 𠁈 𠁉 𠁊 𠁋 𠁌 𠁍 𠁎 𠁏 𠁐 𠁑 𠁒 𠁓 𠁔 𠁕 𠁖 𠁗 𠁘 𠁙 𠁚 𠁛 𠁜 𠁝 𠁞 𠁟 𠁠 𠁡 𠁢 𠁣 𠁤 𠁥 𠁦 𠁧 𠁨 𠁩 𠁪 𠁫 𠁬 𠁭 𠁮 𠁯 𠁰 𠁱 𠁲 𠁳 𠁴 𠁵 𠁶 𠁷 𠁸 𠁹 𠁺 𠁻 𠁼 𠁽 𠁾 𠁿 𠂀 𠂁 𠂂 𠂃 𠂄 𠂅 𠂆 𠂇 𠂈 𠂉 𠂊 𠂋 𠂌 𠂍 𠂎 𠂏 𠂐 𠂑 𠂒 𠂓 𠂔 𠂕 𠂖 𠂗 𠂘 𠂙 𠂚 𠂛 𠂜 𠂝 𠂞 𠂟 𠂠 𠂡 𠂢 𠂣 𠂤 𠂥 𠂦 𠂧 𠂨 𠂩 𠂪 𠂫 𠂬 𠂭 𠂮 𠂯 𠂰 𠂱 𠂲 𠂳 𠂴 𠂵 𠂶 𠂷 𠂸 𠂹 𠂺 𠂻 𠂼 𠂽 𠂾 𠂿 𠃀 𠃁 𠃂 𠃃 𠃄 𠃅 𠃆 𠃇 𠃈 𠃉 𠃊 𠃋 𠃌 𠃍 𠃎 𠃏 𠃐 𠃑 𠃒 𠃓 𠃔 𠃕 𠃖 𠃗 𠃘 𠃙 𠃚 𠃛 𠃜 𠃝 𠃞 𠃟 𠃠 𠃡 𠃢 𠃣 𠃤 𠃥 𠃦 𠃧 𠃨 𠃩 𠃪 𠃫 𠃬 𠃭 𠃮 𠃯 𠃰 𠃱 𠃲 𠃳 𠃴 𠃵 𠃶 𠃷 𠃸 𠃹 𠃺 𠃻 𠃼 𠃽 𠃾 𠃿</t>
        </is>
      </c>
      <c r="Q519" s="38" t="inlineStr">
        <is>
          <t>𠀀 𠀁 𠀂 𠀃 𠀄 𠀅 𠀆 𠀇 𠀈 𠀉 𠀊 𠀋 𠀌 𠀍 𠀎 𠀏 𠀐 𠀑 𠀒 𠀓 𠀔 𠀕 𠀖 𠀗 𠀘 𠀙 𠀚 𠀛 𠀜 𠀝 𠀞 𠀟 𠀠 𠀡 𠀢 𠀣 𠀤 𠀥 𠀦 𠀧 𠀨 𠀩 𠀪 𠀫 𠀬 𠀭 𠀮 𠀯 𠀰 𠀱 𠀲 𠀳 𠀴 𠀵 𠀶 𠀷 𠀸 𠀹 𠀺 𠀻 𠀼 𠀽 𠀾 𠀿 𠁀 𠁁 𠁂 𠁃 𠁄 𠁅 𠁆 𠁇 𠁈 𠁉 𠁊 𠁋 𠁌 𠁍 𠁎 𠁏 𠁐 𠁑 𠁒 𠁓 𠁔 𠁕 𠁖 𠁗 𠁘 𠁙 𠁚 𠁛 𠁜 𠁝 𠁞 𠁟 𠁠 𠁡 𠁢 𠁣 𠁤 𠁥 𠁦 𠁧 𠁨 𠁩 𠁪 𠁫 𠁬 𠁭 𠁮 𠁯 𠁰 𠁱 𠁲 𠁳 𠁴 𠁵 𠁶 𠁷 𠁸 𠁹 𠁺 𠁻 𠁼 𠁽 𠁾 𠁿 𠂀 𠂁 𠂂 𠂃 𠂄 𠂅 𠂆 𠂇 𠂈 𠂉 𠂊 𠂋 𠂌 𠂍 𠂎 𠂏 𠂐 𠂑 𠂒 𠂓 𠂔 𠂕 𠂖 𠂗 𠂘 𠂙 𠂚 𠂛 𠂜 𠂝 𠂞 𠂟 𠂠 𠂡 𠂢 𠂣 𠂤 𠂥 𠂦 𠂧 𠂨 𠂩 𠂪 𠂫 𠂬 𠂭 𠂮 𠂯 𠂰 𠂱 𠂲 𠂳 𠂴 𠂵 𠂶 𠂷 𠂸 𠂹 𠂺 𠂻 𠂼 𠂽 𠂾 𠂿 𠃀 𠃁 𠃂 𠃃 𠃄 𠃅 𠃆 𠃇 𠃈 𠃉 𠃊 𠃋 𠃌 𠃍 𠃎 𠃏 𠃐 𠃑 𠃒 𠃓 𠃔 𠃕 𠃖 𠃗 𠃘 𠃙 𠃚 𠃛 𠃜 𠃝 𠃞 𠃟 𠃠 𠃡 𠃢 𠃣 𠃤 𠃥 𠃦 𠃧 𠃨 𠃩 𠃪 𠃫 𠃬 𠃭 𠃮 𠃯 𠃰 𠃱 𠃲 𠃳 𠃴 𠃵 𠃶 𠃷 𠃸 𠃹 𠃺 𠃻 𠃼 𠃽 𠃾 𠃿</t>
        </is>
      </c>
      <c r="R519" s="43" t="inlineStr">
        <is>
          <t>𠀋 𠂇 𠂉 𠂢 𠂤 𠃌</t>
        </is>
      </c>
      <c r="S519" s="40" t="n"/>
      <c r="V519" s="14">
        <f>(LEN(O519)+1)/2</f>
        <v/>
      </c>
      <c r="W519" s="14">
        <f>ROUNDDOWN((LEN(P519)+1)/2,0)</f>
        <v/>
      </c>
      <c r="X519" s="14">
        <f>ROUNDDOWN((LEN(Q519)+1)/2,0)</f>
        <v/>
      </c>
      <c r="Y519" s="14">
        <f>ROUNDDOWN((LEN(R519)+1)/2,0)</f>
        <v/>
      </c>
      <c r="Z519" s="14">
        <f>ROUNDDOWN((LEN(S519)+1)/2,0)</f>
        <v/>
      </c>
      <c r="AA519" s="56" t="n">
        <v>46150.55870677596</v>
      </c>
    </row>
    <row r="520" ht="102" customHeight="1">
      <c r="B520" s="46" t="inlineStr">
        <is>
          <t>U+20200-U+202FF</t>
        </is>
      </c>
      <c r="C520" s="46" t="inlineStr">
        <is>
          <t>CJK Unified Ideographs Extension B</t>
        </is>
      </c>
      <c r="D520" s="54">
        <f>HEX2DEC(MID(B520,3,FIND("-",E520)-3))</f>
        <v/>
      </c>
      <c r="E520" s="46" t="inlineStr">
        <is>
          <t>U+20000-U+2A6DF</t>
        </is>
      </c>
      <c r="F520" s="12" t="n">
        <v>4</v>
      </c>
      <c r="J520" s="19">
        <f>ROUNDDOWN(W520,0)/$V520</f>
        <v/>
      </c>
      <c r="K520" s="19">
        <f>ROUNDDOWN(X520,0)/$V520</f>
        <v/>
      </c>
      <c r="L520" s="19">
        <f>ROUNDDOWN(Y520,0)/$V520</f>
        <v/>
      </c>
      <c r="M520" s="19">
        <f>ROUNDDOWN(Z520,0)/$V520</f>
        <v/>
      </c>
      <c r="O520" s="36" t="inlineStr">
        <is>
          <t>𠄀 𠄁 𠄂 𠄃 𠄄 𠄅 𠄆 𠄇 𠄈 𠄉 𠄊 𠄋 𠄌 𠄍 𠄎 𠄏 𠄐 𠄑 𠄒 𠄓 𠄔 𠄕 𠄖 𠄗 𠄘 𠄙 𠄚 𠄛 𠄜 𠄝 𠄞 𠄟 𠄠 𠄡 𠄢 𠄣 𠄤 𠄥 𠄦 𠄧 𠄨 𠄩 𠄪 𠄫 𠄬 𠄭 𠄮 𠄯 𠄰 𠄱 𠄲 𠄳 𠄴 𠄵 𠄶 𠄷 𠄸 𠄹 𠄺 𠄻 𠄼 𠄽 𠄾 𠄿 𠅀 𠅁 𠅂 𠅃 𠅄 𠅅 𠅆 𠅇 𠅈 𠅉 𠅊 𠅋 𠅌 𠅍 𠅎 𠅏 𠅐 𠅑 𠅒 𠅓 𠅔 𠅕 𠅖 𠅗 𠅘 𠅙 𠅚 𠅛 𠅜 𠅝 𠅞 𠅟 𠅠 𠅡 𠅢 𠅣 𠅤 𠅥 𠅦 𠅧 𠅨 𠅩 𠅪 𠅫 𠅬 𠅭 𠅮 𠅯 𠅰 𠅱 𠅲 𠅳 𠅴 𠅵 𠅶 𠅷 𠅸 𠅹 𠅺 𠅻 𠅼 𠅽 𠅾 𠅿 𠆀 𠆁 𠆂 𠆃 𠆄 𠆅 𠆆 𠆇 𠆈 𠆉 𠆊 𠆋 𠆌 𠆍 𠆎 𠆏 𠆐 𠆑 𠆒 𠆓 𠆔 𠆕 𠆖 𠆗 𠆘 𠆙 𠆚 𠆛 𠆜 𠆝 𠆞 𠆟 𠆠 𠆡 𠆢 𠆣 𠆤 𠆥 𠆦 𠆧 𠆨 𠆩 𠆪 𠆫 𠆬 𠆭 𠆮 𠆯 𠆰 𠆱 𠆲 𠆳 𠆴 𠆵 𠆶 𠆷 𠆸 𠆹 𠆺 𠆻 𠆼 𠆽 𠆾 𠆿 𠇀 𠇁 𠇂 𠇃 𠇄 𠇅 𠇆 𠇇 𠇈 𠇉 𠇊 𠇋 𠇌 𠇍 𠇎 𠇏 𠇐 𠇑 𠇒 𠇓 𠇔 𠇕 𠇖 𠇗 𠇘 𠇙 𠇚 𠇛 𠇜 𠇝 𠇞 𠇟 𠇠 𠇡 𠇢 𠇣 𠇤 𠇥 𠇦 𠇧 𠇨 𠇩 𠇪 𠇫 𠇬 𠇭 𠇮 𠇯 𠇰 𠇱 𠇲 𠇳 𠇴 𠇵 𠇶 𠇷 𠇸 𠇹 𠇺 𠇻 𠇼 𠇽 𠇾 𠇿</t>
        </is>
      </c>
      <c r="P520" s="37" t="inlineStr">
        <is>
          <t>𠄀 𠄁 𠄂 𠄃 𠄄 𠄅 𠄆 𠄇 𠄈 𠄉 𠄊 𠄋 𠄌 𠄍 𠄎 𠄏 𠄐 𠄑 𠄒 𠄓 𠄔 𠄕 𠄖 𠄗 𠄘 𠄙 𠄚 𠄛 𠄜 𠄝 𠄞 𠄟 𠄠 𠄡 𠄢 𠄣 𠄤 𠄥 𠄦 𠄧 𠄨 𠄩 𠄪 𠄫 𠄬 𠄭 𠄮 𠄯 𠄰 𠄱 𠄲 𠄳 𠄴 𠄵 𠄶 𠄷 𠄸 𠄹 𠄺 𠄻 𠄼 𠄽 𠄾 𠄿 𠅀 𠅁 𠅂 𠅃 𠅄 𠅅 𠅆 𠅇 𠅈 𠅉 𠅊 𠅋 𠅌 𠅍 𠅎 𠅏 𠅐 𠅑 𠅒 𠅓 𠅔 𠅕 𠅖 𠅗 𠅘 𠅙 𠅚 𠅛 𠅜 𠅝 𠅞 𠅟 𠅠 𠅡 𠅢 𠅣 𠅤 𠅥 𠅦 𠅧 𠅨 𠅩 𠅪 𠅫 𠅬 𠅭 𠅮 𠅯 𠅰 𠅱 𠅲 𠅳 𠅴 𠅵 𠅶 𠅷 𠅸 𠅹 𠅺 𠅻 𠅼 𠅽 𠅾 𠅿 𠆀 𠆁 𠆂 𠆃 𠆄 𠆅 𠆆 𠆇 𠆈 𠆉 𠆊 𠆋 𠆌 𠆍 𠆎 𠆏 𠆐 𠆑 𠆒 𠆓 𠆔 𠆕 𠆖 𠆗 𠆘 𠆙 𠆚 𠆛 𠆜 𠆝 𠆞 𠆟 𠆠 𠆡 𠆢 𠆣 𠆤 𠆥 𠆦 𠆧 𠆨 𠆩 𠆪 𠆫 𠆬 𠆭 𠆮 𠆯 𠆰 𠆱 𠆲 𠆳 𠆴 𠆵 𠆶 𠆷 𠆸 𠆹 𠆺 𠆻 𠆼 𠆽 𠆾 𠆿 𠇀 𠇁 𠇂 𠇃 𠇄 𠇅 𠇆 𠇇 𠇈 𠇉 𠇊 𠇋 𠇌 𠇍 𠇎 𠇏 𠇐 𠇑 𠇒 𠇓 𠇔 𠇕 𠇖 𠇗 𠇘 𠇙 𠇚 𠇛 𠇜 𠇝 𠇞 𠇟 𠇠 𠇡 𠇢 𠇣 𠇤 𠇥 𠇦 𠇧 𠇨 𠇩 𠇪 𠇫 𠇬 𠇭 𠇮 𠇯 𠇰 𠇱 𠇲 𠇳 𠇴 𠇵 𠇶 𠇷 𠇸 𠇹 𠇺 𠇻 𠇼 𠇽 𠇾 𠇿</t>
        </is>
      </c>
      <c r="Q520" s="38" t="inlineStr">
        <is>
          <t>𠄀 𠄁 𠄂 𠄃 𠄄 𠄅 𠄆 𠄇 𠄈 𠄉 𠄊 𠄋 𠄌 𠄍 𠄎 𠄏 𠄐 𠄑 𠄒 𠄓 𠄔 𠄕 𠄖 𠄗 𠄘 𠄙 𠄚 𠄛 𠄜 𠄝 𠄞 𠄟 𠄠 𠄡 𠄢 𠄣 𠄤 𠄥 𠄦 𠄧 𠄨 𠄩 𠄪 𠄫 𠄬 𠄭 𠄮 𠄯 𠄰 𠄱 𠄲 𠄳 𠄴 𠄵 𠄶 𠄷 𠄸 𠄹 𠄺 𠄻 𠄼 𠄽 𠄾 𠄿 𠅀 𠅁 𠅂 𠅃 𠅄 𠅅 𠅆 𠅇 𠅈 𠅉 𠅊 𠅋 𠅌 𠅍 𠅎 𠅏 𠅐 𠅑 𠅒 𠅓 𠅔 𠅕 𠅖 𠅗 𠅘 𠅙 𠅚 𠅛 𠅜 𠅝 𠅞 𠅟 𠅠 𠅡 𠅢 𠅣 𠅤 𠅥 𠅦 𠅧 𠅨 𠅩 𠅪 𠅫 𠅬 𠅭 𠅮 𠅯 𠅰 𠅱 𠅲 𠅳 𠅴 𠅵 𠅶 𠅷 𠅸 𠅹 𠅺 𠅻 𠅼 𠅽 𠅾 𠅿 𠆀 𠆁 𠆂 𠆃 𠆄 𠆅 𠆆 𠆇 𠆈 𠆉 𠆊 𠆋 𠆌 𠆍 𠆎 𠆏 𠆐 𠆑 𠆒 𠆓 𠆔 𠆕 𠆖 𠆗 𠆘 𠆙 𠆚 𠆛 𠆜 𠆝 𠆞 𠆟 𠆠 𠆡 𠆢 𠆣 𠆤 𠆥 𠆦 𠆧 𠆨 𠆩 𠆪 𠆫 𠆬 𠆭 𠆮 𠆯 𠆰 𠆱 𠆲 𠆳 𠆴 𠆵 𠆶 𠆷 𠆸 𠆹 𠆺 𠆻 𠆼 𠆽 𠆾 𠆿 𠇀 𠇁 𠇂 𠇃 𠇄 𠇅 𠇆 𠇇 𠇈 𠇉 𠇊 𠇋 𠇌 𠇍 𠇎 𠇏 𠇐 𠇑 𠇒 𠇓 𠇔 𠇕 𠇖 𠇗 𠇘 𠇙 𠇚 𠇛 𠇜 𠇝 𠇞 𠇟 𠇠 𠇡 𠇢 𠇣 𠇤 𠇥 𠇦 𠇧 𠇨 𠇩 𠇪 𠇫 𠇬 𠇭 𠇮 𠇯 𠇰 𠇱 𠇲 𠇳 𠇴 𠇵 𠇶 𠇷 𠇸 𠇹 𠇺 𠇻 𠇼 𠇽 𠇾 𠇿</t>
        </is>
      </c>
      <c r="R520" s="43" t="inlineStr">
        <is>
          <t>𠅤 𠆢 𠇔</t>
        </is>
      </c>
      <c r="S520" s="40" t="n"/>
      <c r="V520" s="14">
        <f>(LEN(O520)+1)/2</f>
        <v/>
      </c>
      <c r="W520" s="14">
        <f>ROUNDDOWN((LEN(P520)+1)/2,0)</f>
        <v/>
      </c>
      <c r="X520" s="14">
        <f>ROUNDDOWN((LEN(Q520)+1)/2,0)</f>
        <v/>
      </c>
      <c r="Y520" s="14">
        <f>ROUNDDOWN((LEN(R520)+1)/2,0)</f>
        <v/>
      </c>
      <c r="Z520" s="14">
        <f>ROUNDDOWN((LEN(S520)+1)/2,0)</f>
        <v/>
      </c>
      <c r="AA520" s="56" t="n">
        <v>46150.55870790492</v>
      </c>
    </row>
    <row r="521" ht="102" customHeight="1">
      <c r="B521" s="46" t="inlineStr">
        <is>
          <t>U+20300-U+203FF</t>
        </is>
      </c>
      <c r="C521" s="46" t="inlineStr">
        <is>
          <t>CJK Unified Ideographs Extension B</t>
        </is>
      </c>
      <c r="D521" s="54">
        <f>HEX2DEC(MID(B521,3,FIND("-",E521)-3))</f>
        <v/>
      </c>
      <c r="E521" s="46" t="inlineStr">
        <is>
          <t>U+20000-U+2A6DF</t>
        </is>
      </c>
      <c r="F521" s="12" t="n">
        <v>4</v>
      </c>
      <c r="J521" s="19">
        <f>ROUNDDOWN(W521,0)/$V521</f>
        <v/>
      </c>
      <c r="K521" s="19">
        <f>ROUNDDOWN(X521,0)/$V521</f>
        <v/>
      </c>
      <c r="L521" s="19">
        <f>ROUNDDOWN(Y521,0)/$V521</f>
        <v/>
      </c>
      <c r="M521" s="19">
        <f>ROUNDDOWN(Z521,0)/$V521</f>
        <v/>
      </c>
      <c r="O521" s="36" t="inlineStr">
        <is>
          <t>𠈀 𠈁 𠈂 𠈃 𠈄 𠈅 𠈆 𠈇 𠈈 𠈉 𠈊 𠈋 𠈌 𠈍 𠈎 𠈏 𠈐 𠈑 𠈒 𠈓 𠈔 𠈕 𠈖 𠈗 𠈘 𠈙 𠈚 𠈛 𠈜 𠈝 𠈞 𠈟 𠈠 𠈡 𠈢 𠈣 𠈤 𠈥 𠈦 𠈧 𠈨 𠈩 𠈪 𠈫 𠈬 𠈭 𠈮 𠈯 𠈰 𠈱 𠈲 𠈳 𠈴 𠈵 𠈶 𠈷 𠈸 𠈹 𠈺 𠈻 𠈼 𠈽 𠈾 𠈿 𠉀 𠉁 𠉂 𠉃 𠉄 𠉅 𠉆 𠉇 𠉈 𠉉 𠉊 𠉋 𠉌 𠉍 𠉎 𠉏 𠉐 𠉑 𠉒 𠉓 𠉔 𠉕 𠉖 𠉗 𠉘 𠉙 𠉚 𠉛 𠉜 𠉝 𠉞 𠉟 𠉠 𠉡 𠉢 𠉣 𠉤 𠉥 𠉦 𠉧 𠉨 𠉩 𠉪 𠉫 𠉬 𠉭 𠉮 𠉯 𠉰 𠉱 𠉲 𠉳 𠉴 𠉵 𠉶 𠉷 𠉸 𠉹 𠉺 𠉻 𠉼 𠉽 𠉾 𠉿 𠊀 𠊁 𠊂 𠊃 𠊄 𠊅 𠊆 𠊇 𠊈 𠊉 𠊊 𠊋 𠊌 𠊍 𠊎 𠊏 𠊐 𠊑 𠊒 𠊓 𠊔 𠊕 𠊖 𠊗 𠊘 𠊙 𠊚 𠊛 𠊜 𠊝 𠊞 𠊟 𠊠 𠊡 𠊢 𠊣 𠊤 𠊥 𠊦 𠊧 𠊨 𠊩 𠊪 𠊫 𠊬 𠊭 𠊮 𠊯 𠊰 𠊱 𠊲 𠊳 𠊴 𠊵 𠊶 𠊷 𠊸 𠊹 𠊺 𠊻 𠊼 𠊽 𠊾 𠊿 𠋀 𠋁 𠋂 𠋃 𠋄 𠋅 𠋆 𠋇 𠋈 𠋉 𠋊 𠋋 𠋌 𠋍 𠋎 𠋏 𠋐 𠋑 𠋒 𠋓 𠋔 𠋕 𠋖 𠋗 𠋘 𠋙 𠋚 𠋛 𠋜 𠋝 𠋞 𠋟 𠋠 𠋡 𠋢 𠋣 𠋤 𠋥 𠋦 𠋧 𠋨 𠋩 𠋪 𠋫 𠋬 𠋭 𠋮 𠋯 𠋰 𠋱 𠋲 𠋳 𠋴 𠋵 𠋶 𠋷 𠋸 𠋹 𠋺 𠋻 𠋼 𠋽 𠋾 𠋿</t>
        </is>
      </c>
      <c r="P521" s="37" t="inlineStr">
        <is>
          <t>𠈀 𠈁 𠈂 𠈃 𠈄 𠈅 𠈆 𠈇 𠈈 𠈉 𠈊 𠈋 𠈌 𠈍 𠈎 𠈏 𠈐 𠈑 𠈒 𠈓 𠈔 𠈕 𠈖 𠈗 𠈘 𠈙 𠈚 𠈛 𠈜 𠈝 𠈞 𠈟 𠈠 𠈡 𠈢 𠈣 𠈤 𠈥 𠈦 𠈧 𠈨 𠈩 𠈪 𠈫 𠈬 𠈭 𠈮 𠈯 𠈰 𠈱 𠈲 𠈳 𠈴 𠈵 𠈶 𠈷 𠈸 𠈹 𠈺 𠈻 𠈼 𠈽 𠈾 𠈿 𠉀 𠉁 𠉂 𠉃 𠉄 𠉅 𠉆 𠉇 𠉈 𠉉 𠉊 𠉋 𠉌 𠉍 𠉎 𠉏 𠉐 𠉑 𠉒 𠉓 𠉔 𠉕 𠉖 𠉗 𠉘 𠉙 𠉚 𠉛 𠉜 𠉝 𠉞 𠉟 𠉠 𠉡 𠉢 𠉣 𠉤 𠉥 𠉦 𠉧 𠉨 𠉩 𠉪 𠉫 𠉬 𠉭 𠉮 𠉯 𠉰 𠉱 𠉲 𠉳 𠉴 𠉵 𠉶 𠉷 𠉸 𠉹 𠉺 𠉻 𠉼 𠉽 𠉾 𠉿 𠊀 𠊁 𠊂 𠊃 𠊄 𠊅 𠊆 𠊇 𠊈 𠊉 𠊊 𠊋 𠊌 𠊍 𠊎 𠊏 𠊐 𠊑 𠊒 𠊓 𠊔 𠊕 𠊖 𠊗 𠊘 𠊙 𠊚 𠊛 𠊜 𠊝 𠊞 𠊟 𠊠 𠊡 𠊢 𠊣 𠊤 𠊥 𠊦 𠊧 𠊨 𠊩 𠊪 𠊫 𠊬 𠊭 𠊮 𠊯 𠊰 𠊱 𠊲 𠊳 𠊴 𠊵 𠊶 𠊷 𠊸 𠊹 𠊺 𠊻 𠊼 𠊽 𠊾 𠊿 𠋀 𠋁 𠋂 𠋃 𠋄 𠋅 𠋆 𠋇 𠋈 𠋉 𠋊 𠋋 𠋌 𠋍 𠋎 𠋏 𠋐 𠋑 𠋒 𠋓 𠋔 𠋕 𠋖 𠋗 𠋘 𠋙 𠋚 𠋛 𠋜 𠋝 𠋞 𠋟 𠋠 𠋡 𠋢 𠋣 𠋤 𠋥 𠋦 𠋧 𠋨 𠋩 𠋪 𠋫 𠋬 𠋭 𠋮 𠋯 𠋰 𠋱 𠋲 𠋳 𠋴 𠋵 𠋶 𠋷 𠋸 𠋹 𠋺 𠋻 𠋼 𠋽 𠋾 𠋿</t>
        </is>
      </c>
      <c r="Q521" s="38" t="inlineStr">
        <is>
          <t>𠈀 𠈁 𠈂 𠈃 𠈄 𠈅 𠈆 𠈇 𠈈 𠈉 𠈊 𠈋 𠈌 𠈍 𠈎 𠈏 𠈐 𠈑 𠈒 𠈓 𠈔 𠈕 𠈖 𠈗 𠈘 𠈙 𠈚 𠈛 𠈜 𠈝 𠈞 𠈟 𠈠 𠈡 𠈢 𠈣 𠈤 𠈥 𠈦 𠈧 𠈨 𠈩 𠈪 𠈫 𠈬 𠈭 𠈮 𠈯 𠈰 𠈱 𠈲 𠈳 𠈴 𠈵 𠈶 𠈷 𠈸 𠈹 𠈺 𠈻 𠈼 𠈽 𠈾 𠈿 𠉀 𠉁 𠉂 𠉃 𠉄 𠉅 𠉆 𠉇 𠉈 𠉉 𠉊 𠉋 𠉌 𠉍 𠉎 𠉏 𠉐 𠉑 𠉒 𠉓 𠉔 𠉕 𠉖 𠉗 𠉘 𠉙 𠉚 𠉛 𠉜 𠉝 𠉞 𠉟 𠉠 𠉡 𠉢 𠉣 𠉤 𠉥 𠉦 𠉧 𠉨 𠉩 𠉪 𠉫 𠉬 𠉭 𠉮 𠉯 𠉰 𠉱 𠉲 𠉳 𠉴 𠉵 𠉶 𠉷 𠉸 𠉹 𠉺 𠉻 𠉼 𠉽 𠉾 𠉿 𠊀 𠊁 𠊂 𠊃 𠊄 𠊅 𠊆 𠊇 𠊈 𠊉 𠊊 𠊋 𠊌 𠊍 𠊎 𠊏 𠊐 𠊑 𠊒 𠊓 𠊔 𠊕 𠊖 𠊗 𠊘 𠊙 𠊚 𠊛 𠊜 𠊝 𠊞 𠊟 𠊠 𠊡 𠊢 𠊣 𠊤 𠊥 𠊦 𠊧 𠊨 𠊩 𠊪 𠊫 𠊬 𠊭 𠊮 𠊯 𠊰 𠊱 𠊲 𠊳 𠊴 𠊵 𠊶 𠊷 𠊸 𠊹 𠊺 𠊻 𠊼 𠊽 𠊾 𠊿 𠋀 𠋁 𠋂 𠋃 𠋄 𠋅 𠋆 𠋇 𠋈 𠋉 𠋊 𠋋 𠋌 𠋍 𠋎 𠋏 𠋐 𠋑 𠋒 𠋓 𠋔 𠋕 𠋖 𠋗 𠋘 𠋙 𠋚 𠋛 𠋜 𠋝 𠋞 𠋟 𠋠 𠋡 𠋢 𠋣 𠋤 𠋥 𠋦 𠋧 𠋨 𠋩 𠋪 𠋫 𠋬 𠋭 𠋮 𠋯 𠋰 𠋱 𠋲 𠋳 𠋴 𠋵 𠋶 𠋷 𠋸 𠋹 𠋺 𠋻 𠋼 𠋽 𠋾 𠋿</t>
        </is>
      </c>
      <c r="R521" s="43" t="inlineStr">
        <is>
          <t>𠉂 𠊎</t>
        </is>
      </c>
      <c r="S521" s="40" t="n"/>
      <c r="V521" s="14">
        <f>(LEN(O521)+1)/2</f>
        <v/>
      </c>
      <c r="W521" s="14">
        <f>ROUNDDOWN((LEN(P521)+1)/2,0)</f>
        <v/>
      </c>
      <c r="X521" s="14">
        <f>ROUNDDOWN((LEN(Q521)+1)/2,0)</f>
        <v/>
      </c>
      <c r="Y521" s="14">
        <f>ROUNDDOWN((LEN(R521)+1)/2,0)</f>
        <v/>
      </c>
      <c r="Z521" s="14">
        <f>ROUNDDOWN((LEN(S521)+1)/2,0)</f>
        <v/>
      </c>
      <c r="AA521" s="56" t="n">
        <v>46150.55870908686</v>
      </c>
    </row>
    <row r="522" ht="102" customHeight="1">
      <c r="B522" s="46" t="inlineStr">
        <is>
          <t>U+20400-U+204FF</t>
        </is>
      </c>
      <c r="C522" s="46" t="inlineStr">
        <is>
          <t>CJK Unified Ideographs Extension B</t>
        </is>
      </c>
      <c r="D522" s="54">
        <f>HEX2DEC(MID(B522,3,FIND("-",E522)-3))</f>
        <v/>
      </c>
      <c r="E522" s="46" t="inlineStr">
        <is>
          <t>U+20000-U+2A6DF</t>
        </is>
      </c>
      <c r="F522" s="12" t="n">
        <v>4</v>
      </c>
      <c r="J522" s="19">
        <f>ROUNDDOWN(W522,0)/$V522</f>
        <v/>
      </c>
      <c r="K522" s="19">
        <f>ROUNDDOWN(X522,0)/$V522</f>
        <v/>
      </c>
      <c r="L522" s="19">
        <f>ROUNDDOWN(Y522,0)/$V522</f>
        <v/>
      </c>
      <c r="M522" s="19">
        <f>ROUNDDOWN(Z522,0)/$V522</f>
        <v/>
      </c>
      <c r="O522" s="36" t="inlineStr">
        <is>
          <t>𠌀 𠌁 𠌂 𠌃 𠌄 𠌅 𠌆 𠌇 𠌈 𠌉 𠌊 𠌋 𠌌 𠌍 𠌎 𠌏 𠌐 𠌑 𠌒 𠌓 𠌔 𠌕 𠌖 𠌗 𠌘 𠌙 𠌚 𠌛 𠌜 𠌝 𠌞 𠌟 𠌠 𠌡 𠌢 𠌣 𠌤 𠌥 𠌦 𠌧 𠌨 𠌩 𠌪 𠌫 𠌬 𠌭 𠌮 𠌯 𠌰 𠌱 𠌲 𠌳 𠌴 𠌵 𠌶 𠌷 𠌸 𠌹 𠌺 𠌻 𠌼 𠌽 𠌾 𠌿 𠍀 𠍁 𠍂 𠍃 𠍄 𠍅 𠍆 𠍇 𠍈 𠍉 𠍊 𠍋 𠍌 𠍍 𠍎 𠍏 𠍐 𠍑 𠍒 𠍓 𠍔 𠍕 𠍖 𠍗 𠍘 𠍙 𠍚 𠍛 𠍜 𠍝 𠍞 𠍟 𠍠 𠍡 𠍢 𠍣 𠍤 𠍥 𠍦 𠍧 𠍨 𠍩 𠍪 𠍫 𠍬 𠍭 𠍮 𠍯 𠍰 𠍱 𠍲 𠍳 𠍴 𠍵 𠍶 𠍷 𠍸 𠍹 𠍺 𠍻 𠍼 𠍽 𠍾 𠍿 𠎀 𠎁 𠎂 𠎃 𠎄 𠎅 𠎆 𠎇 𠎈 𠎉 𠎊 𠎋 𠎌 𠎍 𠎎 𠎏 𠎐 𠎑 𠎒 𠎓 𠎔 𠎕 𠎖 𠎗 𠎘 𠎙 𠎚 𠎛 𠎜 𠎝 𠎞 𠎟 𠎠 𠎡 𠎢 𠎣 𠎤 𠎥 𠎦 𠎧 𠎨 𠎩 𠎪 𠎫 𠎬 𠎭 𠎮 𠎯 𠎰 𠎱 𠎲 𠎳 𠎴 𠎵 𠎶 𠎷 𠎸 𠎹 𠎺 𠎻 𠎼 𠎽 𠎾 𠎿 𠏀 𠏁 𠏂 𠏃 𠏄 𠏅 𠏆 𠏇 𠏈 𠏉 𠏊 𠏋 𠏌 𠏍 𠏎 𠏏 𠏐 𠏑 𠏒 𠏓 𠏔 𠏕 𠏖 𠏗 𠏘 𠏙 𠏚 𠏛 𠏜 𠏝 𠏞 𠏟 𠏠 𠏡 𠏢 𠏣 𠏤 𠏥 𠏦 𠏧 𠏨 𠏩 𠏪 𠏫 𠏬 𠏭 𠏮 𠏯 𠏰 𠏱 𠏲 𠏳 𠏴 𠏵 𠏶 𠏷 𠏸 𠏹 𠏺 𠏻 𠏼 𠏽 𠏾 𠏿</t>
        </is>
      </c>
      <c r="P522" s="37" t="inlineStr">
        <is>
          <t>𠌀 𠌁 𠌂 𠌃 𠌄 𠌅 𠌆 𠌇 𠌈 𠌉 𠌊 𠌋 𠌌 𠌍 𠌎 𠌏 𠌐 𠌑 𠌒 𠌓 𠌔 𠌕 𠌖 𠌗 𠌘 𠌙 𠌚 𠌛 𠌜 𠌝 𠌞 𠌟 𠌠 𠌡 𠌢 𠌣 𠌤 𠌥 𠌦 𠌧 𠌨 𠌩 𠌪 𠌫 𠌬 𠌭 𠌮 𠌯 𠌰 𠌱 𠌲 𠌳 𠌴 𠌵 𠌶 𠌷 𠌸 𠌹 𠌺 𠌻 𠌼 𠌽 𠌾 𠌿 𠍀 𠍁 𠍂 𠍃 𠍄 𠍅 𠍆 𠍇 𠍈 𠍉 𠍊 𠍋 𠍌 𠍍 𠍎 𠍏 𠍐 𠍑 𠍒 𠍓 𠍔 𠍕 𠍖 𠍗 𠍘 𠍙 𠍚 𠍛 𠍜 𠍝 𠍞 𠍟 𠍠 𠍡 𠍢 𠍣 𠍤 𠍥 𠍦 𠍧 𠍨 𠍩 𠍪 𠍫 𠍬 𠍭 𠍮 𠍯 𠍰 𠍱 𠍲 𠍳 𠍴 𠍵 𠍶 𠍷 𠍸 𠍹 𠍺 𠍻 𠍼 𠍽 𠍾 𠍿 𠎀 𠎁 𠎂 𠎃 𠎄 𠎅 𠎆 𠎇 𠎈 𠎉 𠎊 𠎋 𠎌 𠎍 𠎎 𠎏 𠎐 𠎑 𠎒 𠎓 𠎔 𠎕 𠎖 𠎗 𠎘 𠎙 𠎚 𠎛 𠎜 𠎝 𠎞 𠎟 𠎠 𠎡 𠎢 𠎣 𠎤 𠎥 𠎦 𠎧 𠎨 𠎩 𠎪 𠎫 𠎬 𠎭 𠎮 𠎯 𠎰 𠎱 𠎲 𠎳 𠎴 𠎵 𠎶 𠎷 𠎸 𠎹 𠎺 𠎻 𠎼 𠎽 𠎾 𠎿 𠏀 𠏁 𠏂 𠏃 𠏄 𠏅 𠏆 𠏇 𠏈 𠏉 𠏊 𠏋 𠏌 𠏍 𠏎 𠏏 𠏐 𠏑 𠏒 𠏓 𠏔 𠏕 𠏖 𠏗 𠏘 𠏙 𠏚 𠏛 𠏜 𠏝 𠏞 𠏟 𠏠 𠏡 𠏢 𠏣 𠏤 𠏥 𠏦 𠏧 𠏨 𠏩 𠏪 𠏫 𠏬 𠏭 𠏮 𠏯 𠏰 𠏱 𠏲 𠏳 𠏴 𠏵 𠏶 𠏷 𠏸 𠏹 𠏺 𠏻 𠏼 𠏽 𠏾 𠏿</t>
        </is>
      </c>
      <c r="Q522" s="38" t="inlineStr">
        <is>
          <t>𠌀 𠌁 𠌂 𠌃 𠌄 𠌅 𠌆 𠌇 𠌈 𠌉 𠌊 𠌋 𠌌 𠌍 𠌎 𠌏 𠌐 𠌑 𠌒 𠌓 𠌔 𠌕 𠌖 𠌗 𠌘 𠌙 𠌚 𠌛 𠌜 𠌝 𠌞 𠌟 𠌠 𠌡 𠌢 𠌣 𠌤 𠌥 𠌦 𠌧 𠌨 𠌩 𠌪 𠌫 𠌬 𠌭 𠌮 𠌯 𠌰 𠌱 𠌲 𠌳 𠌴 𠌵 𠌶 𠌷 𠌸 𠌹 𠌺 𠌻 𠌼 𠌽 𠌾 𠌿 𠍀 𠍁 𠍂 𠍃 𠍄 𠍅 𠍆 𠍇 𠍈 𠍉 𠍊 𠍋 𠍌 𠍍 𠍎 𠍏 𠍐 𠍑 𠍒 𠍓 𠍔 𠍕 𠍖 𠍗 𠍘 𠍙 𠍚 𠍛 𠍜 𠍝 𠍞 𠍟 𠍠 𠍡 𠍢 𠍣 𠍤 𠍥 𠍦 𠍧 𠍨 𠍩 𠍪 𠍫 𠍬 𠍭 𠍮 𠍯 𠍰 𠍱 𠍲 𠍳 𠍴 𠍵 𠍶 𠍷 𠍸 𠍹 𠍺 𠍻 𠍼 𠍽 𠍾 𠍿 𠎀 𠎁 𠎂 𠎃 𠎄 𠎅 𠎆 𠎇 𠎈 𠎉 𠎊 𠎋 𠎌 𠎍 𠎎 𠎏 𠎐 𠎑 𠎒 𠎓 𠎔 𠎕 𠎖 𠎗 𠎘 𠎙 𠎚 𠎛 𠎜 𠎝 𠎞 𠎟 𠎠 𠎡 𠎢 𠎣 𠎤 𠎥 𠎦 𠎧 𠎨 𠎩 𠎪 𠎫 𠎬 𠎭 𠎮 𠎯 𠎰 𠎱 𠎲 𠎳 𠎴 𠎵 𠎶 𠎷 𠎸 𠎹 𠎺 𠎻 𠎼 𠎽 𠎾 𠎿 𠏀 𠏁 𠏂 𠏃 𠏄 𠏅 𠏆 𠏇 𠏈 𠏉 𠏊 𠏋 𠏌 𠏍 𠏎 𠏏 𠏐 𠏑 𠏒 𠏓 𠏔 𠏕 𠏖 𠏗 𠏘 𠏙 𠏚 𠏛 𠏜 𠏝 𠏞 𠏟 𠏠 𠏡 𠏢 𠏣 𠏤 𠏥 𠏦 𠏧 𠏨 𠏩 𠏪 𠏫 𠏬 𠏭 𠏮 𠏯 𠏰 𠏱 𠏲 𠏳 𠏴 𠏵 𠏶 𠏷 𠏸 𠏹 𠏺 𠏻 𠏼 𠏽 𠏾 𠏿</t>
        </is>
      </c>
      <c r="R522" s="43" t="inlineStr">
        <is>
          <t>𠌫 𠍐 𠍱 𠎁 𠎷 𠏹</t>
        </is>
      </c>
      <c r="S522" s="40" t="n"/>
      <c r="V522" s="14">
        <f>(LEN(O522)+1)/2</f>
        <v/>
      </c>
      <c r="W522" s="14">
        <f>ROUNDDOWN((LEN(P522)+1)/2,0)</f>
        <v/>
      </c>
      <c r="X522" s="14">
        <f>ROUNDDOWN((LEN(Q522)+1)/2,0)</f>
        <v/>
      </c>
      <c r="Y522" s="14">
        <f>ROUNDDOWN((LEN(R522)+1)/2,0)</f>
        <v/>
      </c>
      <c r="Z522" s="14">
        <f>ROUNDDOWN((LEN(S522)+1)/2,0)</f>
        <v/>
      </c>
      <c r="AA522" s="56" t="n">
        <v>46150.55871024988</v>
      </c>
    </row>
    <row r="523" ht="102" customHeight="1">
      <c r="B523" s="46" t="inlineStr">
        <is>
          <t>U+20500-U+205FF</t>
        </is>
      </c>
      <c r="C523" s="46" t="inlineStr">
        <is>
          <t>CJK Unified Ideographs Extension B</t>
        </is>
      </c>
      <c r="D523" s="54">
        <f>HEX2DEC(MID(B523,3,FIND("-",E523)-3))</f>
        <v/>
      </c>
      <c r="E523" s="46" t="inlineStr">
        <is>
          <t>U+20000-U+2A6DF</t>
        </is>
      </c>
      <c r="F523" s="12" t="n">
        <v>4</v>
      </c>
      <c r="J523" s="19">
        <f>ROUNDDOWN(W523,0)/$V523</f>
        <v/>
      </c>
      <c r="K523" s="19">
        <f>ROUNDDOWN(X523,0)/$V523</f>
        <v/>
      </c>
      <c r="L523" s="19">
        <f>ROUNDDOWN(Y523,0)/$V523</f>
        <v/>
      </c>
      <c r="M523" s="19">
        <f>ROUNDDOWN(Z523,0)/$V523</f>
        <v/>
      </c>
      <c r="O523" s="36" t="inlineStr">
        <is>
          <t>𠐀 𠐁 𠐂 𠐃 𠐄 𠐅 𠐆 𠐇 𠐈 𠐉 𠐊 𠐋 𠐌 𠐍 𠐎 𠐏 𠐐 𠐑 𠐒 𠐓 𠐔 𠐕 𠐖 𠐗 𠐘 𠐙 𠐚 𠐛 𠐜 𠐝 𠐞 𠐟 𠐠 𠐡 𠐢 𠐣 𠐤 𠐥 𠐦 𠐧 𠐨 𠐩 𠐪 𠐫 𠐬 𠐭 𠐮 𠐯 𠐰 𠐱 𠐲 𠐳 𠐴 𠐵 𠐶 𠐷 𠐸 𠐹 𠐺 𠐻 𠐼 𠐽 𠐾 𠐿 𠑀 𠑁 𠑂 𠑃 𠑄 𠑅 𠑆 𠑇 𠑈 𠑉 𠑊 𠑋 𠑌 𠑍 𠑎 𠑏 𠑐 𠑑 𠑒 𠑓 𠑔 𠑕 𠑖 𠑗 𠑘 𠑙 𠑚 𠑛 𠑜 𠑝 𠑞 𠑟 𠑠 𠑡 𠑢 𠑣 𠑤 𠑥 𠑦 𠑧 𠑨 𠑩 𠑪 𠑫 𠑬 𠑭 𠑮 𠑯 𠑰 𠑱 𠑲 𠑳 𠑴 𠑵 𠑶 𠑷 𠑸 𠑹 𠑺 𠑻 𠑼 𠑽 𠑾 𠑿 𠒀 𠒁 𠒂 𠒃 𠒄 𠒅 𠒆 𠒇 𠒈 𠒉 𠒊 𠒋 𠒌 𠒍 𠒎 𠒏 𠒐 𠒑 𠒒 𠒓 𠒔 𠒕 𠒖 𠒗 𠒘 𠒙 𠒚 𠒛 𠒜 𠒝 𠒞 𠒟 𠒠 𠒡 𠒢 𠒣 𠒤 𠒥 𠒦 𠒧 𠒨 𠒩 𠒪 𠒫 𠒬 𠒭 𠒮 𠒯 𠒰 𠒱 𠒲 𠒳 𠒴 𠒵 𠒶 𠒷 𠒸 𠒹 𠒺 𠒻 𠒼 𠒽 𠒾 𠒿 𠓀 𠓁 𠓂 𠓃 𠓄 𠓅 𠓆 𠓇 𠓈 𠓉 𠓊 𠓋 𠓌 𠓍 𠓎 𠓏 𠓐 𠓑 𠓒 𠓓 𠓔 𠓕 𠓖 𠓗 𠓘 𠓙 𠓚 𠓛 𠓜 𠓝 𠓞 𠓟 𠓠 𠓡 𠓢 𠓣 𠓤 𠓥 𠓦 𠓧 𠓨 𠓩 𠓪 𠓫 𠓬 𠓭 𠓮 𠓯 𠓰 𠓱 𠓲 𠓳 𠓴 𠓵 𠓶 𠓷 𠓸 𠓹 𠓺 𠓻 𠓼 𠓽 𠓾 𠓿</t>
        </is>
      </c>
      <c r="P523" s="37" t="inlineStr">
        <is>
          <t>𠐀 𠐁 𠐂 𠐃 𠐄 𠐅 𠐆 𠐇 𠐈 𠐉 𠐊 𠐋 𠐌 𠐍 𠐎 𠐏 𠐐 𠐑 𠐒 𠐓 𠐔 𠐕 𠐖 𠐗 𠐘 𠐙 𠐚 𠐛 𠐜 𠐝 𠐞 𠐟 𠐠 𠐡 𠐢 𠐣 𠐤 𠐥 𠐦 𠐧 𠐨 𠐩 𠐪 𠐫 𠐬 𠐭 𠐮 𠐯 𠐰 𠐱 𠐲 𠐳 𠐴 𠐵 𠐶 𠐷 𠐸 𠐹 𠐺 𠐻 𠐼 𠐽 𠐾 𠐿 𠑀 𠑁 𠑂 𠑃 𠑄 𠑅 𠑆 𠑇 𠑈 𠑉 𠑊 𠑋 𠑌 𠑍 𠑎 𠑏 𠑐 𠑑 𠑒 𠑓 𠑔 𠑕 𠑖 𠑗 𠑘 𠑙 𠑚 𠑛 𠑜 𠑝 𠑞 𠑟 𠑠 𠑡 𠑢 𠑣 𠑤 𠑥 𠑦 𠑧 𠑨 𠑩 𠑪 𠑫 𠑬 𠑭 𠑮 𠑯 𠑰 𠑱 𠑲 𠑳 𠑴 𠑵 𠑶 𠑷 𠑸 𠑹 𠑺 𠑻 𠑼 𠑽 𠑾 𠑿 𠒀 𠒁 𠒂 𠒃 𠒄 𠒅 𠒆 𠒇 𠒈 𠒉 𠒊 𠒋 𠒌 𠒍 𠒎 𠒏 𠒐 𠒑 𠒒 𠒓 𠒔 𠒕 𠒖 𠒗 𠒘 𠒙 𠒚 𠒛 𠒜 𠒝 𠒞 𠒟 𠒠 𠒡 𠒢 𠒣 𠒤 𠒥 𠒦 𠒧 𠒨 𠒩 𠒪 𠒫 𠒬 𠒭 𠒮 𠒯 𠒰 𠒱 𠒲 𠒳 𠒴 𠒵 𠒶 𠒷 𠒸 𠒹 𠒺 𠒻 𠒼 𠒽 𠒾 𠒿 𠓀 𠓁 𠓂 𠓃 𠓄 𠓅 𠓆 𠓇 𠓈 𠓉 𠓊 𠓋 𠓌 𠓍 𠓎 𠓏 𠓐 𠓑 𠓒 𠓓 𠓔 𠓕 𠓖 𠓗 𠓘 𠓙 𠓚 𠓛 𠓜 𠓝 𠓞 𠓟 𠓠 𠓡 𠓢 𠓣 𠓤 𠓥 𠓦 𠓧 𠓨 𠓩 𠓪 𠓫 𠓬 𠓭 𠓮 𠓯 𠓰 𠓱 𠓲 𠓳 𠓴 𠓵 𠓶 𠓷 𠓸 𠓹 𠓺 𠓻 𠓼 𠓽 𠓾 𠓿</t>
        </is>
      </c>
      <c r="Q523" s="38" t="inlineStr">
        <is>
          <t>𠐀 𠐁 𠐂 𠐃 𠐄 𠐅 𠐆 𠐇 𠐈 𠐉 𠐊 𠐋 𠐌 𠐍 𠐎 𠐏 𠐐 𠐑 𠐒 𠐓 𠐔 𠐕 𠐖 𠐗 𠐘 𠐙 𠐚 𠐛 𠐜 𠐝 𠐞 𠐟 𠐠 𠐡 𠐢 𠐣 𠐤 𠐥 𠐦 𠐧 𠐨 𠐩 𠐪 𠐫 𠐬 𠐭 𠐮 𠐯 𠐰 𠐱 𠐲 𠐳 𠐴 𠐵 𠐶 𠐷 𠐸 𠐹 𠐺 𠐻 𠐼 𠐽 𠐾 𠐿 𠑀 𠑁 𠑂 𠑃 𠑄 𠑅 𠑆 𠑇 𠑈 𠑉 𠑊 𠑋 𠑌 𠑍 𠑎 𠑏 𠑐 𠑑 𠑒 𠑓 𠑔 𠑕 𠑖 𠑗 𠑘 𠑙 𠑚 𠑛 𠑜 𠑝 𠑞 𠑟 𠑠 𠑡 𠑢 𠑣 𠑤 𠑥 𠑦 𠑧 𠑨 𠑩 𠑪 𠑫 𠑬 𠑭 𠑮 𠑯 𠑰 𠑱 𠑲 𠑳 𠑴 𠑵 𠑶 𠑷 𠑸 𠑹 𠑺 𠑻 𠑼 𠑽 𠑾 𠑿 𠒀 𠒁 𠒂 𠒃 𠒄 𠒅 𠒆 𠒇 𠒈 𠒉 𠒊 𠒋 𠒌 𠒍 𠒎 𠒏 𠒐 𠒑 𠒒 𠒓 𠒔 𠒕 𠒖 𠒗 𠒘 𠒙 𠒚 𠒛 𠒜 𠒝 𠒞 𠒟 𠒠 𠒡 𠒢 𠒣 𠒤 𠒥 𠒦 𠒧 𠒨 𠒩 𠒪 𠒫 𠒬 𠒭 𠒮 𠒯 𠒰 𠒱 𠒲 𠒳 𠒴 𠒵 𠒶 𠒷 𠒸 𠒹 𠒺 𠒻 𠒼 𠒽 𠒾 𠒿 𠓀 𠓁 𠓂 𠓃 𠓄 𠓅 𠓆 𠓇 𠓈 𠓉 𠓊 𠓋 𠓌 𠓍 𠓎 𠓏 𠓐 𠓑 𠓒 𠓓 𠓔 𠓕 𠓖 𠓗 𠓘 𠓙 𠓚 𠓛 𠓜 𠓝 𠓞 𠓟 𠓠 𠓡 𠓢 𠓣 𠓤 𠓥 𠓦 𠓧 𠓨 𠓩 𠓪 𠓫 𠓬 𠓭 𠓮 𠓯 𠓰 𠓱 𠓲 𠓳 𠓴 𠓵 𠓶 𠓷 𠓸 𠓹 𠓺 𠓻 𠓼 𠓽 𠓾 𠓿</t>
        </is>
      </c>
      <c r="R523" s="43" t="inlineStr">
        <is>
          <t>𠑊</t>
        </is>
      </c>
      <c r="S523" s="40" t="n"/>
      <c r="V523" s="14">
        <f>(LEN(O523)+1)/2</f>
        <v/>
      </c>
      <c r="W523" s="14">
        <f>ROUNDDOWN((LEN(P523)+1)/2,0)</f>
        <v/>
      </c>
      <c r="X523" s="14">
        <f>ROUNDDOWN((LEN(Q523)+1)/2,0)</f>
        <v/>
      </c>
      <c r="Y523" s="14">
        <f>ROUNDDOWN((LEN(R523)+1)/2,0)</f>
        <v/>
      </c>
      <c r="Z523" s="14">
        <f>ROUNDDOWN((LEN(S523)+1)/2,0)</f>
        <v/>
      </c>
      <c r="AA523" s="56" t="n">
        <v>46150.55871143049</v>
      </c>
    </row>
    <row r="524" ht="102" customHeight="1">
      <c r="B524" s="46" t="inlineStr">
        <is>
          <t>U+20600-U+206FF</t>
        </is>
      </c>
      <c r="C524" s="46" t="inlineStr">
        <is>
          <t>CJK Unified Ideographs Extension B</t>
        </is>
      </c>
      <c r="D524" s="54">
        <f>HEX2DEC(MID(B524,3,FIND("-",E524)-3))</f>
        <v/>
      </c>
      <c r="E524" s="46" t="inlineStr">
        <is>
          <t>U+20000-U+2A6DF</t>
        </is>
      </c>
      <c r="F524" s="12" t="n">
        <v>4</v>
      </c>
      <c r="J524" s="19">
        <f>ROUNDDOWN(W524,0)/$V524</f>
        <v/>
      </c>
      <c r="K524" s="19">
        <f>ROUNDDOWN(X524,0)/$V524</f>
        <v/>
      </c>
      <c r="L524" s="19">
        <f>ROUNDDOWN(Y524,0)/$V524</f>
        <v/>
      </c>
      <c r="M524" s="19">
        <f>ROUNDDOWN(Z524,0)/$V524</f>
        <v/>
      </c>
      <c r="O524" s="36" t="inlineStr">
        <is>
          <t>𠔀 𠔁 𠔂 𠔃 𠔄 𠔅 𠔆 𠔇 𠔈 𠔉 𠔊 𠔋 𠔌 𠔍 𠔎 𠔏 𠔐 𠔑 𠔒 𠔓 𠔔 𠔕 𠔖 𠔗 𠔘 𠔙 𠔚 𠔛 𠔜 𠔝 𠔞 𠔟 𠔠 𠔡 𠔢 𠔣 𠔤 𠔥 𠔦 𠔧 𠔨 𠔩 𠔪 𠔫 𠔬 𠔭 𠔮 𠔯 𠔰 𠔱 𠔲 𠔳 𠔴 𠔵 𠔶 𠔷 𠔸 𠔹 𠔺 𠔻 𠔼 𠔽 𠔾 𠔿 𠕀 𠕁 𠕂 𠕃 𠕄 𠕅 𠕆 𠕇 𠕈 𠕉 𠕊 𠕋 𠕌 𠕍 𠕎 𠕏 𠕐 𠕑 𠕒 𠕓 𠕔 𠕕 𠕖 𠕗 𠕘 𠕙 𠕚 𠕛 𠕜 𠕝 𠕞 𠕟 𠕠 𠕡 𠕢 𠕣 𠕤 𠕥 𠕦 𠕧 𠕨 𠕩 𠕪 𠕫 𠕬 𠕭 𠕮 𠕯 𠕰 𠕱 𠕲 𠕳 𠕴 𠕵 𠕶 𠕷 𠕸 𠕹 𠕺 𠕻 𠕼 𠕽 𠕾 𠕿 𠖀 𠖁 𠖂 𠖃 𠖄 𠖅 𠖆 𠖇 𠖈 𠖉 𠖊 𠖋 𠖌 𠖍 𠖎 𠖏 𠖐 𠖑 𠖒 𠖓 𠖔 𠖕 𠖖 𠖗 𠖘 𠖙 𠖚 𠖛 𠖜 𠖝 𠖞 𠖟 𠖠 𠖡 𠖢 𠖣 𠖤 𠖥 𠖦 𠖧 𠖨 𠖩 𠖪 𠖫 𠖬 𠖭 𠖮 𠖯 𠖰 𠖱 𠖲 𠖳 𠖴 𠖵 𠖶 𠖷 𠖸 𠖹 𠖺 𠖻 𠖼 𠖽 𠖾 𠖿 𠗀 𠗁 𠗂 𠗃 𠗄 𠗅 𠗆 𠗇 𠗈 𠗉 𠗊 𠗋 𠗌 𠗍 𠗎 𠗏 𠗐 𠗑 𠗒 𠗓 𠗔 𠗕 𠗖 𠗗 𠗘 𠗙 𠗚 𠗛 𠗜 𠗝 𠗞 𠗟 𠗠 𠗡 𠗢 𠗣 𠗤 𠗥 𠗦 𠗧 𠗨 𠗩 𠗪 𠗫 𠗬 𠗭 𠗮 𠗯 𠗰 𠗱 𠗲 𠗳 𠗴 𠗵 𠗶 𠗷 𠗸 𠗹 𠗺 𠗻 𠗼 𠗽 𠗾 𠗿</t>
        </is>
      </c>
      <c r="P524" s="37" t="inlineStr">
        <is>
          <t>𠔀 𠔁 𠔂 𠔃 𠔄 𠔅 𠔆 𠔇 𠔈 𠔉 𠔊 𠔋 𠔌 𠔍 𠔎 𠔏 𠔐 𠔑 𠔒 𠔓 𠔔 𠔕 𠔖 𠔗 𠔘 𠔙 𠔚 𠔛 𠔜 𠔝 𠔞 𠔟 𠔠 𠔡 𠔢 𠔣 𠔤 𠔥 𠔦 𠔧 𠔨 𠔩 𠔪 𠔫 𠔬 𠔭 𠔮 𠔯 𠔰 𠔱 𠔲 𠔳 𠔴 𠔵 𠔶 𠔷 𠔸 𠔹 𠔺 𠔻 𠔼 𠔽 𠔾 𠔿 𠕀 𠕁 𠕂 𠕃 𠕄 𠕅 𠕆 𠕇 𠕈 𠕉 𠕊 𠕋 𠕌 𠕍 𠕎 𠕏 𠕐 𠕑 𠕒 𠕓 𠕔 𠕕 𠕖 𠕗 𠕘 𠕙 𠕚 𠕛 𠕜 𠕝 𠕞 𠕟 𠕠 𠕡 𠕢 𠕣 𠕤 𠕥 𠕦 𠕧 𠕨 𠕩 𠕪 𠕫 𠕬 𠕭 𠕮 𠕯 𠕰 𠕱 𠕲 𠕳 𠕴 𠕵 𠕶 𠕷 𠕸 𠕹 𠕺 𠕻 𠕼 𠕽 𠕾 𠕿 𠖀 𠖁 𠖂 𠖃 𠖄 𠖅 𠖆 𠖇 𠖈 𠖉 𠖊 𠖋 𠖌 𠖍 𠖎 𠖏 𠖐 𠖑 𠖒 𠖓 𠖔 𠖕 𠖖 𠖗 𠖘 𠖙 𠖚 𠖛 𠖜 𠖝 𠖞 𠖟 𠖠 𠖡 𠖢 𠖣 𠖤 𠖥 𠖦 𠖧 𠖨 𠖩 𠖪 𠖫 𠖬 𠖭 𠖮 𠖯 𠖰 𠖱 𠖲 𠖳 𠖴 𠖵 𠖶 𠖷 𠖸 𠖹 𠖺 𠖻 𠖼 𠖽 𠖾 𠖿 𠗀 𠗁 𠗂 𠗃 𠗄 𠗅 𠗆 𠗇 𠗈 𠗉 𠗊 𠗋 𠗌 𠗍 𠗎 𠗏 𠗐 𠗑 𠗒 𠗓 𠗔 𠗕 𠗖 𠗗 𠗘 𠗙 𠗚 𠗛 𠗜 𠗝 𠗞 𠗟 𠗠 𠗡 𠗢 𠗣 𠗤 𠗥 𠗦 𠗧 𠗨 𠗩 𠗪 𠗫 𠗬 𠗭 𠗮 𠗯 𠗰 𠗱 𠗲 𠗳 𠗴 𠗵 𠗶 𠗷 𠗸 𠗹 𠗺 𠗻 𠗼 𠗽 𠗾 𠗿</t>
        </is>
      </c>
      <c r="Q524" s="38" t="inlineStr">
        <is>
          <t>𠔀 𠔁 𠔂 𠔃 𠔄 𠔅 𠔆 𠔇 𠔈 𠔉 𠔊 𠔋 𠔌 𠔍 𠔎 𠔏 𠔐 𠔑 𠔒 𠔓 𠔔 𠔕 𠔖 𠔗 𠔘 𠔙 𠔚 𠔛 𠔜 𠔝 𠔞 𠔟 𠔠 𠔡 𠔢 𠔣 𠔤 𠔥 𠔦 𠔧 𠔨 𠔩 𠔪 𠔫 𠔬 𠔭 𠔮 𠔯 𠔰 𠔱 𠔲 𠔳 𠔴 𠔵 𠔶 𠔷 𠔸 𠔹 𠔺 𠔻 𠔼 𠔽 𠔾 𠔿 𠕀 𠕁 𠕂 𠕃 𠕄 𠕅 𠕆 𠕇 𠕈 𠕉 𠕊 𠕋 𠕌 𠕍 𠕎 𠕏 𠕐 𠕑 𠕒 𠕓 𠕔 𠕕 𠕖 𠕗 𠕘 𠕙 𠕚 𠕛 𠕜 𠕝 𠕞 𠕟 𠕠 𠕡 𠕢 𠕣 𠕤 𠕥 𠕦 𠕧 𠕨 𠕩 𠕪 𠕫 𠕬 𠕭 𠕮 𠕯 𠕰 𠕱 𠕲 𠕳 𠕴 𠕵 𠕶 𠕷 𠕸 𠕹 𠕺 𠕻 𠕼 𠕽 𠕾 𠕿 𠖀 𠖁 𠖂 𠖃 𠖄 𠖅 𠖆 𠖇 𠖈 𠖉 𠖊 𠖋 𠖌 𠖍 𠖎 𠖏 𠖐 𠖑 𠖒 𠖓 𠖔 𠖕 𠖖 𠖗 𠖘 𠖙 𠖚 𠖛 𠖜 𠖝 𠖞 𠖟 𠖠 𠖡 𠖢 𠖣 𠖤 𠖥 𠖦 𠖧 𠖨 𠖩 𠖪 𠖫 𠖬 𠖭 𠖮 𠖯 𠖰 𠖱 𠖲 𠖳 𠖴 𠖵 𠖶 𠖷 𠖸 𠖹 𠖺 𠖻 𠖼 𠖽 𠖾 𠖿 𠗀 𠗁 𠗂 𠗃 𠗄 𠗅 𠗆 𠗇 𠗈 𠗉 𠗊 𠗋 𠗌 𠗍 𠗎 𠗏 𠗐 𠗑 𠗒 𠗓 𠗔 𠗕 𠗖 𠗗 𠗘 𠗙 𠗚 𠗛 𠗜 𠗝 𠗞 𠗟 𠗠 𠗡 𠗢 𠗣 𠗤 𠗥 𠗦 𠗧 𠗨 𠗩 𠗪 𠗫 𠗬 𠗭 𠗮 𠗯 𠗰 𠗱 𠗲 𠗳 𠗴 𠗵 𠗶 𠗷 𠗸 𠗹 𠗺 𠗻 𠗼 𠗽 𠗾 𠗿</t>
        </is>
      </c>
      <c r="R524" s="43" t="inlineStr">
        <is>
          <t>𠔉 𠕆 𠕇 𠖄 𠗖 𠗻</t>
        </is>
      </c>
      <c r="S524" s="40" t="n"/>
      <c r="V524" s="14">
        <f>(LEN(O524)+1)/2</f>
        <v/>
      </c>
      <c r="W524" s="14">
        <f>ROUNDDOWN((LEN(P524)+1)/2,0)</f>
        <v/>
      </c>
      <c r="X524" s="14">
        <f>ROUNDDOWN((LEN(Q524)+1)/2,0)</f>
        <v/>
      </c>
      <c r="Y524" s="14">
        <f>ROUNDDOWN((LEN(R524)+1)/2,0)</f>
        <v/>
      </c>
      <c r="Z524" s="14">
        <f>ROUNDDOWN((LEN(S524)+1)/2,0)</f>
        <v/>
      </c>
      <c r="AA524" s="56" t="n">
        <v>46150.55871266431</v>
      </c>
    </row>
    <row r="525" ht="102" customHeight="1">
      <c r="B525" s="46" t="inlineStr">
        <is>
          <t>U+20700-U+207FF</t>
        </is>
      </c>
      <c r="C525" s="46" t="inlineStr">
        <is>
          <t>CJK Unified Ideographs Extension B</t>
        </is>
      </c>
      <c r="D525" s="54">
        <f>HEX2DEC(MID(B525,3,FIND("-",E525)-3))</f>
        <v/>
      </c>
      <c r="E525" s="46" t="inlineStr">
        <is>
          <t>U+20000-U+2A6DF</t>
        </is>
      </c>
      <c r="F525" s="12" t="n">
        <v>4</v>
      </c>
      <c r="J525" s="19">
        <f>ROUNDDOWN(W525,0)/$V525</f>
        <v/>
      </c>
      <c r="K525" s="19">
        <f>ROUNDDOWN(X525,0)/$V525</f>
        <v/>
      </c>
      <c r="L525" s="19">
        <f>ROUNDDOWN(Y525,0)/$V525</f>
        <v/>
      </c>
      <c r="M525" s="19">
        <f>ROUNDDOWN(Z525,0)/$V525</f>
        <v/>
      </c>
      <c r="O525" s="36" t="inlineStr">
        <is>
          <t>𠘀 𠘁 𠘂 𠘃 𠘄 𠘅 𠘆 𠘇 𠘈 𠘉 𠘊 𠘋 𠘌 𠘍 𠘎 𠘏 𠘐 𠘑 𠘒 𠘓 𠘔 𠘕 𠘖 𠘗 𠘘 𠘙 𠘚 𠘛 𠘜 𠘝 𠘞 𠘟 𠘠 𠘡 𠘢 𠘣 𠘤 𠘥 𠘦 𠘧 𠘨 𠘩 𠘪 𠘫 𠘬 𠘭 𠘮 𠘯 𠘰 𠘱 𠘲 𠘳 𠘴 𠘵 𠘶 𠘷 𠘸 𠘹 𠘺 𠘻 𠘼 𠘽 𠘾 𠘿 𠙀 𠙁 𠙂 𠙃 𠙄 𠙅 𠙆 𠙇 𠙈 𠙉 𠙊 𠙋 𠙌 𠙍 𠙎 𠙏 𠙐 𠙑 𠙒 𠙓 𠙔 𠙕 𠙖 𠙗 𠙘 𠙙 𠙚 𠙛 𠙜 𠙝 𠙞 𠙟 𠙠 𠙡 𠙢 𠙣 𠙤 𠙥 𠙦 𠙧 𠙨 𠙩 𠙪 𠙫 𠙬 𠙭 𠙮 𠙯 𠙰 𠙱 𠙲 𠙳 𠙴 𠙵 𠙶 𠙷 𠙸 𠙹 𠙺 𠙻 𠙼 𠙽 𠙾 𠙿 𠚀 𠚁 𠚂 𠚃 𠚄 𠚅 𠚆 𠚇 𠚈 𠚉 𠚊 𠚋 𠚌 𠚍 𠚎 𠚏 𠚐 𠚑 𠚒 𠚓 𠚔 𠚕 𠚖 𠚗 𠚘 𠚙 𠚚 𠚛 𠚜 𠚝 𠚞 𠚟 𠚠 𠚡 𠚢 𠚣 𠚤 𠚥 𠚦 𠚧 𠚨 𠚩 𠚪 𠚫 𠚬 𠚭 𠚮 𠚯 𠚰 𠚱 𠚲 𠚳 𠚴 𠚵 𠚶 𠚷 𠚸 𠚹 𠚺 𠚻 𠚼 𠚽 𠚾 𠚿 𠛀 𠛁 𠛂 𠛃 𠛄 𠛅 𠛆 𠛇 𠛈 𠛉 𠛊 𠛋 𠛌 𠛍 𠛎 𠛏 𠛐 𠛑 𠛒 𠛓 𠛔 𠛕 𠛖 𠛗 𠛘 𠛙 𠛚 𠛛 𠛜 𠛝 𠛞 𠛟 𠛠 𠛡 𠛢 𠛣 𠛤 𠛥 𠛦 𠛧 𠛨 𠛩 𠛪 𠛫 𠛬 𠛭 𠛮 𠛯 𠛰 𠛱 𠛲 𠛳 𠛴 𠛵 𠛶 𠛷 𠛸 𠛹 𠛺 𠛻 𠛼 𠛽 𠛾 𠛿</t>
        </is>
      </c>
      <c r="P525" s="37" t="inlineStr">
        <is>
          <t>𠘀 𠘁 𠘂 𠘃 𠘄 𠘅 𠘆 𠘇 𠘈 𠘉 𠘊 𠘋 𠘌 𠘍 𠘎 𠘏 𠘐 𠘑 𠘒 𠘓 𠘔 𠘕 𠘖 𠘗 𠘘 𠘙 𠘚 𠘛 𠘜 𠘝 𠘞 𠘟 𠘠 𠘡 𠘢 𠘣 𠘤 𠘥 𠘦 𠘧 𠘨 𠘩 𠘪 𠘫 𠘬 𠘭 𠘮 𠘯 𠘰 𠘱 𠘲 𠘳 𠘴 𠘵 𠘶 𠘷 𠘸 𠘹 𠘺 𠘻 𠘼 𠘽 𠘾 𠘿 𠙀 𠙁 𠙂 𠙃 𠙄 𠙅 𠙆 𠙇 𠙈 𠙉 𠙊 𠙋 𠙌 𠙍 𠙎 𠙏 𠙐 𠙑 𠙒 𠙓 𠙔 𠙕 𠙖 𠙗 𠙘 𠙙 𠙚 𠙛 𠙜 𠙝 𠙞 𠙟 𠙠 𠙡 𠙢 𠙣 𠙤 𠙥 𠙦 𠙧 𠙨 𠙩 𠙪 𠙫 𠙬 𠙭 𠙮 𠙯 𠙰 𠙱 𠙲 𠙳 𠙴 𠙵 𠙶 𠙷 𠙸 𠙹 𠙺 𠙻 𠙼 𠙽 𠙾 𠙿 𠚀 𠚁 𠚂 𠚃 𠚄 𠚅 𠚆 𠚇 𠚈 𠚉 𠚊 𠚋 𠚌 𠚍 𠚎 𠚏 𠚐 𠚑 𠚒 𠚓 𠚔 𠚕 𠚖 𠚗 𠚘 𠚙 𠚚 𠚛 𠚜 𠚝 𠚞 𠚟 𠚠 𠚡 𠚢 𠚣 𠚤 𠚥 𠚦 𠚧 𠚨 𠚩 𠚪 𠚫 𠚬 𠚭 𠚮 𠚯 𠚰 𠚱 𠚲 𠚳 𠚴 𠚵 𠚶 𠚷 𠚸 𠚹 𠚺 𠚻 𠚼 𠚽 𠚾 𠚿 𠛀 𠛁 𠛂 𠛃 𠛄 𠛅 𠛆 𠛇 𠛈 𠛉 𠛊 𠛋 𠛌 𠛍 𠛎 𠛏 𠛐 𠛑 𠛒 𠛓 𠛔 𠛕 𠛖 𠛗 𠛘 𠛙 𠛚 𠛛 𠛜 𠛝 𠛞 𠛟 𠛠 𠛡 𠛢 𠛣 𠛤 𠛥 𠛦 𠛧 𠛨 𠛩 𠛪 𠛫 𠛬 𠛭 𠛮 𠛯 𠛰 𠛱 𠛲 𠛳 𠛴 𠛵 𠛶 𠛷 𠛸 𠛹 𠛺 𠛻 𠛼 𠛽 𠛾 𠛿</t>
        </is>
      </c>
      <c r="Q525" s="38" t="inlineStr">
        <is>
          <t>𠘀 𠘁 𠘂 𠘃 𠘄 𠘅 𠘆 𠘇 𠘈 𠘉 𠘊 𠘋 𠘌 𠘍 𠘎 𠘏 𠘐 𠘑 𠘒 𠘓 𠘔 𠘕 𠘖 𠘗 𠘘 𠘙 𠘚 𠘛 𠘜 𠘝 𠘞 𠘟 𠘠 𠘡 𠘢 𠘣 𠘤 𠘥 𠘦 𠘧 𠘨 𠘩 𠘪 𠘫 𠘬 𠘭 𠘮 𠘯 𠘰 𠘱 𠘲 𠘳 𠘴 𠘵 𠘶 𠘷 𠘸 𠘹 𠘺 𠘻 𠘼 𠘽 𠘾 𠘿 𠙀 𠙁 𠙂 𠙃 𠙄 𠙅 𠙆 𠙇 𠙈 𠙉 𠙊 𠙋 𠙌 𠙍 𠙎 𠙏 𠙐 𠙑 𠙒 𠙓 𠙔 𠙕 𠙖 𠙗 𠙘 𠙙 𠙚 𠙛 𠙜 𠙝 𠙞 𠙟 𠙠 𠙡 𠙢 𠙣 𠙤 𠙥 𠙦 𠙧 𠙨 𠙩 𠙪 𠙫 𠙬 𠙭 𠙮 𠙯 𠙰 𠙱 𠙲 𠙳 𠙴 𠙵 𠙶 𠙷 𠙸 𠙹 𠙺 𠙻 𠙼 𠙽 𠙾 𠙿 𠚀 𠚁 𠚂 𠚃 𠚄 𠚅 𠚆 𠚇 𠚈 𠚉 𠚊 𠚋 𠚌 𠚍 𠚎 𠚏 𠚐 𠚑 𠚒 𠚓 𠚔 𠚕 𠚖 𠚗 𠚘 𠚙 𠚚 𠚛 𠚜 𠚝 𠚞 𠚟 𠚠 𠚡 𠚢 𠚣 𠚤 𠚥 𠚦 𠚧 𠚨 𠚩 𠚪 𠚫 𠚬 𠚭 𠚮 𠚯 𠚰 𠚱 𠚲 𠚳 𠚴 𠚵 𠚶 𠚷 𠚸 𠚹 𠚺 𠚻 𠚼 𠚽 𠚾 𠚿 𠛀 𠛁 𠛂 𠛃 𠛄 𠛅 𠛆 𠛇 𠛈 𠛉 𠛊 𠛋 𠛌 𠛍 𠛎 𠛏 𠛐 𠛑 𠛒 𠛓 𠛔 𠛕 𠛖 𠛗 𠛘 𠛙 𠛚 𠛛 𠛜 𠛝 𠛞 𠛟 𠛠 𠛡 𠛢 𠛣 𠛤 𠛥 𠛦 𠛧 𠛨 𠛩 𠛪 𠛫 𠛬 𠛭 𠛮 𠛯 𠛰 𠛱 𠛲 𠛳 𠛴 𠛵 𠛶 𠛷 𠛸 𠛹 𠛺 𠛻 𠛼 𠛽 𠛾 𠛿</t>
        </is>
      </c>
      <c r="R525" s="43" t="inlineStr">
        <is>
          <t>𠘨 𠙶 𠚤</t>
        </is>
      </c>
      <c r="S525" s="40" t="n"/>
      <c r="V525" s="14">
        <f>(LEN(O525)+1)/2</f>
        <v/>
      </c>
      <c r="W525" s="14">
        <f>ROUNDDOWN((LEN(P525)+1)/2,0)</f>
        <v/>
      </c>
      <c r="X525" s="14">
        <f>ROUNDDOWN((LEN(Q525)+1)/2,0)</f>
        <v/>
      </c>
      <c r="Y525" s="14">
        <f>ROUNDDOWN((LEN(R525)+1)/2,0)</f>
        <v/>
      </c>
      <c r="Z525" s="14">
        <f>ROUNDDOWN((LEN(S525)+1)/2,0)</f>
        <v/>
      </c>
      <c r="AA525" s="56" t="n">
        <v>46150.55871391967</v>
      </c>
    </row>
    <row r="526" ht="102" customHeight="1">
      <c r="B526" s="46" t="inlineStr">
        <is>
          <t>U+20800-U+208FF</t>
        </is>
      </c>
      <c r="C526" s="46" t="inlineStr">
        <is>
          <t>CJK Unified Ideographs Extension B</t>
        </is>
      </c>
      <c r="D526" s="54">
        <f>HEX2DEC(MID(B526,3,FIND("-",E526)-3))</f>
        <v/>
      </c>
      <c r="E526" s="46" t="inlineStr">
        <is>
          <t>U+20000-U+2A6DF</t>
        </is>
      </c>
      <c r="F526" s="12" t="n">
        <v>4</v>
      </c>
      <c r="J526" s="19">
        <f>ROUNDDOWN(W526,0)/$V526</f>
        <v/>
      </c>
      <c r="K526" s="19">
        <f>ROUNDDOWN(X526,0)/$V526</f>
        <v/>
      </c>
      <c r="L526" s="19">
        <f>ROUNDDOWN(Y526,0)/$V526</f>
        <v/>
      </c>
      <c r="M526" s="19">
        <f>ROUNDDOWN(Z526,0)/$V526</f>
        <v/>
      </c>
      <c r="O526" s="36" t="inlineStr">
        <is>
          <t>𠜀 𠜁 𠜂 𠜃 𠜄 𠜅 𠜆 𠜇 𠜈 𠜉 𠜊 𠜋 𠜌 𠜍 𠜎 𠜏 𠜐 𠜑 𠜒 𠜓 𠜔 𠜕 𠜖 𠜗 𠜘 𠜙 𠜚 𠜛 𠜜 𠜝 𠜞 𠜟 𠜠 𠜡 𠜢 𠜣 𠜤 𠜥 𠜦 𠜧 𠜨 𠜩 𠜪 𠜫 𠜬 𠜭 𠜮 𠜯 𠜰 𠜱 𠜲 𠜳 𠜴 𠜵 𠜶 𠜷 𠜸 𠜹 𠜺 𠜻 𠜼 𠜽 𠜾 𠜿 𠝀 𠝁 𠝂 𠝃 𠝄 𠝅 𠝆 𠝇 𠝈 𠝉 𠝊 𠝋 𠝌 𠝍 𠝎 𠝏 𠝐 𠝑 𠝒 𠝓 𠝔 𠝕 𠝖 𠝗 𠝘 𠝙 𠝚 𠝛 𠝜 𠝝 𠝞 𠝟 𠝠 𠝡 𠝢 𠝣 𠝤 𠝥 𠝦 𠝧 𠝨 𠝩 𠝪 𠝫 𠝬 𠝭 𠝮 𠝯 𠝰 𠝱 𠝲 𠝳 𠝴 𠝵 𠝶 𠝷 𠝸 𠝹 𠝺 𠝻 𠝼 𠝽 𠝾 𠝿 𠞀 𠞁 𠞂 𠞃 𠞄 𠞅 𠞆 𠞇 𠞈 𠞉 𠞊 𠞋 𠞌 𠞍 𠞎 𠞏 𠞐 𠞑 𠞒 𠞓 𠞔 𠞕 𠞖 𠞗 𠞘 𠞙 𠞚 𠞛 𠞜 𠞝 𠞞 𠞟 𠞠 𠞡 𠞢 𠞣 𠞤 𠞥 𠞦 𠞧 𠞨 𠞩 𠞪 𠞫 𠞬 𠞭 𠞮 𠞯 𠞰 𠞱 𠞲 𠞳 𠞴 𠞵 𠞶 𠞷 𠞸 𠞹 𠞺 𠞻 𠞼 𠞽 𠞾 𠞿 𠟀 𠟁 𠟂 𠟃 𠟄 𠟅 𠟆 𠟇 𠟈 𠟉 𠟊 𠟋 𠟌 𠟍 𠟎 𠟏 𠟐 𠟑 𠟒 𠟓 𠟔 𠟕 𠟖 𠟗 𠟘 𠟙 𠟚 𠟛 𠟜 𠟝 𠟞 𠟟 𠟠 𠟡 𠟢 𠟣 𠟤 𠟥 𠟦 𠟧 𠟨 𠟩 𠟪 𠟫 𠟬 𠟭 𠟮 𠟯 𠟰 𠟱 𠟲 𠟳 𠟴 𠟵 𠟶 𠟷 𠟸 𠟹 𠟺 𠟻 𠟼 𠟽 𠟾 𠟿</t>
        </is>
      </c>
      <c r="P526" s="37" t="inlineStr">
        <is>
          <t>𠜀 𠜁 𠜂 𠜃 𠜄 𠜅 𠜆 𠜇 𠜈 𠜉 𠜊 𠜋 𠜌 𠜍 𠜎 𠜏 𠜐 𠜑 𠜒 𠜓 𠜔 𠜕 𠜖 𠜗 𠜘 𠜙 𠜚 𠜛 𠜜 𠜝 𠜞 𠜟 𠜠 𠜡 𠜢 𠜣 𠜤 𠜥 𠜦 𠜧 𠜨 𠜩 𠜪 𠜫 𠜬 𠜭 𠜮 𠜯 𠜰 𠜱 𠜲 𠜳 𠜴 𠜵 𠜶 𠜷 𠜸 𠜹 𠜺 𠜻 𠜼 𠜽 𠜾 𠜿 𠝀 𠝁 𠝂 𠝃 𠝄 𠝅 𠝆 𠝇 𠝈 𠝉 𠝊 𠝋 𠝌 𠝍 𠝎 𠝏 𠝐 𠝑 𠝒 𠝓 𠝔 𠝕 𠝖 𠝗 𠝘 𠝙 𠝚 𠝛 𠝜 𠝝 𠝞 𠝟 𠝠 𠝡 𠝢 𠝣 𠝤 𠝥 𠝦 𠝧 𠝨 𠝩 𠝪 𠝫 𠝬 𠝭 𠝮 𠝯 𠝰 𠝱 𠝲 𠝳 𠝴 𠝵 𠝶 𠝷 𠝸 𠝹 𠝺 𠝻 𠝼 𠝽 𠝾 𠝿 𠞀 𠞁 𠞂 𠞃 𠞄 𠞅 𠞆 𠞇 𠞈 𠞉 𠞊 𠞋 𠞌 𠞍 𠞎 𠞏 𠞐 𠞑 𠞒 𠞓 𠞔 𠞕 𠞖 𠞗 𠞘 𠞙 𠞚 𠞛 𠞜 𠞝 𠞞 𠞟 𠞠 𠞡 𠞢 𠞣 𠞤 𠞥 𠞦 𠞧 𠞨 𠞩 𠞪 𠞫 𠞬 𠞭 𠞮 𠞯 𠞰 𠞱 𠞲 𠞳 𠞴 𠞵 𠞶 𠞷 𠞸 𠞹 𠞺 𠞻 𠞼 𠞽 𠞾 𠞿 𠟀 𠟁 𠟂 𠟃 𠟄 𠟅 𠟆 𠟇 𠟈 𠟉 𠟊 𠟋 𠟌 𠟍 𠟎 𠟏 𠟐 𠟑 𠟒 𠟓 𠟔 𠟕 𠟖 𠟗 𠟘 𠟙 𠟚 𠟛 𠟜 𠟝 𠟞 𠟟 𠟠 𠟡 𠟢 𠟣 𠟤 𠟥 𠟦 𠟧 𠟨 𠟩 𠟪 𠟫 𠟬 𠟭 𠟮 𠟯 𠟰 𠟱 𠟲 𠟳 𠟴 𠟵 𠟶 𠟷 𠟸 𠟹 𠟺 𠟻 𠟼 𠟽 𠟾 𠟿</t>
        </is>
      </c>
      <c r="Q526" s="38" t="inlineStr">
        <is>
          <t>𠜀 𠜁 𠜂 𠜃 𠜄 𠜅 𠜆 𠜇 𠜈 𠜉 𠜊 𠜋 𠜌 𠜍 𠜎 𠜏 𠜐 𠜑 𠜒 𠜓 𠜔 𠜕 𠜖 𠜗 𠜘 𠜙 𠜚 𠜛 𠜜 𠜝 𠜞 𠜟 𠜠 𠜡 𠜢 𠜣 𠜤 𠜥 𠜦 𠜧 𠜨 𠜩 𠜪 𠜫 𠜬 𠜭 𠜮 𠜯 𠜰 𠜱 𠜲 𠜳 𠜴 𠜵 𠜶 𠜷 𠜸 𠜹 𠜺 𠜻 𠜼 𠜽 𠜾 𠜿 𠝀 𠝁 𠝂 𠝃 𠝄 𠝅 𠝆 𠝇 𠝈 𠝉 𠝊 𠝋 𠝌 𠝍 𠝎 𠝏 𠝐 𠝑 𠝒 𠝓 𠝔 𠝕 𠝖 𠝗 𠝘 𠝙 𠝚 𠝛 𠝜 𠝝 𠝞 𠝟 𠝠 𠝡 𠝢 𠝣 𠝤 𠝥 𠝦 𠝧 𠝨 𠝩 𠝪 𠝫 𠝬 𠝭 𠝮 𠝯 𠝰 𠝱 𠝲 𠝳 𠝴 𠝵 𠝶 𠝷 𠝸 𠝹 𠝺 𠝻 𠝼 𠝽 𠝾 𠝿 𠞀 𠞁 𠞂 𠞃 𠞄 𠞅 𠞆 𠞇 𠞈 𠞉 𠞊 𠞋 𠞌 𠞍 𠞎 𠞏 𠞐 𠞑 𠞒 𠞓 𠞔 𠞕 𠞖 𠞗 𠞘 𠞙 𠞚 𠞛 𠞜 𠞝 𠞞 𠞟 𠞠 𠞡 𠞢 𠞣 𠞤 𠞥 𠞦 𠞧 𠞨 𠞩 𠞪 𠞫 𠞬 𠞭 𠞮 𠞯 𠞰 𠞱 𠞲 𠞳 𠞴 𠞵 𠞶 𠞷 𠞸 𠞹 𠞺 𠞻 𠞼 𠞽 𠞾 𠞿 𠟀 𠟁 𠟂 𠟃 𠟄 𠟅 𠟆 𠟇 𠟈 𠟉 𠟊 𠟋 𠟌 𠟍 𠟎 𠟏 𠟐 𠟑 𠟒 𠟓 𠟔 𠟕 𠟖 𠟗 𠟘 𠟙 𠟚 𠟛 𠟜 𠟝 𠟞 𠟟 𠟠 𠟡 𠟢 𠟣 𠟤 𠟥 𠟦 𠟧 𠟨 𠟩 𠟪 𠟫 𠟬 𠟭 𠟮 𠟯 𠟰 𠟱 𠟲 𠟳 𠟴 𠟵 𠟶 𠟷 𠟸 𠟹 𠟺 𠟻 𠟼 𠟽 𠟾 𠟿</t>
        </is>
      </c>
      <c r="R526" s="43" t="inlineStr">
        <is>
          <t>𠝏</t>
        </is>
      </c>
      <c r="S526" s="40" t="n"/>
      <c r="V526" s="14">
        <f>(LEN(O526)+1)/2</f>
        <v/>
      </c>
      <c r="W526" s="14">
        <f>ROUNDDOWN((LEN(P526)+1)/2,0)</f>
        <v/>
      </c>
      <c r="X526" s="14">
        <f>ROUNDDOWN((LEN(Q526)+1)/2,0)</f>
        <v/>
      </c>
      <c r="Y526" s="14">
        <f>ROUNDDOWN((LEN(R526)+1)/2,0)</f>
        <v/>
      </c>
      <c r="Z526" s="14">
        <f>ROUNDDOWN((LEN(S526)+1)/2,0)</f>
        <v/>
      </c>
      <c r="AA526" s="56" t="n">
        <v>46150.55871525762</v>
      </c>
    </row>
    <row r="527" ht="102" customHeight="1">
      <c r="B527" s="46" t="inlineStr">
        <is>
          <t>U+20900-U+209FF</t>
        </is>
      </c>
      <c r="C527" s="46" t="inlineStr">
        <is>
          <t>CJK Unified Ideographs Extension B</t>
        </is>
      </c>
      <c r="D527" s="54">
        <f>HEX2DEC(MID(B527,3,FIND("-",E527)-3))</f>
        <v/>
      </c>
      <c r="E527" s="46" t="inlineStr">
        <is>
          <t>U+20000-U+2A6DF</t>
        </is>
      </c>
      <c r="F527" s="12" t="n">
        <v>4</v>
      </c>
      <c r="J527" s="19">
        <f>ROUNDDOWN(W527,0)/$V527</f>
        <v/>
      </c>
      <c r="K527" s="19">
        <f>ROUNDDOWN(X527,0)/$V527</f>
        <v/>
      </c>
      <c r="L527" s="19">
        <f>ROUNDDOWN(Y527,0)/$V527</f>
        <v/>
      </c>
      <c r="M527" s="19">
        <f>ROUNDDOWN(Z527,0)/$V527</f>
        <v/>
      </c>
      <c r="O527" s="36" t="inlineStr">
        <is>
          <t>𠠀 𠠁 𠠂 𠠃 𠠄 𠠅 𠠆 𠠇 𠠈 𠠉 𠠊 𠠋 𠠌 𠠍 𠠎 𠠏 𠠐 𠠑 𠠒 𠠓 𠠔 𠠕 𠠖 𠠗 𠠘 𠠙 𠠚 𠠛 𠠜 𠠝 𠠞 𠠟 𠠠 𠠡 𠠢 𠠣 𠠤 𠠥 𠠦 𠠧 𠠨 𠠩 𠠪 𠠫 𠠬 𠠭 𠠮 𠠯 𠠰 𠠱 𠠲 𠠳 𠠴 𠠵 𠠶 𠠷 𠠸 𠠹 𠠺 𠠻 𠠼 𠠽 𠠾 𠠿 𠡀 𠡁 𠡂 𠡃 𠡄 𠡅 𠡆 𠡇 𠡈 𠡉 𠡊 𠡋 𠡌 𠡍 𠡎 𠡏 𠡐 𠡑 𠡒 𠡓 𠡔 𠡕 𠡖 𠡗 𠡘 𠡙 𠡚 𠡛 𠡜 𠡝 𠡞 𠡟 𠡠 𠡡 𠡢 𠡣 𠡤 𠡥 𠡦 𠡧 𠡨 𠡩 𠡪 𠡫 𠡬 𠡭 𠡮 𠡯 𠡰 𠡱 𠡲 𠡳 𠡴 𠡵 𠡶 𠡷 𠡸 𠡹 𠡺 𠡻 𠡼 𠡽 𠡾 𠡿 𠢀 𠢁 𠢂 𠢃 𠢄 𠢅 𠢆 𠢇 𠢈 𠢉 𠢊 𠢋 𠢌 𠢍 𠢎 𠢏 𠢐 𠢑 𠢒 𠢓 𠢔 𠢕 𠢖 𠢗 𠢘 𠢙 𠢚 𠢛 𠢜 𠢝 𠢞 𠢟 𠢠 𠢡 𠢢 𠢣 𠢤 𠢥 𠢦 𠢧 𠢨 𠢩 𠢪 𠢫 𠢬 𠢭 𠢮 𠢯 𠢰 𠢱 𠢲 𠢳 𠢴 𠢵 𠢶 𠢷 𠢸 𠢹 𠢺 𠢻 𠢼 𠢽 𠢾 𠢿 𠣀 𠣁 𠣂 𠣃 𠣄 𠣅 𠣆 𠣇 𠣈 𠣉 𠣊 𠣋 𠣌 𠣍 𠣎 𠣏 𠣐 𠣑 𠣒 𠣓 𠣔 𠣕 𠣖 𠣗 𠣘 𠣙 𠣚 𠣛 𠣜 𠣝 𠣞 𠣟 𠣠 𠣡 𠣢 𠣣 𠣤 𠣥 𠣦 𠣧 𠣨 𠣩 𠣪 𠣫 𠣬 𠣭 𠣮 𠣯 𠣰 𠣱 𠣲 𠣳 𠣴 𠣵 𠣶 𠣷 𠣸 𠣹 𠣺 𠣻 𠣼 𠣽 𠣾 𠣿</t>
        </is>
      </c>
      <c r="P527" s="37" t="inlineStr">
        <is>
          <t>𠠀 𠠁 𠠂 𠠃 𠠄 𠠅 𠠆 𠠇 𠠈 𠠉 𠠊 𠠋 𠠌 𠠍 𠠎 𠠏 𠠐 𠠑 𠠒 𠠓 𠠔 𠠕 𠠖 𠠗 𠠘 𠠙 𠠚 𠠛 𠠜 𠠝 𠠞 𠠟 𠠠 𠠡 𠠢 𠠣 𠠤 𠠥 𠠦 𠠧 𠠨 𠠩 𠠪 𠠫 𠠬 𠠭 𠠮 𠠯 𠠰 𠠱 𠠲 𠠳 𠠴 𠠵 𠠶 𠠷 𠠸 𠠹 𠠺 𠠻 𠠼 𠠽 𠠾 𠠿 𠡀 𠡁 𠡂 𠡃 𠡄 𠡅 𠡆 𠡇 𠡈 𠡉 𠡊 𠡋 𠡌 𠡍 𠡎 𠡏 𠡐 𠡑 𠡒 𠡓 𠡔 𠡕 𠡖 𠡗 𠡘 𠡙 𠡚 𠡛 𠡜 𠡝 𠡞 𠡟 𠡠 𠡡 𠡢 𠡣 𠡤 𠡥 𠡦 𠡧 𠡨 𠡩 𠡪 𠡫 𠡬 𠡭 𠡮 𠡯 𠡰 𠡱 𠡲 𠡳 𠡴 𠡵 𠡶 𠡷 𠡸 𠡹 𠡺 𠡻 𠡼 𠡽 𠡾 𠡿 𠢀 𠢁 𠢂 𠢃 𠢄 𠢅 𠢆 𠢇 𠢈 𠢉 𠢊 𠢋 𠢌 𠢍 𠢎 𠢏 𠢐 𠢑 𠢒 𠢓 𠢔 𠢕 𠢖 𠢗 𠢘 𠢙 𠢚 𠢛 𠢜 𠢝 𠢞 𠢟 𠢠 𠢡 𠢢 𠢣 𠢤 𠢥 𠢦 𠢧 𠢨 𠢩 𠢪 𠢫 𠢬 𠢭 𠢮 𠢯 𠢰 𠢱 𠢲 𠢳 𠢴 𠢵 𠢶 𠢷 𠢸 𠢹 𠢺 𠢻 𠢼 𠢽 𠢾 𠢿 𠣀 𠣁 𠣂 𠣃 𠣄 𠣅 𠣆 𠣇 𠣈 𠣉 𠣊 𠣋 𠣌 𠣍 𠣎 𠣏 𠣐 𠣑 𠣒 𠣓 𠣔 𠣕 𠣖 𠣗 𠣘 𠣙 𠣚 𠣛 𠣜 𠣝 𠣞 𠣟 𠣠 𠣡 𠣢 𠣣 𠣤 𠣥 𠣦 𠣧 𠣨 𠣩 𠣪 𠣫 𠣬 𠣭 𠣮 𠣯 𠣰 𠣱 𠣲 𠣳 𠣴 𠣵 𠣶 𠣷 𠣸 𠣹 𠣺 𠣻 𠣼 𠣽 𠣾 𠣿</t>
        </is>
      </c>
      <c r="Q527" s="38" t="inlineStr">
        <is>
          <t>𠠀 𠠁 𠠂 𠠃 𠠄 𠠅 𠠆 𠠇 𠠈 𠠉 𠠊 𠠋 𠠌 𠠍 𠠎 𠠏 𠠐 𠠑 𠠒 𠠓 𠠔 𠠕 𠠖 𠠗 𠠘 𠠙 𠠚 𠠛 𠠜 𠠝 𠠞 𠠟 𠠠 𠠡 𠠢 𠠣 𠠤 𠠥 𠠦 𠠧 𠠨 𠠩 𠠪 𠠫 𠠬 𠠭 𠠮 𠠯 𠠰 𠠱 𠠲 𠠳 𠠴 𠠵 𠠶 𠠷 𠠸 𠠹 𠠺 𠠻 𠠼 𠠽 𠠾 𠠿 𠡀 𠡁 𠡂 𠡃 𠡄 𠡅 𠡆 𠡇 𠡈 𠡉 𠡊 𠡋 𠡌 𠡍 𠡎 𠡏 𠡐 𠡑 𠡒 𠡓 𠡔 𠡕 𠡖 𠡗 𠡘 𠡙 𠡚 𠡛 𠡜 𠡝 𠡞 𠡟 𠡠 𠡡 𠡢 𠡣 𠡤 𠡥 𠡦 𠡧 𠡨 𠡩 𠡪 𠡫 𠡬 𠡭 𠡮 𠡯 𠡰 𠡱 𠡲 𠡳 𠡴 𠡵 𠡶 𠡷 𠡸 𠡹 𠡺 𠡻 𠡼 𠡽 𠡾 𠡿 𠢀 𠢁 𠢂 𠢃 𠢄 𠢅 𠢆 𠢇 𠢈 𠢉 𠢊 𠢋 𠢌 𠢍 𠢎 𠢏 𠢐 𠢑 𠢒 𠢓 𠢔 𠢕 𠢖 𠢗 𠢘 𠢙 𠢚 𠢛 𠢜 𠢝 𠢞 𠢟 𠢠 𠢡 𠢢 𠢣 𠢤 𠢥 𠢦 𠢧 𠢨 𠢩 𠢪 𠢫 𠢬 𠢭 𠢮 𠢯 𠢰 𠢱 𠢲 𠢳 𠢴 𠢵 𠢶 𠢷 𠢸 𠢹 𠢺 𠢻 𠢼 𠢽 𠢾 𠢿 𠣀 𠣁 𠣂 𠣃 𠣄 𠣅 𠣆 𠣇 𠣈 𠣉 𠣊 𠣋 𠣌 𠣍 𠣎 𠣏 𠣐 𠣑 𠣒 𠣓 𠣔 𠣕 𠣖 𠣗 𠣘 𠣙 𠣚 𠣛 𠣜 𠣝 𠣞 𠣟 𠣠 𠣡 𠣢 𠣣 𠣤 𠣥 𠣦 𠣧 𠣨 𠣩 𠣪 𠣫 𠣬 𠣭 𠣮 𠣯 𠣰 𠣱 𠣲 𠣳 𠣴 𠣵 𠣶 𠣷 𠣸 𠣹 𠣺 𠣻 𠣼 𠣽 𠣾 𠣿</t>
        </is>
      </c>
      <c r="R527" s="43" t="inlineStr">
        <is>
          <t>𠠺 𠢕 𠢹</t>
        </is>
      </c>
      <c r="S527" s="40" t="n"/>
      <c r="V527" s="14">
        <f>(LEN(O527)+1)/2</f>
        <v/>
      </c>
      <c r="W527" s="14">
        <f>ROUNDDOWN((LEN(P527)+1)/2,0)</f>
        <v/>
      </c>
      <c r="X527" s="14">
        <f>ROUNDDOWN((LEN(Q527)+1)/2,0)</f>
        <v/>
      </c>
      <c r="Y527" s="14">
        <f>ROUNDDOWN((LEN(R527)+1)/2,0)</f>
        <v/>
      </c>
      <c r="Z527" s="14">
        <f>ROUNDDOWN((LEN(S527)+1)/2,0)</f>
        <v/>
      </c>
      <c r="AA527" s="56" t="n">
        <v>46150.5587166509</v>
      </c>
    </row>
    <row r="528" ht="102" customHeight="1">
      <c r="B528" s="46" t="inlineStr">
        <is>
          <t>U+20A00-U+20AFF</t>
        </is>
      </c>
      <c r="C528" s="46" t="inlineStr">
        <is>
          <t>CJK Unified Ideographs Extension B</t>
        </is>
      </c>
      <c r="D528" s="54">
        <f>HEX2DEC(MID(B528,3,FIND("-",E528)-3))</f>
        <v/>
      </c>
      <c r="E528" s="46" t="inlineStr">
        <is>
          <t>U+20000-U+2A6DF</t>
        </is>
      </c>
      <c r="F528" s="12" t="n">
        <v>4</v>
      </c>
      <c r="J528" s="19">
        <f>ROUNDDOWN(W528,0)/$V528</f>
        <v/>
      </c>
      <c r="K528" s="19">
        <f>ROUNDDOWN(X528,0)/$V528</f>
        <v/>
      </c>
      <c r="L528" s="19">
        <f>ROUNDDOWN(Y528,0)/$V528</f>
        <v/>
      </c>
      <c r="M528" s="19">
        <f>ROUNDDOWN(Z528,0)/$V528</f>
        <v/>
      </c>
      <c r="O528" s="36" t="inlineStr">
        <is>
          <t>𠤀 𠤁 𠤂 𠤃 𠤄 𠤅 𠤆 𠤇 𠤈 𠤉 𠤊 𠤋 𠤌 𠤍 𠤎 𠤏 𠤐 𠤑 𠤒 𠤓 𠤔 𠤕 𠤖 𠤗 𠤘 𠤙 𠤚 𠤛 𠤜 𠤝 𠤞 𠤟 𠤠 𠤡 𠤢 𠤣 𠤤 𠤥 𠤦 𠤧 𠤨 𠤩 𠤪 𠤫 𠤬 𠤭 𠤮 𠤯 𠤰 𠤱 𠤲 𠤳 𠤴 𠤵 𠤶 𠤷 𠤸 𠤹 𠤺 𠤻 𠤼 𠤽 𠤾 𠤿 𠥀 𠥁 𠥂 𠥃 𠥄 𠥅 𠥆 𠥇 𠥈 𠥉 𠥊 𠥋 𠥌 𠥍 𠥎 𠥏 𠥐 𠥑 𠥒 𠥓 𠥔 𠥕 𠥖 𠥗 𠥘 𠥙 𠥚 𠥛 𠥜 𠥝 𠥞 𠥟 𠥠 𠥡 𠥢 𠥣 𠥤 𠥥 𠥦 𠥧 𠥨 𠥩 𠥪 𠥫 𠥬 𠥭 𠥮 𠥯 𠥰 𠥱 𠥲 𠥳 𠥴 𠥵 𠥶 𠥷 𠥸 𠥹 𠥺 𠥻 𠥼 𠥽 𠥾 𠥿 𠦀 𠦁 𠦂 𠦃 𠦄 𠦅 𠦆 𠦇 𠦈 𠦉 𠦊 𠦋 𠦌 𠦍 𠦎 𠦏 𠦐 𠦑 𠦒 𠦓 𠦔 𠦕 𠦖 𠦗 𠦘 𠦙 𠦚 𠦛 𠦜 𠦝 𠦞 𠦟 𠦠 𠦡 𠦢 𠦣 𠦤 𠦥 𠦦 𠦧 𠦨 𠦩 𠦪 𠦫 𠦬 𠦭 𠦮 𠦯 𠦰 𠦱 𠦲 𠦳 𠦴 𠦵 𠦶 𠦷 𠦸 𠦹 𠦺 𠦻 𠦼 𠦽 𠦾 𠦿 𠧀 𠧁 𠧂 𠧃 𠧄 𠧅 𠧆 𠧇 𠧈 𠧉 𠧊 𠧋 𠧌 𠧍 𠧎 𠧏 𠧐 𠧑 𠧒 𠧓 𠧔 𠧕 𠧖 𠧗 𠧘 𠧙 𠧚 𠧛 𠧜 𠧝 𠧞 𠧟 𠧠 𠧡 𠧢 𠧣 𠧤 𠧥 𠧦 𠧧 𠧨 𠧩 𠧪 𠧫 𠧬 𠧭 𠧮 𠧯 𠧰 𠧱 𠧲 𠧳 𠧴 𠧵 𠧶 𠧷 𠧸 𠧹 𠧺 𠧻 𠧼 𠧽 𠧾 𠧿</t>
        </is>
      </c>
      <c r="P528" s="37" t="inlineStr">
        <is>
          <t>𠤀 𠤁 𠤂 𠤃 𠤄 𠤅 𠤆 𠤇 𠤈 𠤉 𠤊 𠤋 𠤌 𠤍 𠤎 𠤏 𠤐 𠤑 𠤒 𠤓 𠤔 𠤕 𠤖 𠤗 𠤘 𠤙 𠤚 𠤛 𠤜 𠤝 𠤞 𠤟 𠤠 𠤡 𠤢 𠤣 𠤤 𠤥 𠤦 𠤧 𠤨 𠤩 𠤪 𠤫 𠤬 𠤭 𠤮 𠤯 𠤰 𠤱 𠤲 𠤳 𠤴 𠤵 𠤶 𠤷 𠤸 𠤹 𠤺 𠤻 𠤼 𠤽 𠤾 𠤿 𠥀 𠥁 𠥂 𠥃 𠥄 𠥅 𠥆 𠥇 𠥈 𠥉 𠥊 𠥋 𠥌 𠥍 𠥎 𠥏 𠥐 𠥑 𠥒 𠥓 𠥔 𠥕 𠥖 𠥗 𠥘 𠥙 𠥚 𠥛 𠥜 𠥝 𠥞 𠥟 𠥠 𠥡 𠥢 𠥣 𠥤 𠥥 𠥦 𠥧 𠥨 𠥩 𠥪 𠥫 𠥬 𠥭 𠥮 𠥯 𠥰 𠥱 𠥲 𠥳 𠥴 𠥵 𠥶 𠥷 𠥸 𠥹 𠥺 𠥻 𠥼 𠥽 𠥾 𠥿 𠦀 𠦁 𠦂 𠦃 𠦄 𠦅 𠦆 𠦇 𠦈 𠦉 𠦊 𠦋 𠦌 𠦍 𠦎 𠦏 𠦐 𠦑 𠦒 𠦓 𠦔 𠦕 𠦖 𠦗 𠦘 𠦙 𠦚 𠦛 𠦜 𠦝 𠦞 𠦟 𠦠 𠦡 𠦢 𠦣 𠦤 𠦥 𠦦 𠦧 𠦨 𠦩 𠦪 𠦫 𠦬 𠦭 𠦮 𠦯 𠦰 𠦱 𠦲 𠦳 𠦴 𠦵 𠦶 𠦷 𠦸 𠦹 𠦺 𠦻 𠦼 𠦽 𠦾 𠦿 𠧀 𠧁 𠧂 𠧃 𠧄 𠧅 𠧆 𠧇 𠧈 𠧉 𠧊 𠧋 𠧌 𠧍 𠧎 𠧏 𠧐 𠧑 𠧒 𠧓 𠧔 𠧕 𠧖 𠧗 𠧘 𠧙 𠧚 𠧛 𠧜 𠧝 𠧞 𠧟 𠧠 𠧡 𠧢 𠧣 𠧤 𠧥 𠧦 𠧧 𠧨 𠧩 𠧪 𠧫 𠧬 𠧭 𠧮 𠧯 𠧰 𠧱 𠧲 𠧳 𠧴 𠧵 𠧶 𠧷 𠧸 𠧹 𠧺 𠧻 𠧼 𠧽 𠧾 𠧿</t>
        </is>
      </c>
      <c r="Q528" s="38" t="inlineStr">
        <is>
          <t>𠤀 𠤁 𠤂 𠤃 𠤄 𠤅 𠤆 𠤇 𠤈 𠤉 𠤊 𠤋 𠤌 𠤍 𠤎 𠤏 𠤐 𠤑 𠤒 𠤓 𠤔 𠤕 𠤖 𠤗 𠤘 𠤙 𠤚 𠤛 𠤜 𠤝 𠤞 𠤟 𠤠 𠤡 𠤢 𠤣 𠤤 𠤥 𠤦 𠤧 𠤨 𠤩 𠤪 𠤫 𠤬 𠤭 𠤮 𠤯 𠤰 𠤱 𠤲 𠤳 𠤴 𠤵 𠤶 𠤷 𠤸 𠤹 𠤺 𠤻 𠤼 𠤽 𠤾 𠤿 𠥀 𠥁 𠥂 𠥃 𠥄 𠥅 𠥆 𠥇 𠥈 𠥉 𠥊 𠥋 𠥌 𠥍 𠥎 𠥏 𠥐 𠥑 𠥒 𠥓 𠥔 𠥕 𠥖 𠥗 𠥘 𠥙 𠥚 𠥛 𠥜 𠥝 𠥞 𠥟 𠥠 𠥡 𠥢 𠥣 𠥤 𠥥 𠥦 𠥧 𠥨 𠥩 𠥪 𠥫 𠥬 𠥭 𠥮 𠥯 𠥰 𠥱 𠥲 𠥳 𠥴 𠥵 𠥶 𠥷 𠥸 𠥹 𠥺 𠥻 𠥼 𠥽 𠥾 𠥿 𠦀 𠦁 𠦂 𠦃 𠦄 𠦅 𠦆 𠦇 𠦈 𠦉 𠦊 𠦋 𠦌 𠦍 𠦎 𠦏 𠦐 𠦑 𠦒 𠦓 𠦔 𠦕 𠦖 𠦗 𠦘 𠦙 𠦚 𠦛 𠦜 𠦝 𠦞 𠦟 𠦠 𠦡 𠦢 𠦣 𠦤 𠦥 𠦦 𠦧 𠦨 𠦩 𠦪 𠦫 𠦬 𠦭 𠦮 𠦯 𠦰 𠦱 𠦲 𠦳 𠦴 𠦵 𠦶 𠦷 𠦸 𠦹 𠦺 𠦻 𠦼 𠦽 𠦾 𠦿 𠧀 𠧁 𠧂 𠧃 𠧄 𠧅 𠧆 𠧇 𠧈 𠧉 𠧊 𠧋 𠧌 𠧍 𠧎 𠧏 𠧐 𠧑 𠧒 𠧓 𠧔 𠧕 𠧖 𠧗 𠧘 𠧙 𠧚 𠧛 𠧜 𠧝 𠧞 𠧟 𠧠 𠧡 𠧢 𠧣 𠧤 𠧥 𠧦 𠧧 𠧨 𠧩 𠧪 𠧫 𠧬 𠧭 𠧮 𠧯 𠧰 𠧱 𠧲 𠧳 𠧴 𠧵 𠧶 𠧷 𠧸 𠧹 𠧺 𠧻 𠧼 𠧽 𠧾 𠧿</t>
        </is>
      </c>
      <c r="R528" s="43" t="inlineStr">
        <is>
          <t>𠥼 𠦝 𠧚</t>
        </is>
      </c>
      <c r="S528" s="40" t="n"/>
      <c r="V528" s="14">
        <f>(LEN(O528)+1)/2</f>
        <v/>
      </c>
      <c r="W528" s="14">
        <f>ROUNDDOWN((LEN(P528)+1)/2,0)</f>
        <v/>
      </c>
      <c r="X528" s="14">
        <f>ROUNDDOWN((LEN(Q528)+1)/2,0)</f>
        <v/>
      </c>
      <c r="Y528" s="14">
        <f>ROUNDDOWN((LEN(R528)+1)/2,0)</f>
        <v/>
      </c>
      <c r="Z528" s="14">
        <f>ROUNDDOWN((LEN(S528)+1)/2,0)</f>
        <v/>
      </c>
      <c r="AA528" s="56" t="n">
        <v>46150.55871781387</v>
      </c>
    </row>
    <row r="529" ht="102" customHeight="1">
      <c r="B529" s="46" t="inlineStr">
        <is>
          <t>U+20B00-U+20BFF</t>
        </is>
      </c>
      <c r="C529" s="46" t="inlineStr">
        <is>
          <t>CJK Unified Ideographs Extension B</t>
        </is>
      </c>
      <c r="D529" s="54">
        <f>HEX2DEC(MID(B529,3,FIND("-",E529)-3))</f>
        <v/>
      </c>
      <c r="E529" s="46" t="inlineStr">
        <is>
          <t>U+20000-U+2A6DF</t>
        </is>
      </c>
      <c r="F529" s="12" t="n">
        <v>4</v>
      </c>
      <c r="J529" s="19">
        <f>ROUNDDOWN(W529,0)/$V529</f>
        <v/>
      </c>
      <c r="K529" s="19">
        <f>ROUNDDOWN(X529,0)/$V529</f>
        <v/>
      </c>
      <c r="L529" s="19">
        <f>ROUNDDOWN(Y529,0)/$V529</f>
        <v/>
      </c>
      <c r="M529" s="19">
        <f>ROUNDDOWN(Z529,0)/$V529</f>
        <v/>
      </c>
      <c r="O529" s="36" t="inlineStr">
        <is>
          <t>𠨀 𠨁 𠨂 𠨃 𠨄 𠨅 𠨆 𠨇 𠨈 𠨉 𠨊 𠨋 𠨌 𠨍 𠨎 𠨏 𠨐 𠨑 𠨒 𠨓 𠨔 𠨕 𠨖 𠨗 𠨘 𠨙 𠨚 𠨛 𠨜 𠨝 𠨞 𠨟 𠨠 𠨡 𠨢 𠨣 𠨤 𠨥 𠨦 𠨧 𠨨 𠨩 𠨪 𠨫 𠨬 𠨭 𠨮 𠨯 𠨰 𠨱 𠨲 𠨳 𠨴 𠨵 𠨶 𠨷 𠨸 𠨹 𠨺 𠨻 𠨼 𠨽 𠨾 𠨿 𠩀 𠩁 𠩂 𠩃 𠩄 𠩅 𠩆 𠩇 𠩈 𠩉 𠩊 𠩋 𠩌 𠩍 𠩎 𠩏 𠩐 𠩑 𠩒 𠩓 𠩔 𠩕 𠩖 𠩗 𠩘 𠩙 𠩚 𠩛 𠩜 𠩝 𠩞 𠩟 𠩠 𠩡 𠩢 𠩣 𠩤 𠩥 𠩦 𠩧 𠩨 𠩩 𠩪 𠩫 𠩬 𠩭 𠩮 𠩯 𠩰 𠩱 𠩲 𠩳 𠩴 𠩵 𠩶 𠩷 𠩸 𠩹 𠩺 𠩻 𠩼 𠩽 𠩾 𠩿 𠪀 𠪁 𠪂 𠪃 𠪄 𠪅 𠪆 𠪇 𠪈 𠪉 𠪊 𠪋 𠪌 𠪍 𠪎 𠪏 𠪐 𠪑 𠪒 𠪓 𠪔 𠪕 𠪖 𠪗 𠪘 𠪙 𠪚 𠪛 𠪜 𠪝 𠪞 𠪟 𠪠 𠪡 𠪢 𠪣 𠪤 𠪥 𠪦 𠪧 𠪨 𠪩 𠪪 𠪫 𠪬 𠪭 𠪮 𠪯 𠪰 𠪱 𠪲 𠪳 𠪴 𠪵 𠪶 𠪷 𠪸 𠪹 𠪺 𠪻 𠪼 𠪽 𠪾 𠪿 𠫀 𠫁 𠫂 𠫃 𠫄 𠫅 𠫆 𠫇 𠫈 𠫉 𠫊 𠫋 𠫌 𠫍 𠫎 𠫏 𠫐 𠫑 𠫒 𠫓 𠫔 𠫕 𠫖 𠫗 𠫘 𠫙 𠫚 𠫛 𠫜 𠫝 𠫞 𠫟 𠫠 𠫡 𠫢 𠫣 𠫤 𠫥 𠫦 𠫧 𠫨 𠫩 𠫪 𠫫 𠫬 𠫭 𠫮 𠫯 𠫰 𠫱 𠫲 𠫳 𠫴 𠫵 𠫶 𠫷 𠫸 𠫹 𠫺 𠫻 𠫼 𠫽 𠫾 𠫿</t>
        </is>
      </c>
      <c r="P529" s="37" t="inlineStr">
        <is>
          <t>𠨀 𠨁 𠨂 𠨃 𠨄 𠨅 𠨆 𠨇 𠨈 𠨉 𠨊 𠨋 𠨌 𠨍 𠨎 𠨏 𠨐 𠨑 𠨒 𠨓 𠨔 𠨕 𠨖 𠨗 𠨘 𠨙 𠨚 𠨛 𠨜 𠨝 𠨞 𠨟 𠨠 𠨡 𠨢 𠨣 𠨤 𠨥 𠨦 𠨧 𠨨 𠨩 𠨪 𠨫 𠨬 𠨭 𠨮 𠨯 𠨰 𠨱 𠨲 𠨳 𠨴 𠨵 𠨶 𠨷 𠨸 𠨹 𠨺 𠨻 𠨼 𠨽 𠨾 𠨿 𠩀 𠩁 𠩂 𠩃 𠩄 𠩅 𠩆 𠩇 𠩈 𠩉 𠩊 𠩋 𠩌 𠩍 𠩎 𠩏 𠩐 𠩑 𠩒 𠩓 𠩔 𠩕 𠩖 𠩗 𠩘 𠩙 𠩚 𠩛 𠩜 𠩝 𠩞 𠩟 𠩠 𠩡 𠩢 𠩣 𠩤 𠩥 𠩦 𠩧 𠩨 𠩩 𠩪 𠩫 𠩬 𠩭 𠩮 𠩯 𠩰 𠩱 𠩲 𠩳 𠩴 𠩵 𠩶 𠩷 𠩸 𠩹 𠩺 𠩻 𠩼 𠩽 𠩾 𠩿 𠪀 𠪁 𠪂 𠪃 𠪄 𠪅 𠪆 𠪇 𠪈 𠪉 𠪊 𠪋 𠪌 𠪍 𠪎 𠪏 𠪐 𠪑 𠪒 𠪓 𠪔 𠪕 𠪖 𠪗 𠪘 𠪙 𠪚 𠪛 𠪜 𠪝 𠪞 𠪟 𠪠 𠪡 𠪢 𠪣 𠪤 𠪥 𠪦 𠪧 𠪨 𠪩 𠪪 𠪫 𠪬 𠪭 𠪮 𠪯 𠪰 𠪱 𠪲 𠪳 𠪴 𠪵 𠪶 𠪷 𠪸 𠪹 𠪺 𠪻 𠪼 𠪽 𠪾 𠪿 𠫀 𠫁 𠫂 𠫃 𠫄 𠫅 𠫆 𠫇 𠫈 𠫉 𠫊 𠫋 𠫌 𠫍 𠫎 𠫏 𠫐 𠫑 𠫒 𠫓 𠫔 𠫕 𠫖 𠫗 𠫘 𠫙 𠫚 𠫛 𠫜 𠫝 𠫞 𠫟 𠫠 𠫡 𠫢 𠫣 𠫤 𠫥 𠫦 𠫧 𠫨 𠫩 𠫪 𠫫 𠫬 𠫭 𠫮 𠫯 𠫰 𠫱 𠫲 𠫳 𠫴 𠫵 𠫶 𠫷 𠫸 𠫹 𠫺 𠫻 𠫼 𠫽 𠫾 𠫿</t>
        </is>
      </c>
      <c r="Q529" s="38" t="inlineStr">
        <is>
          <t>𠨀 𠨁 𠨂 𠨃 𠨄 𠨅 𠨆 𠨇 𠨈 𠨉 𠨊 𠨋 𠨌 𠨍 𠨎 𠨏 𠨐 𠨑 𠨒 𠨓 𠨔 𠨕 𠨖 𠨗 𠨘 𠨙 𠨚 𠨛 𠨜 𠨝 𠨞 𠨟 𠨠 𠨡 𠨢 𠨣 𠨤 𠨥 𠨦 𠨧 𠨨 𠨩 𠨪 𠨫 𠨬 𠨭 𠨮 𠨯 𠨰 𠨱 𠨲 𠨳 𠨴 𠨵 𠨶 𠨷 𠨸 𠨹 𠨺 𠨻 𠨼 𠨽 𠨾 𠨿 𠩀 𠩁 𠩂 𠩃 𠩄 𠩅 𠩆 𠩇 𠩈 𠩉 𠩊 𠩋 𠩌 𠩍 𠩎 𠩏 𠩐 𠩑 𠩒 𠩓 𠩔 𠩕 𠩖 𠩗 𠩘 𠩙 𠩚 𠩛 𠩜 𠩝 𠩞 𠩟 𠩠 𠩡 𠩢 𠩣 𠩤 𠩥 𠩦 𠩧 𠩨 𠩩 𠩪 𠩫 𠩬 𠩭 𠩮 𠩯 𠩰 𠩱 𠩲 𠩳 𠩴 𠩵 𠩶 𠩷 𠩸 𠩹 𠩺 𠩻 𠩼 𠩽 𠩾 𠩿 𠪀 𠪁 𠪂 𠪃 𠪄 𠪅 𠪆 𠪇 𠪈 𠪉 𠪊 𠪋 𠪌 𠪍 𠪎 𠪏 𠪐 𠪑 𠪒 𠪓 𠪔 𠪕 𠪖 𠪗 𠪘 𠪙 𠪚 𠪛 𠪜 𠪝 𠪞 𠪟 𠪠 𠪡 𠪢 𠪣 𠪤 𠪥 𠪦 𠪧 𠪨 𠪩 𠪪 𠪫 𠪬 𠪭 𠪮 𠪯 𠪰 𠪱 𠪲 𠪳 𠪴 𠪵 𠪶 𠪷 𠪸 𠪹 𠪺 𠪻 𠪼 𠪽 𠪾 𠪿 𠫀 𠫁 𠫂 𠫃 𠫄 𠫅 𠫆 𠫇 𠫈 𠫉 𠫊 𠫋 𠫌 𠫍 𠫎 𠫏 𠫐 𠫑 𠫒 𠫓 𠫔 𠫕 𠫖 𠫗 𠫘 𠫙 𠫚 𠫛 𠫜 𠫝 𠫞 𠫟 𠫠 𠫡 𠫢 𠫣 𠫤 𠫥 𠫦 𠫧 𠫨 𠫩 𠫪 𠫫 𠫬 𠫭 𠫮 𠫯 𠫰 𠫱 𠫲 𠫳 𠫴 𠫵 𠫶 𠫷 𠫸 𠫹 𠫺 𠫻 𠫼 𠫽 𠫾 𠫿</t>
        </is>
      </c>
      <c r="R529" s="43" t="inlineStr">
        <is>
          <t>𠫓</t>
        </is>
      </c>
      <c r="S529" s="40" t="n"/>
      <c r="V529" s="14">
        <f>(LEN(O529)+1)/2</f>
        <v/>
      </c>
      <c r="W529" s="14">
        <f>ROUNDDOWN((LEN(P529)+1)/2,0)</f>
        <v/>
      </c>
      <c r="X529" s="14">
        <f>ROUNDDOWN((LEN(Q529)+1)/2,0)</f>
        <v/>
      </c>
      <c r="Y529" s="14">
        <f>ROUNDDOWN((LEN(R529)+1)/2,0)</f>
        <v/>
      </c>
      <c r="Z529" s="14">
        <f>ROUNDDOWN((LEN(S529)+1)/2,0)</f>
        <v/>
      </c>
      <c r="AA529" s="56" t="n">
        <v>46150.55871926698</v>
      </c>
    </row>
    <row r="530" ht="102" customHeight="1">
      <c r="B530" s="46" t="inlineStr">
        <is>
          <t>U+20C00-U+20CFF</t>
        </is>
      </c>
      <c r="C530" s="46" t="inlineStr">
        <is>
          <t>CJK Unified Ideographs Extension B</t>
        </is>
      </c>
      <c r="D530" s="54">
        <f>HEX2DEC(MID(B530,3,FIND("-",E530)-3))</f>
        <v/>
      </c>
      <c r="E530" s="46" t="inlineStr">
        <is>
          <t>U+20000-U+2A6DF</t>
        </is>
      </c>
      <c r="F530" s="12" t="n">
        <v>4</v>
      </c>
      <c r="J530" s="19">
        <f>ROUNDDOWN(W530,0)/$V530</f>
        <v/>
      </c>
      <c r="K530" s="19">
        <f>ROUNDDOWN(X530,0)/$V530</f>
        <v/>
      </c>
      <c r="L530" s="19">
        <f>ROUNDDOWN(Y530,0)/$V530</f>
        <v/>
      </c>
      <c r="M530" s="19">
        <f>ROUNDDOWN(Z530,0)/$V530</f>
        <v/>
      </c>
      <c r="O530" s="36" t="inlineStr">
        <is>
          <t>𠬀 𠬁 𠬂 𠬃 𠬄 𠬅 𠬆 𠬇 𠬈 𠬉 𠬊 𠬋 𠬌 𠬍 𠬎 𠬏 𠬐 𠬑 𠬒 𠬓 𠬔 𠬕 𠬖 𠬗 𠬘 𠬙 𠬚 𠬛 𠬜 𠬝 𠬞 𠬟 𠬠 𠬡 𠬢 𠬣 𠬤 𠬥 𠬦 𠬧 𠬨 𠬩 𠬪 𠬫 𠬬 𠬭 𠬮 𠬯 𠬰 𠬱 𠬲 𠬳 𠬴 𠬵 𠬶 𠬷 𠬸 𠬹 𠬺 𠬻 𠬼 𠬽 𠬾 𠬿 𠭀 𠭁 𠭂 𠭃 𠭄 𠭅 𠭆 𠭇 𠭈 𠭉 𠭊 𠭋 𠭌 𠭍 𠭎 𠭏 𠭐 𠭑 𠭒 𠭓 𠭔 𠭕 𠭖 𠭗 𠭘 𠭙 𠭚 𠭛 𠭜 𠭝 𠭞 𠭟 𠭠 𠭡 𠭢 𠭣 𠭤 𠭥 𠭦 𠭧 𠭨 𠭩 𠭪 𠭫 𠭬 𠭭 𠭮 𠭯 𠭰 𠭱 𠭲 𠭳 𠭴 𠭵 𠭶 𠭷 𠭸 𠭹 𠭺 𠭻 𠭼 𠭽 𠭾 𠭿 𠮀 𠮁 𠮂 𠮃 𠮄 𠮅 𠮆 𠮇 𠮈 𠮉 𠮊 𠮋 𠮌 𠮍 𠮎 𠮏 𠮐 𠮑 𠮒 𠮓 𠮔 𠮕 𠮖 𠮗 𠮘 𠮙 𠮚 𠮛 𠮜 𠮝 𠮞 𠮟 𠮠 𠮡 𠮢 𠮣 𠮤 𠮥 𠮦 𠮧 𠮨 𠮩 𠮪 𠮫 𠮬 𠮭 𠮮 𠮯 𠮰 𠮱 𠮲 𠮳 𠮴 𠮵 𠮶 𠮷 𠮸 𠮹 𠮺 𠮻 𠮼 𠮽 𠮾 𠮿 𠯀 𠯁 𠯂 𠯃 𠯄 𠯅 𠯆 𠯇 𠯈 𠯉 𠯊 𠯋 𠯌 𠯍 𠯎 𠯏 𠯐 𠯑 𠯒 𠯓 𠯔 𠯕 𠯖 𠯗 𠯘 𠯙 𠯚 𠯛 𠯜 𠯝 𠯞 𠯟 𠯠 𠯡 𠯢 𠯣 𠯤 𠯥 𠯦 𠯧 𠯨 𠯩 𠯪 𠯫 𠯬 𠯭 𠯮 𠯯 𠯰 𠯱 𠯲 𠯳 𠯴 𠯵 𠯶 𠯷 𠯸 𠯹 𠯺 𠯻 𠯼 𠯽 𠯾 𠯿</t>
        </is>
      </c>
      <c r="P530" s="37" t="inlineStr">
        <is>
          <t>𠬀 𠬁 𠬂 𠬃 𠬄 𠬅 𠬆 𠬇 𠬈 𠬉 𠬊 𠬋 𠬌 𠬍 𠬎 𠬏 𠬐 𠬑 𠬒 𠬓 𠬔 𠬕 𠬖 𠬗 𠬘 𠬙 𠬚 𠬛 𠬜 𠬝 𠬞 𠬟 𠬠 𠬡 𠬢 𠬣 𠬤 𠬥 𠬦 𠬧 𠬨 𠬩 𠬪 𠬫 𠬬 𠬭 𠬮 𠬯 𠬰 𠬱 𠬲 𠬳 𠬴 𠬵 𠬶 𠬷 𠬸 𠬹 𠬺 𠬻 𠬼 𠬽 𠬾 𠬿 𠭀 𠭁 𠭂 𠭃 𠭄 𠭅 𠭆 𠭇 𠭈 𠭉 𠭊 𠭋 𠭌 𠭍 𠭎 𠭏 𠭐 𠭑 𠭒 𠭓 𠭔 𠭕 𠭖 𠭗 𠭘 𠭙 𠭚 𠭛 𠭜 𠭝 𠭞 𠭟 𠭠 𠭡 𠭢 𠭣 𠭤 𠭥 𠭦 𠭧 𠭨 𠭩 𠭪 𠭫 𠭬 𠭭 𠭮 𠭯 𠭰 𠭱 𠭲 𠭳 𠭴 𠭵 𠭶 𠭷 𠭸 𠭹 𠭺 𠭻 𠭼 𠭽 𠭾 𠭿 𠮀 𠮁 𠮂 𠮃 𠮄 𠮅 𠮆 𠮇 𠮈 𠮉 𠮊 𠮋 𠮌 𠮍 𠮎 𠮏 𠮐 𠮑 𠮒 𠮓 𠮔 𠮕 𠮖 𠮗 𠮘 𠮙 𠮚 𠮛 𠮜 𠮝 𠮞 𠮟 𠮠 𠮡 𠮢 𠮣 𠮤 𠮥 𠮦 𠮧 𠮨 𠮩 𠮪 𠮫 𠮬 𠮭 𠮮 𠮯 𠮰 𠮱 𠮲 𠮳 𠮴 𠮵 𠮶 𠮷 𠮸 𠮹 𠮺 𠮻 𠮼 𠮽 𠮾 𠮿 𠯀 𠯁 𠯂 𠯃 𠯄 𠯅 𠯆 𠯇 𠯈 𠯉 𠯊 𠯋 𠯌 𠯍 𠯎 𠯏 𠯐 𠯑 𠯒 𠯓 𠯔 𠯕 𠯖 𠯗 𠯘 𠯙 𠯚 𠯛 𠯜 𠯝 𠯞 𠯟 𠯠 𠯡 𠯢 𠯣 𠯤 𠯥 𠯦 𠯧 𠯨 𠯩 𠯪 𠯫 𠯬 𠯭 𠯮 𠯯 𠯰 𠯱 𠯲 𠯳 𠯴 𠯵 𠯶 𠯷 𠯸 𠯹 𠯺 𠯻 𠯼 𠯽 𠯾 𠯿</t>
        </is>
      </c>
      <c r="Q530" s="38" t="inlineStr">
        <is>
          <t>𠬀 𠬁 𠬂 𠬃 𠬄 𠬅 𠬆 𠬇 𠬈 𠬉 𠬊 𠬋 𠬌 𠬍 𠬎 𠬏 𠬐 𠬑 𠬒 𠬓 𠬔 𠬕 𠬖 𠬗 𠬘 𠬙 𠬚 𠬛 𠬜 𠬝 𠬞 𠬟 𠬠 𠬡 𠬢 𠬣 𠬤 𠬥 𠬦 𠬧 𠬨 𠬩 𠬪 𠬫 𠬬 𠬭 𠬮 𠬯 𠬰 𠬱 𠬲 𠬳 𠬴 𠬵 𠬶 𠬷 𠬸 𠬹 𠬺 𠬻 𠬼 𠬽 𠬾 𠬿 𠭀 𠭁 𠭂 𠭃 𠭄 𠭅 𠭆 𠭇 𠭈 𠭉 𠭊 𠭋 𠭌 𠭍 𠭎 𠭏 𠭐 𠭑 𠭒 𠭓 𠭔 𠭕 𠭖 𠭗 𠭘 𠭙 𠭚 𠭛 𠭜 𠭝 𠭞 𠭟 𠭠 𠭡 𠭢 𠭣 𠭤 𠭥 𠭦 𠭧 𠭨 𠭩 𠭪 𠭫 𠭬 𠭭 𠭮 𠭯 𠭰 𠭱 𠭲 𠭳 𠭴 𠭵 𠭶 𠭷 𠭸 𠭹 𠭺 𠭻 𠭼 𠭽 𠭾 𠭿 𠮀 𠮁 𠮂 𠮃 𠮄 𠮅 𠮆 𠮇 𠮈 𠮉 𠮊 𠮋 𠮌 𠮍 𠮎 𠮏 𠮐 𠮑 𠮒 𠮓 𠮔 𠮕 𠮖 𠮗 𠮘 𠮙 𠮚 𠮛 𠮜 𠮝 𠮞 𠮟 𠮠 𠮡 𠮢 𠮣 𠮤 𠮥 𠮦 𠮧 𠮨 𠮩 𠮪 𠮫 𠮬 𠮭 𠮮 𠮯 𠮰 𠮱 𠮲 𠮳 𠮴 𠮵 𠮶 𠮷 𠮸 𠮹 𠮺 𠮻 𠮼 𠮽 𠮾 𠮿 𠯀 𠯁 𠯂 𠯃 𠯄 𠯅 𠯆 𠯇 𠯈 𠯉 𠯊 𠯋 𠯌 𠯍 𠯎 𠯏 𠯐 𠯑 𠯒 𠯓 𠯔 𠯕 𠯖 𠯗 𠯘 𠯙 𠯚 𠯛 𠯜 𠯝 𠯞 𠯟 𠯠 𠯡 𠯢 𠯣 𠯤 𠯥 𠯦 𠯧 𠯨 𠯩 𠯪 𠯫 𠯬 𠯭 𠯮 𠯯 𠯰 𠯱 𠯲 𠯳 𠯴 𠯵 𠯶 𠯷 𠯸 𠯹 𠯺 𠯻 𠯼 𠯽 𠯾 𠯿</t>
        </is>
      </c>
      <c r="R530" s="43" t="inlineStr">
        <is>
          <t>𠬝 𠮟 𠯗</t>
        </is>
      </c>
      <c r="S530" s="40" t="n"/>
      <c r="V530" s="14">
        <f>(LEN(O530)+1)/2</f>
        <v/>
      </c>
      <c r="W530" s="14">
        <f>ROUNDDOWN((LEN(P530)+1)/2,0)</f>
        <v/>
      </c>
      <c r="X530" s="14">
        <f>ROUNDDOWN((LEN(Q530)+1)/2,0)</f>
        <v/>
      </c>
      <c r="Y530" s="14">
        <f>ROUNDDOWN((LEN(R530)+1)/2,0)</f>
        <v/>
      </c>
      <c r="Z530" s="14">
        <f>ROUNDDOWN((LEN(S530)+1)/2,0)</f>
        <v/>
      </c>
      <c r="AA530" s="56" t="n">
        <v>46150.55872046422</v>
      </c>
    </row>
    <row r="531" ht="102" customHeight="1">
      <c r="B531" s="46" t="inlineStr">
        <is>
          <t>U+20D00-U+20DFF</t>
        </is>
      </c>
      <c r="C531" s="46" t="inlineStr">
        <is>
          <t>CJK Unified Ideographs Extension B</t>
        </is>
      </c>
      <c r="D531" s="54">
        <f>HEX2DEC(MID(B531,3,FIND("-",E531)-3))</f>
        <v/>
      </c>
      <c r="E531" s="46" t="inlineStr">
        <is>
          <t>U+20000-U+2A6DF</t>
        </is>
      </c>
      <c r="F531" s="12" t="n">
        <v>4</v>
      </c>
      <c r="J531" s="19">
        <f>ROUNDDOWN(W531,0)/$V531</f>
        <v/>
      </c>
      <c r="K531" s="19">
        <f>ROUNDDOWN(X531,0)/$V531</f>
        <v/>
      </c>
      <c r="L531" s="19">
        <f>ROUNDDOWN(Y531,0)/$V531</f>
        <v/>
      </c>
      <c r="M531" s="19">
        <f>ROUNDDOWN(Z531,0)/$V531</f>
        <v/>
      </c>
      <c r="O531" s="36" t="inlineStr">
        <is>
          <t>𠰀 𠰁 𠰂 𠰃 𠰄 𠰅 𠰆 𠰇 𠰈 𠰉 𠰊 𠰋 𠰌 𠰍 𠰎 𠰏 𠰐 𠰑 𠰒 𠰓 𠰔 𠰕 𠰖 𠰗 𠰘 𠰙 𠰚 𠰛 𠰜 𠰝 𠰞 𠰟 𠰠 𠰡 𠰢 𠰣 𠰤 𠰥 𠰦 𠰧 𠰨 𠰩 𠰪 𠰫 𠰬 𠰭 𠰮 𠰯 𠰰 𠰱 𠰲 𠰳 𠰴 𠰵 𠰶 𠰷 𠰸 𠰹 𠰺 𠰻 𠰼 𠰽 𠰾 𠰿 𠱀 𠱁 𠱂 𠱃 𠱄 𠱅 𠱆 𠱇 𠱈 𠱉 𠱊 𠱋 𠱌 𠱍 𠱎 𠱏 𠱐 𠱑 𠱒 𠱓 𠱔 𠱕 𠱖 𠱗 𠱘 𠱙 𠱚 𠱛 𠱜 𠱝 𠱞 𠱟 𠱠 𠱡 𠱢 𠱣 𠱤 𠱥 𠱦 𠱧 𠱨 𠱩 𠱪 𠱫 𠱬 𠱭 𠱮 𠱯 𠱰 𠱱 𠱲 𠱳 𠱴 𠱵 𠱶 𠱷 𠱸 𠱹 𠱺 𠱻 𠱼 𠱽 𠱾 𠱿 𠲀 𠲁 𠲂 𠲃 𠲄 𠲅 𠲆 𠲇 𠲈 𠲉 𠲊 𠲋 𠲌 𠲍 𠲎 𠲏 𠲐 𠲑 𠲒 𠲓 𠲔 𠲕 𠲖 𠲗 𠲘 𠲙 𠲚 𠲛 𠲜 𠲝 𠲞 𠲟 𠲠 𠲡 𠲢 𠲣 𠲤 𠲥 𠲦 𠲧 𠲨 𠲩 𠲪 𠲫 𠲬 𠲭 𠲮 𠲯 𠲰 𠲱 𠲲 𠲳 𠲴 𠲵 𠲶 𠲷 𠲸 𠲹 𠲺 𠲻 𠲼 𠲽 𠲾 𠲿 𠳀 𠳁 𠳂 𠳃 𠳄 𠳅 𠳆 𠳇 𠳈 𠳉 𠳊 𠳋 𠳌 𠳍 𠳎 𠳏 𠳐 𠳑 𠳒 𠳓 𠳔 𠳕 𠳖 𠳗 𠳘 𠳙 𠳚 𠳛 𠳜 𠳝 𠳞 𠳟 𠳠 𠳡 𠳢 𠳣 𠳤 𠳥 𠳦 𠳧 𠳨 𠳩 𠳪 𠳫 𠳬 𠳭 𠳮 𠳯 𠳰 𠳱 𠳲 𠳳 𠳴 𠳵 𠳶 𠳷 𠳸 𠳹 𠳺 𠳻 𠳼 𠳽 𠳾 𠳿</t>
        </is>
      </c>
      <c r="P531" s="37" t="inlineStr">
        <is>
          <t>𠰀 𠰁 𠰂 𠰃 𠰄 𠰅 𠰆 𠰇 𠰈 𠰉 𠰊 𠰋 𠰌 𠰍 𠰎 𠰏 𠰐 𠰑 𠰒 𠰓 𠰔 𠰕 𠰖 𠰗 𠰘 𠰙 𠰚 𠰛 𠰜 𠰝 𠰞 𠰟 𠰠 𠰡 𠰢 𠰣 𠰤 𠰥 𠰦 𠰧 𠰨 𠰩 𠰪 𠰫 𠰬 𠰭 𠰮 𠰯 𠰰 𠰱 𠰲 𠰳 𠰴 𠰵 𠰶 𠰷 𠰸 𠰹 𠰺 𠰻 𠰼 𠰽 𠰾 𠰿 𠱀 𠱁 𠱂 𠱃 𠱄 𠱅 𠱆 𠱇 𠱈 𠱉 𠱊 𠱋 𠱌 𠱍 𠱎 𠱏 𠱐 𠱑 𠱒 𠱓 𠱔 𠱕 𠱖 𠱗 𠱘 𠱙 𠱚 𠱛 𠱜 𠱝 𠱞 𠱟 𠱠 𠱡 𠱢 𠱣 𠱤 𠱥 𠱦 𠱧 𠱨 𠱩 𠱪 𠱫 𠱬 𠱭 𠱮 𠱯 𠱰 𠱱 𠱲 𠱳 𠱴 𠱵 𠱶 𠱷 𠱸 𠱹 𠱺 𠱻 𠱼 𠱽 𠱾 𠱿 𠲀 𠲁 𠲂 𠲃 𠲄 𠲅 𠲆 𠲇 𠲈 𠲉 𠲊 𠲋 𠲌 𠲍 𠲎 𠲏 𠲐 𠲑 𠲒 𠲓 𠲔 𠲕 𠲖 𠲗 𠲘 𠲙 𠲚 𠲛 𠲜 𠲝 𠲞 𠲟 𠲠 𠲡 𠲢 𠲣 𠲤 𠲥 𠲦 𠲧 𠲨 𠲩 𠲪 𠲫 𠲬 𠲭 𠲮 𠲯 𠲰 𠲱 𠲲 𠲳 𠲴 𠲵 𠲶 𠲷 𠲸 𠲹 𠲺 𠲻 𠲼 𠲽 𠲾 𠲿 𠳀 𠳁 𠳂 𠳃 𠳄 𠳅 𠳆 𠳇 𠳈 𠳉 𠳊 𠳋 𠳌 𠳍 𠳎 𠳏 𠳐 𠳑 𠳒 𠳓 𠳔 𠳕 𠳖 𠳗 𠳘 𠳙 𠳚 𠳛 𠳜 𠳝 𠳞 𠳟 𠳠 𠳡 𠳢 𠳣 𠳤 𠳥 𠳦 𠳧 𠳨 𠳩 𠳪 𠳫 𠳬 𠳭 𠳮 𠳯 𠳰 𠳱 𠳲 𠳳 𠳴 𠳵 𠳶 𠳷 𠳸 𠳹 𠳺 𠳻 𠳼 𠳽 𠳾 𠳿</t>
        </is>
      </c>
      <c r="Q531" s="38" t="inlineStr">
        <is>
          <t>𠰀 𠰁 𠰂 𠰃 𠰄 𠰅 𠰆 𠰇 𠰈 𠰉 𠰊 𠰋 𠰌 𠰍 𠰎 𠰏 𠰐 𠰑 𠰒 𠰓 𠰔 𠰕 𠰖 𠰗 𠰘 𠰙 𠰚 𠰛 𠰜 𠰝 𠰞 𠰟 𠰠 𠰡 𠰢 𠰣 𠰤 𠰥 𠰦 𠰧 𠰨 𠰩 𠰪 𠰫 𠰬 𠰭 𠰮 𠰯 𠰰 𠰱 𠰲 𠰳 𠰴 𠰵 𠰶 𠰷 𠰸 𠰹 𠰺 𠰻 𠰼 𠰽 𠰾 𠰿 𠱀 𠱁 𠱂 𠱃 𠱄 𠱅 𠱆 𠱇 𠱈 𠱉 𠱊 𠱋 𠱌 𠱍 𠱎 𠱏 𠱐 𠱑 𠱒 𠱓 𠱔 𠱕 𠱖 𠱗 𠱘 𠱙 𠱚 𠱛 𠱜 𠱝 𠱞 𠱟 𠱠 𠱡 𠱢 𠱣 𠱤 𠱥 𠱦 𠱧 𠱨 𠱩 𠱪 𠱫 𠱬 𠱭 𠱮 𠱯 𠱰 𠱱 𠱲 𠱳 𠱴 𠱵 𠱶 𠱷 𠱸 𠱹 𠱺 𠱻 𠱼 𠱽 𠱾 𠱿 𠲀 𠲁 𠲂 𠲃 𠲄 𠲅 𠲆 𠲇 𠲈 𠲉 𠲊 𠲋 𠲌 𠲍 𠲎 𠲏 𠲐 𠲑 𠲒 𠲓 𠲔 𠲕 𠲖 𠲗 𠲘 𠲙 𠲚 𠲛 𠲜 𠲝 𠲞 𠲟 𠲠 𠲡 𠲢 𠲣 𠲤 𠲥 𠲦 𠲧 𠲨 𠲩 𠲪 𠲫 𠲬 𠲭 𠲮 𠲯 𠲰 𠲱 𠲲 𠲳 𠲴 𠲵 𠲶 𠲷 𠲸 𠲹 𠲺 𠲻 𠲼 𠲽 𠲾 𠲿 𠳀 𠳁 𠳂 𠳃 𠳄 𠳅 𠳆 𠳇 𠳈 𠳉 𠳊 𠳋 𠳌 𠳍 𠳎 𠳏 𠳐 𠳑 𠳒 𠳓 𠳔 𠳕 𠳖 𠳗 𠳘 𠳙 𠳚 𠳛 𠳜 𠳝 𠳞 𠳟 𠳠 𠳡 𠳢 𠳣 𠳤 𠳥 𠳦 𠳧 𠳨 𠳩 𠳪 𠳫 𠳬 𠳭 𠳮 𠳯 𠳰 𠳱 𠳲 𠳳 𠳴 𠳵 𠳶 𠳷 𠳸 𠳹 𠳺 𠳻 𠳼 𠳽 𠳾 𠳿</t>
        </is>
      </c>
      <c r="R531" s="43" t="inlineStr">
        <is>
          <t>𠱓 𠲎 𠲖 𠲿 𠳏</t>
        </is>
      </c>
      <c r="S531" s="40" t="n"/>
      <c r="V531" s="14">
        <f>(LEN(O531)+1)/2</f>
        <v/>
      </c>
      <c r="W531" s="14">
        <f>ROUNDDOWN((LEN(P531)+1)/2,0)</f>
        <v/>
      </c>
      <c r="X531" s="14">
        <f>ROUNDDOWN((LEN(Q531)+1)/2,0)</f>
        <v/>
      </c>
      <c r="Y531" s="14">
        <f>ROUNDDOWN((LEN(R531)+1)/2,0)</f>
        <v/>
      </c>
      <c r="Z531" s="14">
        <f>ROUNDDOWN((LEN(S531)+1)/2,0)</f>
        <v/>
      </c>
      <c r="AA531" s="56" t="n">
        <v>46150.5587216037</v>
      </c>
    </row>
    <row r="532" ht="102" customHeight="1">
      <c r="B532" s="46" t="inlineStr">
        <is>
          <t>U+20E00-U+20EFF</t>
        </is>
      </c>
      <c r="C532" s="46" t="inlineStr">
        <is>
          <t>CJK Unified Ideographs Extension B</t>
        </is>
      </c>
      <c r="D532" s="54">
        <f>HEX2DEC(MID(B532,3,FIND("-",E532)-3))</f>
        <v/>
      </c>
      <c r="E532" s="46" t="inlineStr">
        <is>
          <t>U+20000-U+2A6DF</t>
        </is>
      </c>
      <c r="F532" s="12" t="n">
        <v>4</v>
      </c>
      <c r="J532" s="19">
        <f>ROUNDDOWN(W532,0)/$V532</f>
        <v/>
      </c>
      <c r="K532" s="19">
        <f>ROUNDDOWN(X532,0)/$V532</f>
        <v/>
      </c>
      <c r="L532" s="19">
        <f>ROUNDDOWN(Y532,0)/$V532</f>
        <v/>
      </c>
      <c r="M532" s="19">
        <f>ROUNDDOWN(Z532,0)/$V532</f>
        <v/>
      </c>
      <c r="O532" s="36" t="inlineStr">
        <is>
          <t>𠴀 𠴁 𠴂 𠴃 𠴄 𠴅 𠴆 𠴇 𠴈 𠴉 𠴊 𠴋 𠴌 𠴍 𠴎 𠴏 𠴐 𠴑 𠴒 𠴓 𠴔 𠴕 𠴖 𠴗 𠴘 𠴙 𠴚 𠴛 𠴜 𠴝 𠴞 𠴟 𠴠 𠴡 𠴢 𠴣 𠴤 𠴥 𠴦 𠴧 𠴨 𠴩 𠴪 𠴫 𠴬 𠴭 𠴮 𠴯 𠴰 𠴱 𠴲 𠴳 𠴴 𠴵 𠴶 𠴷 𠴸 𠴹 𠴺 𠴻 𠴼 𠴽 𠴾 𠴿 𠵀 𠵁 𠵂 𠵃 𠵄 𠵅 𠵆 𠵇 𠵈 𠵉 𠵊 𠵋 𠵌 𠵍 𠵎 𠵏 𠵐 𠵑 𠵒 𠵓 𠵔 𠵕 𠵖 𠵗 𠵘 𠵙 𠵚 𠵛 𠵜 𠵝 𠵞 𠵟 𠵠 𠵡 𠵢 𠵣 𠵤 𠵥 𠵦 𠵧 𠵨 𠵩 𠵪 𠵫 𠵬 𠵭 𠵮 𠵯 𠵰 𠵱 𠵲 𠵳 𠵴 𠵵 𠵶 𠵷 𠵸 𠵹 𠵺 𠵻 𠵼 𠵽 𠵾 𠵿 𠶀 𠶁 𠶂 𠶃 𠶄 𠶅 𠶆 𠶇 𠶈 𠶉 𠶊 𠶋 𠶌 𠶍 𠶎 𠶏 𠶐 𠶑 𠶒 𠶓 𠶔 𠶕 𠶖 𠶗 𠶘 𠶙 𠶚 𠶛 𠶜 𠶝 𠶞 𠶟 𠶠 𠶡 𠶢 𠶣 𠶤 𠶥 𠶦 𠶧 𠶨 𠶩 𠶪 𠶫 𠶬 𠶭 𠶮 𠶯 𠶰 𠶱 𠶲 𠶳 𠶴 𠶵 𠶶 𠶷 𠶸 𠶹 𠶺 𠶻 𠶼 𠶽 𠶾 𠶿 𠷀 𠷁 𠷂 𠷃 𠷄 𠷅 𠷆 𠷇 𠷈 𠷉 𠷊 𠷋 𠷌 𠷍 𠷎 𠷏 𠷐 𠷑 𠷒 𠷓 𠷔 𠷕 𠷖 𠷗 𠷘 𠷙 𠷚 𠷛 𠷜 𠷝 𠷞 𠷟 𠷠 𠷡 𠷢 𠷣 𠷤 𠷥 𠷦 𠷧 𠷨 𠷩 𠷪 𠷫 𠷬 𠷭 𠷮 𠷯 𠷰 𠷱 𠷲 𠷳 𠷴 𠷵 𠷶 𠷷 𠷸 𠷹 𠷺 𠷻 𠷼 𠷽 𠷾 𠷿</t>
        </is>
      </c>
      <c r="P532" s="37" t="inlineStr">
        <is>
          <t>𠴀 𠴁 𠴂 𠴃 𠴄 𠴅 𠴆 𠴇 𠴈 𠴉 𠴊 𠴋 𠴌 𠴍 𠴎 𠴏 𠴐 𠴑 𠴒 𠴓 𠴔 𠴕 𠴖 𠴗 𠴘 𠴙 𠴚 𠴛 𠴜 𠴝 𠴞 𠴟 𠴠 𠴡 𠴢 𠴣 𠴤 𠴥 𠴦 𠴧 𠴨 𠴩 𠴪 𠴫 𠴬 𠴭 𠴮 𠴯 𠴰 𠴱 𠴲 𠴳 𠴴 𠴵 𠴶 𠴷 𠴸 𠴹 𠴺 𠴻 𠴼 𠴽 𠴾 𠴿 𠵀 𠵁 𠵂 𠵃 𠵄 𠵅 𠵆 𠵇 𠵈 𠵉 𠵊 𠵋 𠵌 𠵍 𠵎 𠵏 𠵐 𠵑 𠵒 𠵓 𠵔 𠵕 𠵖 𠵗 𠵘 𠵙 𠵚 𠵛 𠵜 𠵝 𠵞 𠵟 𠵠 𠵡 𠵢 𠵣 𠵤 𠵥 𠵦 𠵧 𠵨 𠵩 𠵪 𠵫 𠵬 𠵭 𠵮 𠵯 𠵰 𠵱 𠵲 𠵳 𠵴 𠵵 𠵶 𠵷 𠵸 𠵹 𠵺 𠵻 𠵼 𠵽 𠵾 𠵿 𠶀 𠶁 𠶂 𠶃 𠶄 𠶅 𠶆 𠶇 𠶈 𠶉 𠶊 𠶋 𠶌 𠶍 𠶎 𠶏 𠶐 𠶑 𠶒 𠶓 𠶔 𠶕 𠶖 𠶗 𠶘 𠶙 𠶚 𠶛 𠶜 𠶝 𠶞 𠶟 𠶠 𠶡 𠶢 𠶣 𠶤 𠶥 𠶦 𠶧 𠶨 𠶩 𠶪 𠶫 𠶬 𠶭 𠶮 𠶯 𠶰 𠶱 𠶲 𠶳 𠶴 𠶵 𠶶 𠶷 𠶸 𠶹 𠶺 𠶻 𠶼 𠶽 𠶾 𠶿 𠷀 𠷁 𠷂 𠷃 𠷄 𠷅 𠷆 𠷇 𠷈 𠷉 𠷊 𠷋 𠷌 𠷍 𠷎 𠷏 𠷐 𠷑 𠷒 𠷓 𠷔 𠷕 𠷖 𠷗 𠷘 𠷙 𠷚 𠷛 𠷜 𠷝 𠷞 𠷟 𠷠 𠷡 𠷢 𠷣 𠷤 𠷥 𠷦 𠷧 𠷨 𠷩 𠷪 𠷫 𠷬 𠷭 𠷮 𠷯 𠷰 𠷱 𠷲 𠷳 𠷴 𠷵 𠷶 𠷷 𠷸 𠷹 𠷺 𠷻 𠷼 𠷽 𠷾 𠷿</t>
        </is>
      </c>
      <c r="Q532" s="38" t="inlineStr">
        <is>
          <t>𠴀 𠴁 𠴂 𠴃 𠴄 𠴅 𠴆 𠴇 𠴈 𠴉 𠴊 𠴋 𠴌 𠴍 𠴎 𠴏 𠴐 𠴑 𠴒 𠴓 𠴔 𠴕 𠴖 𠴗 𠴘 𠴙 𠴚 𠴛 𠴜 𠴝 𠴞 𠴟 𠴠 𠴡 𠴢 𠴣 𠴤 𠴥 𠴦 𠴧 𠴨 𠴩 𠴪 𠴫 𠴬 𠴭 𠴮 𠴯 𠴰 𠴱 𠴲 𠴳 𠴴 𠴵 𠴶 𠴷 𠴸 𠴹 𠴺 𠴻 𠴼 𠴽 𠴾 𠴿 𠵀 𠵁 𠵂 𠵃 𠵄 𠵅 𠵆 𠵇 𠵈 𠵉 𠵊 𠵋 𠵌 𠵍 𠵎 𠵏 𠵐 𠵑 𠵒 𠵓 𠵔 𠵕 𠵖 𠵗 𠵘 𠵙 𠵚 𠵛 𠵜 𠵝 𠵞 𠵟 𠵠 𠵡 𠵢 𠵣 𠵤 𠵥 𠵦 𠵧 𠵨 𠵩 𠵪 𠵫 𠵬 𠵭 𠵮 𠵯 𠵰 𠵱 𠵲 𠵳 𠵴 𠵵 𠵶 𠵷 𠵸 𠵹 𠵺 𠵻 𠵼 𠵽 𠵾 𠵿 𠶀 𠶁 𠶂 𠶃 𠶄 𠶅 𠶆 𠶇 𠶈 𠶉 𠶊 𠶋 𠶌 𠶍 𠶎 𠶏 𠶐 𠶑 𠶒 𠶓 𠶔 𠶕 𠶖 𠶗 𠶘 𠶙 𠶚 𠶛 𠶜 𠶝 𠶞 𠶟 𠶠 𠶡 𠶢 𠶣 𠶤 𠶥 𠶦 𠶧 𠶨 𠶩 𠶪 𠶫 𠶬 𠶭 𠶮 𠶯 𠶰 𠶱 𠶲 𠶳 𠶴 𠶵 𠶶 𠶷 𠶸 𠶹 𠶺 𠶻 𠶼 𠶽 𠶾 𠶿 𠷀 𠷁 𠷂 𠷃 𠷄 𠷅 𠷆 𠷇 𠷈 𠷉 𠷊 𠷋 𠷌 𠷍 𠷎 𠷏 𠷐 𠷑 𠷒 𠷓 𠷔 𠷕 𠷖 𠷗 𠷘 𠷙 𠷚 𠷛 𠷜 𠷝 𠷞 𠷟 𠷠 𠷡 𠷢 𠷣 𠷤 𠷥 𠷦 𠷧 𠷨 𠷩 𠷪 𠷫 𠷬 𠷭 𠷮 𠷯 𠷰 𠷱 𠷲 𠷳 𠷴 𠷵 𠷶 𠷷 𠷸 𠷹 𠷺 𠷻 𠷼 𠷽 𠷾 𠷿</t>
        </is>
      </c>
      <c r="R532" s="43" t="inlineStr">
        <is>
          <t>𠴕 𠵅 𠵱 𠵼 𠵿 𠶧 𠷡</t>
        </is>
      </c>
      <c r="S532" s="40" t="n"/>
      <c r="V532" s="14">
        <f>(LEN(O532)+1)/2</f>
        <v/>
      </c>
      <c r="W532" s="14">
        <f>ROUNDDOWN((LEN(P532)+1)/2,0)</f>
        <v/>
      </c>
      <c r="X532" s="14">
        <f>ROUNDDOWN((LEN(Q532)+1)/2,0)</f>
        <v/>
      </c>
      <c r="Y532" s="14">
        <f>ROUNDDOWN((LEN(R532)+1)/2,0)</f>
        <v/>
      </c>
      <c r="Z532" s="14">
        <f>ROUNDDOWN((LEN(S532)+1)/2,0)</f>
        <v/>
      </c>
      <c r="AA532" s="56" t="n">
        <v>46150.55872272894</v>
      </c>
    </row>
    <row r="533" ht="102" customHeight="1">
      <c r="B533" s="46" t="inlineStr">
        <is>
          <t>U+20F00-U+20FFF</t>
        </is>
      </c>
      <c r="C533" s="46" t="inlineStr">
        <is>
          <t>CJK Unified Ideographs Extension B</t>
        </is>
      </c>
      <c r="D533" s="54">
        <f>HEX2DEC(MID(B533,3,FIND("-",E533)-3))</f>
        <v/>
      </c>
      <c r="E533" s="46" t="inlineStr">
        <is>
          <t>U+20000-U+2A6DF</t>
        </is>
      </c>
      <c r="F533" s="12" t="n">
        <v>4</v>
      </c>
      <c r="J533" s="19">
        <f>ROUNDDOWN(W533,0)/$V533</f>
        <v/>
      </c>
      <c r="K533" s="19">
        <f>ROUNDDOWN(X533,0)/$V533</f>
        <v/>
      </c>
      <c r="L533" s="19">
        <f>ROUNDDOWN(Y533,0)/$V533</f>
        <v/>
      </c>
      <c r="M533" s="19">
        <f>ROUNDDOWN(Z533,0)/$V533</f>
        <v/>
      </c>
      <c r="O533" s="36" t="inlineStr">
        <is>
          <t>𠸀 𠸁 𠸂 𠸃 𠸄 𠸅 𠸆 𠸇 𠸈 𠸉 𠸊 𠸋 𠸌 𠸍 𠸎 𠸏 𠸐 𠸑 𠸒 𠸓 𠸔 𠸕 𠸖 𠸗 𠸘 𠸙 𠸚 𠸛 𠸜 𠸝 𠸞 𠸟 𠸠 𠸡 𠸢 𠸣 𠸤 𠸥 𠸦 𠸧 𠸨 𠸩 𠸪 𠸫 𠸬 𠸭 𠸮 𠸯 𠸰 𠸱 𠸲 𠸳 𠸴 𠸵 𠸶 𠸷 𠸸 𠸹 𠸺 𠸻 𠸼 𠸽 𠸾 𠸿 𠹀 𠹁 𠹂 𠹃 𠹄 𠹅 𠹆 𠹇 𠹈 𠹉 𠹊 𠹋 𠹌 𠹍 𠹎 𠹏 𠹐 𠹑 𠹒 𠹓 𠹔 𠹕 𠹖 𠹗 𠹘 𠹙 𠹚 𠹛 𠹜 𠹝 𠹞 𠹟 𠹠 𠹡 𠹢 𠹣 𠹤 𠹥 𠹦 𠹧 𠹨 𠹩 𠹪 𠹫 𠹬 𠹭 𠹮 𠹯 𠹰 𠹱 𠹲 𠹳 𠹴 𠹵 𠹶 𠹷 𠹸 𠹹 𠹺 𠹻 𠹼 𠹽 𠹾 𠹿 𠺀 𠺁 𠺂 𠺃 𠺄 𠺅 𠺆 𠺇 𠺈 𠺉 𠺊 𠺋 𠺌 𠺍 𠺎 𠺏 𠺐 𠺑 𠺒 𠺓 𠺔 𠺕 𠺖 𠺗 𠺘 𠺙 𠺚 𠺛 𠺜 𠺝 𠺞 𠺟 𠺠 𠺡 𠺢 𠺣 𠺤 𠺥 𠺦 𠺧 𠺨 𠺩 𠺪 𠺫 𠺬 𠺭 𠺮 𠺯 𠺰 𠺱 𠺲 𠺳 𠺴 𠺵 𠺶 𠺷 𠺸 𠺹 𠺺 𠺻 𠺼 𠺽 𠺾 𠺿 𠻀 𠻁 𠻂 𠻃 𠻄 𠻅 𠻆 𠻇 𠻈 𠻉 𠻊 𠻋 𠻌 𠻍 𠻎 𠻏 𠻐 𠻑 𠻒 𠻓 𠻔 𠻕 𠻖 𠻗 𠻘 𠻙 𠻚 𠻛 𠻜 𠻝 𠻞 𠻟 𠻠 𠻡 𠻢 𠻣 𠻤 𠻥 𠻦 𠻧 𠻨 𠻩 𠻪 𠻫 𠻬 𠻭 𠻮 𠻯 𠻰 𠻱 𠻲 𠻳 𠻴 𠻵 𠻶 𠻷 𠻸 𠻹 𠻺 𠻻 𠻼 𠻽 𠻾 𠻿</t>
        </is>
      </c>
      <c r="P533" s="37" t="inlineStr">
        <is>
          <t>𠸀 𠸁 𠸂 𠸃 𠸄 𠸅 𠸆 𠸇 𠸈 𠸉 𠸊 𠸋 𠸌 𠸍 𠸎 𠸏 𠸐 𠸑 𠸒 𠸓 𠸔 𠸕 𠸖 𠸗 𠸘 𠸙 𠸚 𠸛 𠸜 𠸝 𠸞 𠸟 𠸠 𠸡 𠸢 𠸣 𠸤 𠸥 𠸦 𠸧 𠸨 𠸩 𠸪 𠸫 𠸬 𠸭 𠸮 𠸯 𠸰 𠸱 𠸲 𠸳 𠸴 𠸵 𠸶 𠸷 𠸸 𠸹 𠸺 𠸻 𠸼 𠸽 𠸾 𠸿 𠹀 𠹁 𠹂 𠹃 𠹄 𠹅 𠹆 𠹇 𠹈 𠹉 𠹊 𠹋 𠹌 𠹍 𠹎 𠹏 𠹐 𠹑 𠹒 𠹓 𠹔 𠹕 𠹖 𠹗 𠹘 𠹙 𠹚 𠹛 𠹜 𠹝 𠹞 𠹟 𠹠 𠹡 𠹢 𠹣 𠹤 𠹥 𠹦 𠹧 𠹨 𠹩 𠹪 𠹫 𠹬 𠹭 𠹮 𠹯 𠹰 𠹱 𠹲 𠹳 𠹴 𠹵 𠹶 𠹷 𠹸 𠹹 𠹺 𠹻 𠹼 𠹽 𠹾 𠹿 𠺀 𠺁 𠺂 𠺃 𠺄 𠺅 𠺆 𠺇 𠺈 𠺉 𠺊 𠺋 𠺌 𠺍 𠺎 𠺏 𠺐 𠺑 𠺒 𠺓 𠺔 𠺕 𠺖 𠺗 𠺘 𠺙 𠺚 𠺛 𠺜 𠺝 𠺞 𠺟 𠺠 𠺡 𠺢 𠺣 𠺤 𠺥 𠺦 𠺧 𠺨 𠺩 𠺪 𠺫 𠺬 𠺭 𠺮 𠺯 𠺰 𠺱 𠺲 𠺳 𠺴 𠺵 𠺶 𠺷 𠺸 𠺹 𠺺 𠺻 𠺼 𠺽 𠺾 𠺿 𠻀 𠻁 𠻂 𠻃 𠻄 𠻅 𠻆 𠻇 𠻈 𠻉 𠻊 𠻋 𠻌 𠻍 𠻎 𠻏 𠻐 𠻑 𠻒 𠻓 𠻔 𠻕 𠻖 𠻗 𠻘 𠻙 𠻚 𠻛 𠻜 𠻝 𠻞 𠻟 𠻠 𠻡 𠻢 𠻣 𠻤 𠻥 𠻦 𠻧 𠻨 𠻩 𠻪 𠻫 𠻬 𠻭 𠻮 𠻯 𠻰 𠻱 𠻲 𠻳 𠻴 𠻵 𠻶 𠻷 𠻸 𠻹 𠻺 𠻻 𠻼 𠻽 𠻾 𠻿</t>
        </is>
      </c>
      <c r="Q533" s="38" t="inlineStr">
        <is>
          <t>𠸀 𠸁 𠸂 𠸃 𠸄 𠸅 𠸆 𠸇 𠸈 𠸉 𠸊 𠸋 𠸌 𠸍 𠸎 𠸏 𠸐 𠸑 𠸒 𠸓 𠸔 𠸕 𠸖 𠸗 𠸘 𠸙 𠸚 𠸛 𠸜 𠸝 𠸞 𠸟 𠸠 𠸡 𠸢 𠸣 𠸤 𠸥 𠸦 𠸧 𠸨 𠸩 𠸪 𠸫 𠸬 𠸭 𠸮 𠸯 𠸰 𠸱 𠸲 𠸳 𠸴 𠸵 𠸶 𠸷 𠸸 𠸹 𠸺 𠸻 𠸼 𠸽 𠸾 𠸿 𠹀 𠹁 𠹂 𠹃 𠹄 𠹅 𠹆 𠹇 𠹈 𠹉 𠹊 𠹋 𠹌 𠹍 𠹎 𠹏 𠹐 𠹑 𠹒 𠹓 𠹔 𠹕 𠹖 𠹗 𠹘 𠹙 𠹚 𠹛 𠹜 𠹝 𠹞 𠹟 𠹠 𠹡 𠹢 𠹣 𠹤 𠹥 𠹦 𠹧 𠹨 𠹩 𠹪 𠹫 𠹬 𠹭 𠹮 𠹯 𠹰 𠹱 𠹲 𠹳 𠹴 𠹵 𠹶 𠹷 𠹸 𠹹 𠹺 𠹻 𠹼 𠹽 𠹾 𠹿 𠺀 𠺁 𠺂 𠺃 𠺄 𠺅 𠺆 𠺇 𠺈 𠺉 𠺊 𠺋 𠺌 𠺍 𠺎 𠺏 𠺐 𠺑 𠺒 𠺓 𠺔 𠺕 𠺖 𠺗 𠺘 𠺙 𠺚 𠺛 𠺜 𠺝 𠺞 𠺟 𠺠 𠺡 𠺢 𠺣 𠺤 𠺥 𠺦 𠺧 𠺨 𠺩 𠺪 𠺫 𠺬 𠺭 𠺮 𠺯 𠺰 𠺱 𠺲 𠺳 𠺴 𠺵 𠺶 𠺷 𠺸 𠺹 𠺺 𠺻 𠺼 𠺽 𠺾 𠺿 𠻀 𠻁 𠻂 𠻃 𠻄 𠻅 𠻆 𠻇 𠻈 𠻉 𠻊 𠻋 𠻌 𠻍 𠻎 𠻏 𠻐 𠻑 𠻒 𠻓 𠻔 𠻕 𠻖 𠻗 𠻘 𠻙 𠻚 𠻛 𠻜 𠻝 𠻞 𠻟 𠻠 𠻡 𠻢 𠻣 𠻤 𠻥 𠻦 𠻧 𠻨 𠻩 𠻪 𠻫 𠻬 𠻭 𠻮 𠻯 𠻰 𠻱 𠻲 𠻳 𠻴 𠻵 𠻶 𠻷 𠻸 𠻹 𠻺 𠻻 𠻼 𠻽 𠻾 𠻿</t>
        </is>
      </c>
      <c r="R533" s="43" t="inlineStr">
        <is>
          <t>𠸎 𠸏 𠹤 𠹭 𠹶 𠹷 𠺕 𠺝 𠻘 𠻺</t>
        </is>
      </c>
      <c r="S533" s="40" t="n"/>
      <c r="V533" s="14">
        <f>(LEN(O533)+1)/2</f>
        <v/>
      </c>
      <c r="W533" s="14">
        <f>ROUNDDOWN((LEN(P533)+1)/2,0)</f>
        <v/>
      </c>
      <c r="X533" s="14">
        <f>ROUNDDOWN((LEN(Q533)+1)/2,0)</f>
        <v/>
      </c>
      <c r="Y533" s="14">
        <f>ROUNDDOWN((LEN(R533)+1)/2,0)</f>
        <v/>
      </c>
      <c r="Z533" s="14">
        <f>ROUNDDOWN((LEN(S533)+1)/2,0)</f>
        <v/>
      </c>
      <c r="AA533" s="56" t="n">
        <v>46150.55872396817</v>
      </c>
    </row>
    <row r="534" ht="102" customHeight="1">
      <c r="B534" s="46" t="inlineStr">
        <is>
          <t>U+21000-U+210FF</t>
        </is>
      </c>
      <c r="C534" s="46" t="inlineStr">
        <is>
          <t>CJK Unified Ideographs Extension B</t>
        </is>
      </c>
      <c r="D534" s="54">
        <f>HEX2DEC(MID(B534,3,FIND("-",E534)-3))</f>
        <v/>
      </c>
      <c r="E534" s="46" t="inlineStr">
        <is>
          <t>U+20000-U+2A6DF</t>
        </is>
      </c>
      <c r="F534" s="12" t="n">
        <v>4</v>
      </c>
      <c r="J534" s="19">
        <f>ROUNDDOWN(W534,0)/$V534</f>
        <v/>
      </c>
      <c r="K534" s="19">
        <f>ROUNDDOWN(X534,0)/$V534</f>
        <v/>
      </c>
      <c r="L534" s="19">
        <f>ROUNDDOWN(Y534,0)/$V534</f>
        <v/>
      </c>
      <c r="M534" s="19">
        <f>ROUNDDOWN(Z534,0)/$V534</f>
        <v/>
      </c>
      <c r="O534" s="36" t="inlineStr">
        <is>
          <t>𠼀 𠼁 𠼂 𠼃 𠼄 𠼅 𠼆 𠼇 𠼈 𠼉 𠼊 𠼋 𠼌 𠼍 𠼎 𠼏 𠼐 𠼑 𠼒 𠼓 𠼔 𠼕 𠼖 𠼗 𠼘 𠼙 𠼚 𠼛 𠼜 𠼝 𠼞 𠼟 𠼠 𠼡 𠼢 𠼣 𠼤 𠼥 𠼦 𠼧 𠼨 𠼩 𠼪 𠼫 𠼬 𠼭 𠼮 𠼯 𠼰 𠼱 𠼲 𠼳 𠼴 𠼵 𠼶 𠼷 𠼸 𠼹 𠼺 𠼻 𠼼 𠼽 𠼾 𠼿 𠽀 𠽁 𠽂 𠽃 𠽄 𠽅 𠽆 𠽇 𠽈 𠽉 𠽊 𠽋 𠽌 𠽍 𠽎 𠽏 𠽐 𠽑 𠽒 𠽓 𠽔 𠽕 𠽖 𠽗 𠽘 𠽙 𠽚 𠽛 𠽜 𠽝 𠽞 𠽟 𠽠 𠽡 𠽢 𠽣 𠽤 𠽥 𠽦 𠽧 𠽨 𠽩 𠽪 𠽫 𠽬 𠽭 𠽮 𠽯 𠽰 𠽱 𠽲 𠽳 𠽴 𠽵 𠽶 𠽷 𠽸 𠽹 𠽺 𠽻 𠽼 𠽽 𠽾 𠽿 𠾀 𠾁 𠾂 𠾃 𠾄 𠾅 𠾆 𠾇 𠾈 𠾉 𠾊 𠾋 𠾌 𠾍 𠾎 𠾏 𠾐 𠾑 𠾒 𠾓 𠾔 𠾕 𠾖 𠾗 𠾘 𠾙 𠾚 𠾛 𠾜 𠾝 𠾞 𠾟 𠾠 𠾡 𠾢 𠾣 𠾤 𠾥 𠾦 𠾧 𠾨 𠾩 𠾪 𠾫 𠾬 𠾭 𠾮 𠾯 𠾰 𠾱 𠾲 𠾳 𠾴 𠾵 𠾶 𠾷 𠾸 𠾹 𠾺 𠾻 𠾼 𠾽 𠾾 𠾿 𠿀 𠿁 𠿂 𠿃 𠿄 𠿅 𠿆 𠿇 𠿈 𠿉 𠿊 𠿋 𠿌 𠿍 𠿎 𠿏 𠿐 𠿑 𠿒 𠿓 𠿔 𠿕 𠿖 𠿗 𠿘 𠿙 𠿚 𠿛 𠿜 𠿝 𠿞 𠿟 𠿠 𠿡 𠿢 𠿣 𠿤 𠿥 𠿦 𠿧 𠿨 𠿩 𠿪 𠿫 𠿬 𠿭 𠿮 𠿯 𠿰 𠿱 𠿲 𠿳 𠿴 𠿵 𠿶 𠿷 𠿸 𠿹 𠿺 𠿻 𠿼 𠿽 𠿾 𠿿</t>
        </is>
      </c>
      <c r="P534" s="37" t="inlineStr">
        <is>
          <t>𠼀 𠼁 𠼂 𠼃 𠼄 𠼅 𠼆 𠼇 𠼈 𠼉 𠼊 𠼋 𠼌 𠼍 𠼎 𠼏 𠼐 𠼑 𠼒 𠼓 𠼔 𠼕 𠼖 𠼗 𠼘 𠼙 𠼚 𠼛 𠼜 𠼝 𠼞 𠼟 𠼠 𠼡 𠼢 𠼣 𠼤 𠼥 𠼦 𠼧 𠼨 𠼩 𠼪 𠼫 𠼬 𠼭 𠼮 𠼯 𠼰 𠼱 𠼲 𠼳 𠼴 𠼵 𠼶 𠼷 𠼸 𠼹 𠼺 𠼻 𠼼 𠼽 𠼾 𠼿 𠽀 𠽁 𠽂 𠽃 𠽄 𠽅 𠽆 𠽇 𠽈 𠽉 𠽊 𠽋 𠽌 𠽍 𠽎 𠽏 𠽐 𠽑 𠽒 𠽓 𠽔 𠽕 𠽖 𠽗 𠽘 𠽙 𠽚 𠽛 𠽜 𠽝 𠽞 𠽟 𠽠 𠽡 𠽢 𠽣 𠽤 𠽥 𠽦 𠽧 𠽨 𠽩 𠽪 𠽫 𠽬 𠽭 𠽮 𠽯 𠽰 𠽱 𠽲 𠽳 𠽴 𠽵 𠽶 𠽷 𠽸 𠽹 𠽺 𠽻 𠽼 𠽽 𠽾 𠽿 𠾀 𠾁 𠾂 𠾃 𠾄 𠾅 𠾆 𠾇 𠾈 𠾉 𠾊 𠾋 𠾌 𠾍 𠾎 𠾏 𠾐 𠾑 𠾒 𠾓 𠾔 𠾕 𠾖 𠾗 𠾘 𠾙 𠾚 𠾛 𠾜 𠾝 𠾞 𠾟 𠾠 𠾡 𠾢 𠾣 𠾤 𠾥 𠾦 𠾧 𠾨 𠾩 𠾪 𠾫 𠾬 𠾭 𠾮 𠾯 𠾰 𠾱 𠾲 𠾳 𠾴 𠾵 𠾶 𠾷 𠾸 𠾹 𠾺 𠾻 𠾼 𠾽 𠾾 𠾿 𠿀 𠿁 𠿂 𠿃 𠿄 𠿅 𠿆 𠿇 𠿈 𠿉 𠿊 𠿋 𠿌 𠿍 𠿎 𠿏 𠿐 𠿑 𠿒 𠿓 𠿔 𠿕 𠿖 𠿗 𠿘 𠿙 𠿚 𠿛 𠿜 𠿝 𠿞 𠿟 𠿠 𠿡 𠿢 𠿣 𠿤 𠿥 𠿦 𠿧 𠿨 𠿩 𠿪 𠿫 𠿬 𠿭 𠿮 𠿯 𠿰 𠿱 𠿲 𠿳 𠿴 𠿵 𠿶 𠿷 𠿸 𠿹 𠿺 𠿻 𠿼 𠿽 𠿾 𠿿</t>
        </is>
      </c>
      <c r="Q534" s="38" t="inlineStr">
        <is>
          <t>𠼀 𠼁 𠼂 𠼃 𠼄 𠼅 𠼆 𠼇 𠼈 𠼉 𠼊 𠼋 𠼌 𠼍 𠼎 𠼏 𠼐 𠼑 𠼒 𠼓 𠼔 𠼕 𠼖 𠼗 𠼘 𠼙 𠼚 𠼛 𠼜 𠼝 𠼞 𠼟 𠼠 𠼡 𠼢 𠼣 𠼤 𠼥 𠼦 𠼧 𠼨 𠼩 𠼪 𠼫 𠼬 𠼭 𠼮 𠼯 𠼰 𠼱 𠼲 𠼳 𠼴 𠼵 𠼶 𠼷 𠼸 𠼹 𠼺 𠼻 𠼼 𠼽 𠼾 𠼿 𠽀 𠽁 𠽂 𠽃 𠽄 𠽅 𠽆 𠽇 𠽈 𠽉 𠽊 𠽋 𠽌 𠽍 𠽎 𠽏 𠽐 𠽑 𠽒 𠽓 𠽔 𠽕 𠽖 𠽗 𠽘 𠽙 𠽚 𠽛 𠽜 𠽝 𠽞 𠽟 𠽠 𠽡 𠽢 𠽣 𠽤 𠽥 𠽦 𠽧 𠽨 𠽩 𠽪 𠽫 𠽬 𠽭 𠽮 𠽯 𠽰 𠽱 𠽲 𠽳 𠽴 𠽵 𠽶 𠽷 𠽸 𠽹 𠽺 𠽻 𠽼 𠽽 𠽾 𠽿 𠾀 𠾁 𠾂 𠾃 𠾄 𠾅 𠾆 𠾇 𠾈 𠾉 𠾊 𠾋 𠾌 𠾍 𠾎 𠾏 𠾐 𠾑 𠾒 𠾓 𠾔 𠾕 𠾖 𠾗 𠾘 𠾙 𠾚 𠾛 𠾜 𠾝 𠾞 𠾟 𠾠 𠾡 𠾢 𠾣 𠾤 𠾥 𠾦 𠾧 𠾨 𠾩 𠾪 𠾫 𠾬 𠾭 𠾮 𠾯 𠾰 𠾱 𠾲 𠾳 𠾴 𠾵 𠾶 𠾷 𠾸 𠾹 𠾺 𠾻 𠾼 𠾽 𠾾 𠾿 𠿀 𠿁 𠿂 𠿃 𠿄 𠿅 𠿆 𠿇 𠿈 𠿉 𠿊 𠿋 𠿌 𠿍 𠿎 𠿏 𠿐 𠿑 𠿒 𠿓 𠿔 𠿕 𠿖 𠿗 𠿘 𠿙 𠿚 𠿛 𠿜 𠿝 𠿞 𠿟 𠿠 𠿡 𠿢 𠿣 𠿤 𠿥 𠿦 𠿧 𠿨 𠿩 𠿪 𠿫 𠿬 𠿭 𠿮 𠿯 𠿰 𠿱 𠿲 𠿳 𠿴 𠿵 𠿶 𠿷 𠿸 𠿹 𠿺 𠿻 𠿼 𠿽 𠿾 𠿿</t>
        </is>
      </c>
      <c r="R534" s="43" t="inlineStr">
        <is>
          <t>𠼭 𠼮 𠽟 𠽾 𠾴</t>
        </is>
      </c>
      <c r="S534" s="40" t="n"/>
      <c r="V534" s="14">
        <f>(LEN(O534)+1)/2</f>
        <v/>
      </c>
      <c r="W534" s="14">
        <f>ROUNDDOWN((LEN(P534)+1)/2,0)</f>
        <v/>
      </c>
      <c r="X534" s="14">
        <f>ROUNDDOWN((LEN(Q534)+1)/2,0)</f>
        <v/>
      </c>
      <c r="Y534" s="14">
        <f>ROUNDDOWN((LEN(R534)+1)/2,0)</f>
        <v/>
      </c>
      <c r="Z534" s="14">
        <f>ROUNDDOWN((LEN(S534)+1)/2,0)</f>
        <v/>
      </c>
      <c r="AA534" s="56" t="n">
        <v>46150.55872519214</v>
      </c>
    </row>
    <row r="535" ht="102" customHeight="1">
      <c r="B535" s="46" t="inlineStr">
        <is>
          <t>U+21100-U+211FF</t>
        </is>
      </c>
      <c r="C535" s="46" t="inlineStr">
        <is>
          <t>CJK Unified Ideographs Extension B</t>
        </is>
      </c>
      <c r="D535" s="54">
        <f>HEX2DEC(MID(B535,3,FIND("-",E535)-3))</f>
        <v/>
      </c>
      <c r="E535" s="46" t="inlineStr">
        <is>
          <t>U+20000-U+2A6DF</t>
        </is>
      </c>
      <c r="F535" s="12" t="n">
        <v>4</v>
      </c>
      <c r="J535" s="19">
        <f>ROUNDDOWN(W535,0)/$V535</f>
        <v/>
      </c>
      <c r="K535" s="19">
        <f>ROUNDDOWN(X535,0)/$V535</f>
        <v/>
      </c>
      <c r="L535" s="19">
        <f>ROUNDDOWN(Y535,0)/$V535</f>
        <v/>
      </c>
      <c r="M535" s="19">
        <f>ROUNDDOWN(Z535,0)/$V535</f>
        <v/>
      </c>
      <c r="O535" s="36" t="inlineStr">
        <is>
          <t>𡀀 𡀁 𡀂 𡀃 𡀄 𡀅 𡀆 𡀇 𡀈 𡀉 𡀊 𡀋 𡀌 𡀍 𡀎 𡀏 𡀐 𡀑 𡀒 𡀓 𡀔 𡀕 𡀖 𡀗 𡀘 𡀙 𡀚 𡀛 𡀜 𡀝 𡀞 𡀟 𡀠 𡀡 𡀢 𡀣 𡀤 𡀥 𡀦 𡀧 𡀨 𡀩 𡀪 𡀫 𡀬 𡀭 𡀮 𡀯 𡀰 𡀱 𡀲 𡀳 𡀴 𡀵 𡀶 𡀷 𡀸 𡀹 𡀺 𡀻 𡀼 𡀽 𡀾 𡀿 𡁀 𡁁 𡁂 𡁃 𡁄 𡁅 𡁆 𡁇 𡁈 𡁉 𡁊 𡁋 𡁌 𡁍 𡁎 𡁏 𡁐 𡁑 𡁒 𡁓 𡁔 𡁕 𡁖 𡁗 𡁘 𡁙 𡁚 𡁛 𡁜 𡁝 𡁞 𡁟 𡁠 𡁡 𡁢 𡁣 𡁤 𡁥 𡁦 𡁧 𡁨 𡁩 𡁪 𡁫 𡁬 𡁭 𡁮 𡁯 𡁰 𡁱 𡁲 𡁳 𡁴 𡁵 𡁶 𡁷 𡁸 𡁹 𡁺 𡁻 𡁼 𡁽 𡁾 𡁿 𡂀 𡂁 𡂂 𡂃 𡂄 𡂅 𡂆 𡂇 𡂈 𡂉 𡂊 𡂋 𡂌 𡂍 𡂎 𡂏 𡂐 𡂑 𡂒 𡂓 𡂔 𡂕 𡂖 𡂗 𡂘 𡂙 𡂚 𡂛 𡂜 𡂝 𡂞 𡂟 𡂠 𡂡 𡂢 𡂣 𡂤 𡂥 𡂦 𡂧 𡂨 𡂩 𡂪 𡂫 𡂬 𡂭 𡂮 𡂯 𡂰 𡂱 𡂲 𡂳 𡂴 𡂵 𡂶 𡂷 𡂸 𡂹 𡂺 𡂻 𡂼 𡂽 𡂾 𡂿 𡃀 𡃁 𡃂 𡃃 𡃄 𡃅 𡃆 𡃇 𡃈 𡃉 𡃊 𡃋 𡃌 𡃍 𡃎 𡃏 𡃐 𡃑 𡃒 𡃓 𡃔 𡃕 𡃖 𡃗 𡃘 𡃙 𡃚 𡃛 𡃜 𡃝 𡃞 𡃟 𡃠 𡃡 𡃢 𡃣 𡃤 𡃥 𡃦 𡃧 𡃨 𡃩 𡃪 𡃫 𡃬 𡃭 𡃮 𡃯 𡃰 𡃱 𡃲 𡃳 𡃴 𡃵 𡃶 𡃷 𡃸 𡃹 𡃺 𡃻 𡃼 𡃽 𡃾 𡃿</t>
        </is>
      </c>
      <c r="P535" s="37" t="inlineStr">
        <is>
          <t>𡀀 𡀁 𡀂 𡀃 𡀄 𡀅 𡀆 𡀇 𡀈 𡀉 𡀊 𡀋 𡀌 𡀍 𡀎 𡀏 𡀐 𡀑 𡀒 𡀓 𡀔 𡀕 𡀖 𡀗 𡀘 𡀙 𡀚 𡀛 𡀜 𡀝 𡀞 𡀟 𡀠 𡀡 𡀢 𡀣 𡀤 𡀥 𡀦 𡀧 𡀨 𡀩 𡀪 𡀫 𡀬 𡀭 𡀮 𡀯 𡀰 𡀱 𡀲 𡀳 𡀴 𡀵 𡀶 𡀷 𡀸 𡀹 𡀺 𡀻 𡀼 𡀽 𡀾 𡀿 𡁀 𡁁 𡁂 𡁃 𡁄 𡁅 𡁆 𡁇 𡁈 𡁉 𡁊 𡁋 𡁌 𡁍 𡁎 𡁏 𡁐 𡁑 𡁒 𡁓 𡁔 𡁕 𡁖 𡁗 𡁘 𡁙 𡁚 𡁛 𡁜 𡁝 𡁞 𡁟 𡁠 𡁡 𡁢 𡁣 𡁤 𡁥 𡁦 𡁧 𡁨 𡁩 𡁪 𡁫 𡁬 𡁭 𡁮 𡁯 𡁰 𡁱 𡁲 𡁳 𡁴 𡁵 𡁶 𡁷 𡁸 𡁹 𡁺 𡁻 𡁼 𡁽 𡁾 𡁿 𡂀 𡂁 𡂂 𡂃 𡂄 𡂅 𡂆 𡂇 𡂈 𡂉 𡂊 𡂋 𡂌 𡂍 𡂎 𡂏 𡂐 𡂑 𡂒 𡂓 𡂔 𡂕 𡂖 𡂗 𡂘 𡂙 𡂚 𡂛 𡂜 𡂝 𡂞 𡂟 𡂠 𡂡 𡂢 𡂣 𡂤 𡂥 𡂦 𡂧 𡂨 𡂩 𡂪 𡂫 𡂬 𡂭 𡂮 𡂯 𡂰 𡂱 𡂲 𡂳 𡂴 𡂵 𡂶 𡂷 𡂸 𡂹 𡂺 𡂻 𡂼 𡂽 𡂾 𡂿 𡃀 𡃁 𡃂 𡃃 𡃄 𡃅 𡃆 𡃇 𡃈 𡃉 𡃊 𡃋 𡃌 𡃍 𡃎 𡃏 𡃐 𡃑 𡃒 𡃓 𡃔 𡃕 𡃖 𡃗 𡃘 𡃙 𡃚 𡃛 𡃜 𡃝 𡃞 𡃟 𡃠 𡃡 𡃢 𡃣 𡃤 𡃥 𡃦 𡃧 𡃨 𡃩 𡃪 𡃫 𡃬 𡃭 𡃮 𡃯 𡃰 𡃱 𡃲 𡃳 𡃴 𡃵 𡃶 𡃷 𡃸 𡃹 𡃺 𡃻 𡃼 𡃽 𡃾 𡃿</t>
        </is>
      </c>
      <c r="Q535" s="38" t="inlineStr">
        <is>
          <t>𡀀 𡀁 𡀂 𡀃 𡀄 𡀅 𡀆 𡀇 𡀈 𡀉 𡀊 𡀋 𡀌 𡀍 𡀎 𡀏 𡀐 𡀑 𡀒 𡀓 𡀔 𡀕 𡀖 𡀗 𡀘 𡀙 𡀚 𡀛 𡀜 𡀝 𡀞 𡀟 𡀠 𡀡 𡀢 𡀣 𡀤 𡀥 𡀦 𡀧 𡀨 𡀩 𡀪 𡀫 𡀬 𡀭 𡀮 𡀯 𡀰 𡀱 𡀲 𡀳 𡀴 𡀵 𡀶 𡀷 𡀸 𡀹 𡀺 𡀻 𡀼 𡀽 𡀾 𡀿 𡁀 𡁁 𡁂 𡁃 𡁄 𡁅 𡁆 𡁇 𡁈 𡁉 𡁊 𡁋 𡁌 𡁍 𡁎 𡁏 𡁐 𡁑 𡁒 𡁓 𡁔 𡁕 𡁖 𡁗 𡁘 𡁙 𡁚 𡁛 𡁜 𡁝 𡁞 𡁟 𡁠 𡁡 𡁢 𡁣 𡁤 𡁥 𡁦 𡁧 𡁨 𡁩 𡁪 𡁫 𡁬 𡁭 𡁮 𡁯 𡁰 𡁱 𡁲 𡁳 𡁴 𡁵 𡁶 𡁷 𡁸 𡁹 𡁺 𡁻 𡁼 𡁽 𡁾 𡁿 𡂀 𡂁 𡂂 𡂃 𡂄 𡂅 𡂆 𡂇 𡂈 𡂉 𡂊 𡂋 𡂌 𡂍 𡂎 𡂏 𡂐 𡂑 𡂒 𡂓 𡂔 𡂕 𡂖 𡂗 𡂘 𡂙 𡂚 𡂛 𡂜 𡂝 𡂞 𡂟 𡂠 𡂡 𡂢 𡂣 𡂤 𡂥 𡂦 𡂧 𡂨 𡂩 𡂪 𡂫 𡂬 𡂭 𡂮 𡂯 𡂰 𡂱 𡂲 𡂳 𡂴 𡂵 𡂶 𡂷 𡂸 𡂹 𡂺 𡂻 𡂼 𡂽 𡂾 𡂿 𡃀 𡃁 𡃂 𡃃 𡃄 𡃅 𡃆 𡃇 𡃈 𡃉 𡃊 𡃋 𡃌 𡃍 𡃎 𡃏 𡃐 𡃑 𡃒 𡃓 𡃔 𡃕 𡃖 𡃗 𡃘 𡃙 𡃚 𡃛 𡃜 𡃝 𡃞 𡃟 𡃠 𡃡 𡃢 𡃣 𡃤 𡃥 𡃦 𡃧 𡃨 𡃩 𡃪 𡃫 𡃬 𡃭 𡃮 𡃯 𡃰 𡃱 𡃲 𡃳 𡃴 𡃵 𡃶 𡃷 𡃸 𡃹 𡃺 𡃻 𡃼 𡃽 𡃾 𡃿</t>
        </is>
      </c>
      <c r="R535" s="43" t="inlineStr">
        <is>
          <t>𡀔 𡁜 𡁶 𡁻 𡂫 𡃁 𡃉 𡃶</t>
        </is>
      </c>
      <c r="S535" s="40" t="n"/>
      <c r="V535" s="14">
        <f>(LEN(O535)+1)/2</f>
        <v/>
      </c>
      <c r="W535" s="14">
        <f>ROUNDDOWN((LEN(P535)+1)/2,0)</f>
        <v/>
      </c>
      <c r="X535" s="14">
        <f>ROUNDDOWN((LEN(Q535)+1)/2,0)</f>
        <v/>
      </c>
      <c r="Y535" s="14">
        <f>ROUNDDOWN((LEN(R535)+1)/2,0)</f>
        <v/>
      </c>
      <c r="Z535" s="14">
        <f>ROUNDDOWN((LEN(S535)+1)/2,0)</f>
        <v/>
      </c>
      <c r="AA535" s="56" t="n">
        <v>46150.55872646588</v>
      </c>
    </row>
    <row r="536" ht="102" customHeight="1">
      <c r="B536" s="46" t="inlineStr">
        <is>
          <t>U+21200-U+212FF</t>
        </is>
      </c>
      <c r="C536" s="46" t="inlineStr">
        <is>
          <t>CJK Unified Ideographs Extension B</t>
        </is>
      </c>
      <c r="D536" s="54">
        <f>HEX2DEC(MID(B536,3,FIND("-",E536)-3))</f>
        <v/>
      </c>
      <c r="E536" s="46" t="inlineStr">
        <is>
          <t>U+20000-U+2A6DF</t>
        </is>
      </c>
      <c r="F536" s="12" t="n">
        <v>4</v>
      </c>
      <c r="J536" s="19">
        <f>ROUNDDOWN(W536,0)/$V536</f>
        <v/>
      </c>
      <c r="K536" s="19">
        <f>ROUNDDOWN(X536,0)/$V536</f>
        <v/>
      </c>
      <c r="L536" s="19">
        <f>ROUNDDOWN(Y536,0)/$V536</f>
        <v/>
      </c>
      <c r="M536" s="19">
        <f>ROUNDDOWN(Z536,0)/$V536</f>
        <v/>
      </c>
      <c r="O536" s="36" t="inlineStr">
        <is>
          <t>𡄀 𡄁 𡄂 𡄃 𡄄 𡄅 𡄆 𡄇 𡄈 𡄉 𡄊 𡄋 𡄌 𡄍 𡄎 𡄏 𡄐 𡄑 𡄒 𡄓 𡄔 𡄕 𡄖 𡄗 𡄘 𡄙 𡄚 𡄛 𡄜 𡄝 𡄞 𡄟 𡄠 𡄡 𡄢 𡄣 𡄤 𡄥 𡄦 𡄧 𡄨 𡄩 𡄪 𡄫 𡄬 𡄭 𡄮 𡄯 𡄰 𡄱 𡄲 𡄳 𡄴 𡄵 𡄶 𡄷 𡄸 𡄹 𡄺 𡄻 𡄼 𡄽 𡄾 𡄿 𡅀 𡅁 𡅂 𡅃 𡅄 𡅅 𡅆 𡅇 𡅈 𡅉 𡅊 𡅋 𡅌 𡅍 𡅎 𡅏 𡅐 𡅑 𡅒 𡅓 𡅔 𡅕 𡅖 𡅗 𡅘 𡅙 𡅚 𡅛 𡅜 𡅝 𡅞 𡅟 𡅠 𡅡 𡅢 𡅣 𡅤 𡅥 𡅦 𡅧 𡅨 𡅩 𡅪 𡅫 𡅬 𡅭 𡅮 𡅯 𡅰 𡅱 𡅲 𡅳 𡅴 𡅵 𡅶 𡅷 𡅸 𡅹 𡅺 𡅻 𡅼 𡅽 𡅾 𡅿 𡆀 𡆁 𡆂 𡆃 𡆄 𡆅 𡆆 𡆇 𡆈 𡆉 𡆊 𡆋 𡆌 𡆍 𡆎 𡆏 𡆐 𡆑 𡆒 𡆓 𡆔 𡆕 𡆖 𡆗 𡆘 𡆙 𡆚 𡆛 𡆜 𡆝 𡆞 𡆟 𡆠 𡆡 𡆢 𡆣 𡆤 𡆥 𡆦 𡆧 𡆨 𡆩 𡆪 𡆫 𡆬 𡆭 𡆮 𡆯 𡆰 𡆱 𡆲 𡆳 𡆴 𡆵 𡆶 𡆷 𡆸 𡆹 𡆺 𡆻 𡆼 𡆽 𡆾 𡆿 𡇀 𡇁 𡇂 𡇃 𡇄 𡇅 𡇆 𡇇 𡇈 𡇉 𡇊 𡇋 𡇌 𡇍 𡇎 𡇏 𡇐 𡇑 𡇒 𡇓 𡇔 𡇕 𡇖 𡇗 𡇘 𡇙 𡇚 𡇛 𡇜 𡇝 𡇞 𡇟 𡇠 𡇡 𡇢 𡇣 𡇤 𡇥 𡇦 𡇧 𡇨 𡇩 𡇪 𡇫 𡇬 𡇭 𡇮 𡇯 𡇰 𡇱 𡇲 𡇳 𡇴 𡇵 𡇶 𡇷 𡇸 𡇹 𡇺 𡇻 𡇼 𡇽 𡇾 𡇿</t>
        </is>
      </c>
      <c r="P536" s="37" t="inlineStr">
        <is>
          <t>𡄀 𡄁 𡄂 𡄃 𡄄 𡄅 𡄆 𡄇 𡄈 𡄉 𡄊 𡄋 𡄌 𡄍 𡄎 𡄏 𡄐 𡄑 𡄒 𡄓 𡄔 𡄕 𡄖 𡄗 𡄘 𡄙 𡄚 𡄛 𡄜 𡄝 𡄞 𡄟 𡄠 𡄡 𡄢 𡄣 𡄤 𡄥 𡄦 𡄧 𡄨 𡄩 𡄪 𡄫 𡄬 𡄭 𡄮 𡄯 𡄰 𡄱 𡄲 𡄳 𡄴 𡄵 𡄶 𡄷 𡄸 𡄹 𡄺 𡄻 𡄼 𡄽 𡄾 𡄿 𡅀 𡅁 𡅂 𡅃 𡅄 𡅅 𡅆 𡅇 𡅈 𡅉 𡅊 𡅋 𡅌 𡅍 𡅎 𡅏 𡅐 𡅑 𡅒 𡅓 𡅔 𡅕 𡅖 𡅗 𡅘 𡅙 𡅚 𡅛 𡅜 𡅝 𡅞 𡅟 𡅠 𡅡 𡅢 𡅣 𡅤 𡅥 𡅦 𡅧 𡅨 𡅩 𡅪 𡅫 𡅬 𡅭 𡅮 𡅯 𡅰 𡅱 𡅲 𡅳 𡅴 𡅵 𡅶 𡅷 𡅸 𡅹 𡅺 𡅻 𡅼 𡅽 𡅾 𡅿 𡆀 𡆁 𡆂 𡆃 𡆄 𡆅 𡆆 𡆇 𡆈 𡆉 𡆊 𡆋 𡆌 𡆍 𡆎 𡆏 𡆐 𡆑 𡆒 𡆓 𡆔 𡆕 𡆖 𡆗 𡆘 𡆙 𡆚 𡆛 𡆜 𡆝 𡆞 𡆟 𡆠 𡆡 𡆢 𡆣 𡆤 𡆥 𡆦 𡆧 𡆨 𡆩 𡆪 𡆫 𡆬 𡆭 𡆮 𡆯 𡆰 𡆱 𡆲 𡆳 𡆴 𡆵 𡆶 𡆷 𡆸 𡆹 𡆺 𡆻 𡆼 𡆽 𡆾 𡆿 𡇀 𡇁 𡇂 𡇃 𡇄 𡇅 𡇆 𡇇 𡇈 𡇉 𡇊 𡇋 𡇌 𡇍 𡇎 𡇏 𡇐 𡇑 𡇒 𡇓 𡇔 𡇕 𡇖 𡇗 𡇘 𡇙 𡇚 𡇛 𡇜 𡇝 𡇞 𡇟 𡇠 𡇡 𡇢 𡇣 𡇤 𡇥 𡇦 𡇧 𡇨 𡇩 𡇪 𡇫 𡇬 𡇭 𡇮 𡇯 𡇰 𡇱 𡇲 𡇳 𡇴 𡇵 𡇶 𡇷 𡇸 𡇹 𡇺 𡇻 𡇼 𡇽 𡇾 𡇿</t>
        </is>
      </c>
      <c r="Q536" s="38" t="inlineStr">
        <is>
          <t>𡄀 𡄁 𡄂 𡄃 𡄄 𡄅 𡄆 𡄇 𡄈 𡄉 𡄊 𡄋 𡄌 𡄍 𡄎 𡄏 𡄐 𡄑 𡄒 𡄓 𡄔 𡄕 𡄖 𡄗 𡄘 𡄙 𡄚 𡄛 𡄜 𡄝 𡄞 𡄟 𡄠 𡄡 𡄢 𡄣 𡄤 𡄥 𡄦 𡄧 𡄨 𡄩 𡄪 𡄫 𡄬 𡄭 𡄮 𡄯 𡄰 𡄱 𡄲 𡄳 𡄴 𡄵 𡄶 𡄷 𡄸 𡄹 𡄺 𡄻 𡄼 𡄽 𡄾 𡄿 𡅀 𡅁 𡅂 𡅃 𡅄 𡅅 𡅆 𡅇 𡅈 𡅉 𡅊 𡅋 𡅌 𡅍 𡅎 𡅏 𡅐 𡅑 𡅒 𡅓 𡅔 𡅕 𡅖 𡅗 𡅘 𡅙 𡅚 𡅛 𡅜 𡅝 𡅞 𡅟 𡅠 𡅡 𡅢 𡅣 𡅤 𡅥 𡅦 𡅧 𡅨 𡅩 𡅪 𡅫 𡅬 𡅭 𡅮 𡅯 𡅰 𡅱 𡅲 𡅳 𡅴 𡅵 𡅶 𡅷 𡅸 𡅹 𡅺 𡅻 𡅼 𡅽 𡅾 𡅿 𡆀 𡆁 𡆂 𡆃 𡆄 𡆅 𡆆 𡆇 𡆈 𡆉 𡆊 𡆋 𡆌 𡆍 𡆎 𡆏 𡆐 𡆑 𡆒 𡆓 𡆔 𡆕 𡆖 𡆗 𡆘 𡆙 𡆚 𡆛 𡆜 𡆝 𡆞 𡆟 𡆠 𡆡 𡆢 𡆣 𡆤 𡆥 𡆦 𡆧 𡆨 𡆩 𡆪 𡆫 𡆬 𡆭 𡆮 𡆯 𡆰 𡆱 𡆲 𡆳 𡆴 𡆵 𡆶 𡆷 𡆸 𡆹 𡆺 𡆻 𡆼 𡆽 𡆾 𡆿 𡇀 𡇁 𡇂 𡇃 𡇄 𡇅 𡇆 𡇇 𡇈 𡇉 𡇊 𡇋 𡇌 𡇍 𡇎 𡇏 𡇐 𡇑 𡇒 𡇓 𡇔 𡇕 𡇖 𡇗 𡇘 𡇙 𡇚 𡇛 𡇜 𡇝 𡇞 𡇟 𡇠 𡇡 𡇢 𡇣 𡇤 𡇥 𡇦 𡇧 𡇨 𡇩 𡇪 𡇫 𡇬 𡇭 𡇮 𡇯 𡇰 𡇱 𡇲 𡇳 𡇴 𡇵 𡇶 𡇷 𡇸 𡇹 𡇺 𡇻 𡇼 𡇽 𡇾 𡇿</t>
        </is>
      </c>
      <c r="R536" s="43" t="inlineStr">
        <is>
          <t>𡅅 𡇙</t>
        </is>
      </c>
      <c r="S536" s="40" t="n"/>
      <c r="V536" s="14">
        <f>(LEN(O536)+1)/2</f>
        <v/>
      </c>
      <c r="W536" s="14">
        <f>ROUNDDOWN((LEN(P536)+1)/2,0)</f>
        <v/>
      </c>
      <c r="X536" s="14">
        <f>ROUNDDOWN((LEN(Q536)+1)/2,0)</f>
        <v/>
      </c>
      <c r="Y536" s="14">
        <f>ROUNDDOWN((LEN(R536)+1)/2,0)</f>
        <v/>
      </c>
      <c r="Z536" s="14">
        <f>ROUNDDOWN((LEN(S536)+1)/2,0)</f>
        <v/>
      </c>
      <c r="AA536" s="56" t="n">
        <v>46150.55872769339</v>
      </c>
    </row>
    <row r="537" ht="102" customHeight="1">
      <c r="B537" s="46" t="inlineStr">
        <is>
          <t>U+21300-U+213FF</t>
        </is>
      </c>
      <c r="C537" s="46" t="inlineStr">
        <is>
          <t>CJK Unified Ideographs Extension B</t>
        </is>
      </c>
      <c r="D537" s="54">
        <f>HEX2DEC(MID(B537,3,FIND("-",E537)-3))</f>
        <v/>
      </c>
      <c r="E537" s="46" t="inlineStr">
        <is>
          <t>U+20000-U+2A6DF</t>
        </is>
      </c>
      <c r="F537" s="12" t="n">
        <v>4</v>
      </c>
      <c r="J537" s="19">
        <f>ROUNDDOWN(W537,0)/$V537</f>
        <v/>
      </c>
      <c r="K537" s="19">
        <f>ROUNDDOWN(X537,0)/$V537</f>
        <v/>
      </c>
      <c r="L537" s="19">
        <f>ROUNDDOWN(Y537,0)/$V537</f>
        <v/>
      </c>
      <c r="M537" s="19">
        <f>ROUNDDOWN(Z537,0)/$V537</f>
        <v/>
      </c>
      <c r="O537" s="36" t="inlineStr">
        <is>
          <t>𡈀 𡈁 𡈂 𡈃 𡈄 𡈅 𡈆 𡈇 𡈈 𡈉 𡈊 𡈋 𡈌 𡈍 𡈎 𡈏 𡈐 𡈑 𡈒 𡈓 𡈔 𡈕 𡈖 𡈗 𡈘 𡈙 𡈚 𡈛 𡈜 𡈝 𡈞 𡈟 𡈠 𡈡 𡈢 𡈣 𡈤 𡈥 𡈦 𡈧 𡈨 𡈩 𡈪 𡈫 𡈬 𡈭 𡈮 𡈯 𡈰 𡈱 𡈲 𡈳 𡈴 𡈵 𡈶 𡈷 𡈸 𡈹 𡈺 𡈻 𡈼 𡈽 𡈾 𡈿 𡉀 𡉁 𡉂 𡉃 𡉄 𡉅 𡉆 𡉇 𡉈 𡉉 𡉊 𡉋 𡉌 𡉍 𡉎 𡉏 𡉐 𡉑 𡉒 𡉓 𡉔 𡉕 𡉖 𡉗 𡉘 𡉙 𡉚 𡉛 𡉜 𡉝 𡉞 𡉟 𡉠 𡉡 𡉢 𡉣 𡉤 𡉥 𡉦 𡉧 𡉨 𡉩 𡉪 𡉫 𡉬 𡉭 𡉮 𡉯 𡉰 𡉱 𡉲 𡉳 𡉴 𡉵 𡉶 𡉷 𡉸 𡉹 𡉺 𡉻 𡉼 𡉽 𡉾 𡉿 𡊀 𡊁 𡊂 𡊃 𡊄 𡊅 𡊆 𡊇 𡊈 𡊉 𡊊 𡊋 𡊌 𡊍 𡊎 𡊏 𡊐 𡊑 𡊒 𡊓 𡊔 𡊕 𡊖 𡊗 𡊘 𡊙 𡊚 𡊛 𡊜 𡊝 𡊞 𡊟 𡊠 𡊡 𡊢 𡊣 𡊤 𡊥 𡊦 𡊧 𡊨 𡊩 𡊪 𡊫 𡊬 𡊭 𡊮 𡊯 𡊰 𡊱 𡊲 𡊳 𡊴 𡊵 𡊶 𡊷 𡊸 𡊹 𡊺 𡊻 𡊼 𡊽 𡊾 𡊿 𡋀 𡋁 𡋂 𡋃 𡋄 𡋅 𡋆 𡋇 𡋈 𡋉 𡋊 𡋋 𡋌 𡋍 𡋎 𡋏 𡋐 𡋑 𡋒 𡋓 𡋔 𡋕 𡋖 𡋗 𡋘 𡋙 𡋚 𡋛 𡋜 𡋝 𡋞 𡋟 𡋠 𡋡 𡋢 𡋣 𡋤 𡋥 𡋦 𡋧 𡋨 𡋩 𡋪 𡋫 𡋬 𡋭 𡋮 𡋯 𡋰 𡋱 𡋲 𡋳 𡋴 𡋵 𡋶 𡋷 𡋸 𡋹 𡋺 𡋻 𡋼 𡋽 𡋾 𡋿</t>
        </is>
      </c>
      <c r="P537" s="37" t="inlineStr">
        <is>
          <t>𡈀 𡈁 𡈂 𡈃 𡈄 𡈅 𡈆 𡈇 𡈈 𡈉 𡈊 𡈋 𡈌 𡈍 𡈎 𡈏 𡈐 𡈑 𡈒 𡈓 𡈔 𡈕 𡈖 𡈗 𡈘 𡈙 𡈚 𡈛 𡈜 𡈝 𡈞 𡈟 𡈠 𡈡 𡈢 𡈣 𡈤 𡈥 𡈦 𡈧 𡈨 𡈩 𡈪 𡈫 𡈬 𡈭 𡈮 𡈯 𡈰 𡈱 𡈲 𡈳 𡈴 𡈵 𡈶 𡈷 𡈸 𡈹 𡈺 𡈻 𡈼 𡈽 𡈾 𡈿 𡉀 𡉁 𡉂 𡉃 𡉄 𡉅 𡉆 𡉇 𡉈 𡉉 𡉊 𡉋 𡉌 𡉍 𡉎 𡉏 𡉐 𡉑 𡉒 𡉓 𡉔 𡉕 𡉖 𡉗 𡉘 𡉙 𡉚 𡉛 𡉜 𡉝 𡉞 𡉟 𡉠 𡉡 𡉢 𡉣 𡉤 𡉥 𡉦 𡉧 𡉨 𡉩 𡉪 𡉫 𡉬 𡉭 𡉮 𡉯 𡉰 𡉱 𡉲 𡉳 𡉴 𡉵 𡉶 𡉷 𡉸 𡉹 𡉺 𡉻 𡉼 𡉽 𡉾 𡉿 𡊀 𡊁 𡊂 𡊃 𡊄 𡊅 𡊆 𡊇 𡊈 𡊉 𡊊 𡊋 𡊌 𡊍 𡊎 𡊏 𡊐 𡊑 𡊒 𡊓 𡊔 𡊕 𡊖 𡊗 𡊘 𡊙 𡊚 𡊛 𡊜 𡊝 𡊞 𡊟 𡊠 𡊡 𡊢 𡊣 𡊤 𡊥 𡊦 𡊧 𡊨 𡊩 𡊪 𡊫 𡊬 𡊭 𡊮 𡊯 𡊰 𡊱 𡊲 𡊳 𡊴 𡊵 𡊶 𡊷 𡊸 𡊹 𡊺 𡊻 𡊼 𡊽 𡊾 𡊿 𡋀 𡋁 𡋂 𡋃 𡋄 𡋅 𡋆 𡋇 𡋈 𡋉 𡋊 𡋋 𡋌 𡋍 𡋎 𡋏 𡋐 𡋑 𡋒 𡋓 𡋔 𡋕 𡋖 𡋗 𡋘 𡋙 𡋚 𡋛 𡋜 𡋝 𡋞 𡋟 𡋠 𡋡 𡋢 𡋣 𡋤 𡋥 𡋦 𡋧 𡋨 𡋩 𡋪 𡋫 𡋬 𡋭 𡋮 𡋯 𡋰 𡋱 𡋲 𡋳 𡋴 𡋵 𡋶 𡋷 𡋸 𡋹 𡋺 𡋻 𡋼 𡋽 𡋾 𡋿</t>
        </is>
      </c>
      <c r="Q537" s="38" t="inlineStr">
        <is>
          <t>𡈀 𡈁 𡈂 𡈃 𡈄 𡈅 𡈆 𡈇 𡈈 𡈉 𡈊 𡈋 𡈌 𡈍 𡈎 𡈏 𡈐 𡈑 𡈒 𡈓 𡈔 𡈕 𡈖 𡈗 𡈘 𡈙 𡈚 𡈛 𡈜 𡈝 𡈞 𡈟 𡈠 𡈡 𡈢 𡈣 𡈤 𡈥 𡈦 𡈧 𡈨 𡈩 𡈪 𡈫 𡈬 𡈭 𡈮 𡈯 𡈰 𡈱 𡈲 𡈳 𡈴 𡈵 𡈶 𡈷 𡈸 𡈹 𡈺 𡈻 𡈼 𡈽 𡈾 𡈿 𡉀 𡉁 𡉂 𡉃 𡉄 𡉅 𡉆 𡉇 𡉈 𡉉 𡉊 𡉋 𡉌 𡉍 𡉎 𡉏 𡉐 𡉑 𡉒 𡉓 𡉔 𡉕 𡉖 𡉗 𡉘 𡉙 𡉚 𡉛 𡉜 𡉝 𡉞 𡉟 𡉠 𡉡 𡉢 𡉣 𡉤 𡉥 𡉦 𡉧 𡉨 𡉩 𡉪 𡉫 𡉬 𡉭 𡉮 𡉯 𡉰 𡉱 𡉲 𡉳 𡉴 𡉵 𡉶 𡉷 𡉸 𡉹 𡉺 𡉻 𡉼 𡉽 𡉾 𡉿 𡊀 𡊁 𡊂 𡊃 𡊄 𡊅 𡊆 𡊇 𡊈 𡊉 𡊊 𡊋 𡊌 𡊍 𡊎 𡊏 𡊐 𡊑 𡊒 𡊓 𡊔 𡊕 𡊖 𡊗 𡊘 𡊙 𡊚 𡊛 𡊜 𡊝 𡊞 𡊟 𡊠 𡊡 𡊢 𡊣 𡊤 𡊥 𡊦 𡊧 𡊨 𡊩 𡊪 𡊫 𡊬 𡊭 𡊮 𡊯 𡊰 𡊱 𡊲 𡊳 𡊴 𡊵 𡊶 𡊷 𡊸 𡊹 𡊺 𡊻 𡊼 𡊽 𡊾 𡊿 𡋀 𡋁 𡋂 𡋃 𡋄 𡋅 𡋆 𡋇 𡋈 𡋉 𡋊 𡋋 𡋌 𡋍 𡋎 𡋏 𡋐 𡋑 𡋒 𡋓 𡋔 𡋕 𡋖 𡋗 𡋘 𡋙 𡋚 𡋛 𡋜 𡋝 𡋞 𡋟 𡋠 𡋡 𡋢 𡋣 𡋤 𡋥 𡋦 𡋧 𡋨 𡋩 𡋪 𡋫 𡋬 𡋭 𡋮 𡋯 𡋰 𡋱 𡋲 𡋳 𡋴 𡋵 𡋶 𡋷 𡋸 𡋹 𡋺 𡋻 𡋼 𡋽 𡋾 𡋿</t>
        </is>
      </c>
      <c r="R537" s="43" t="inlineStr">
        <is>
          <t>𡈁 𡈽 𡉕 𡉴 𡋗 𡋤</t>
        </is>
      </c>
      <c r="S537" s="40" t="n"/>
      <c r="V537" s="14">
        <f>(LEN(O537)+1)/2</f>
        <v/>
      </c>
      <c r="W537" s="14">
        <f>ROUNDDOWN((LEN(P537)+1)/2,0)</f>
        <v/>
      </c>
      <c r="X537" s="14">
        <f>ROUNDDOWN((LEN(Q537)+1)/2,0)</f>
        <v/>
      </c>
      <c r="Y537" s="14">
        <f>ROUNDDOWN((LEN(R537)+1)/2,0)</f>
        <v/>
      </c>
      <c r="Z537" s="14">
        <f>ROUNDDOWN((LEN(S537)+1)/2,0)</f>
        <v/>
      </c>
      <c r="AA537" s="56" t="n">
        <v>46150.55872880117</v>
      </c>
    </row>
    <row r="538" ht="102" customHeight="1">
      <c r="B538" s="46" t="inlineStr">
        <is>
          <t>U+21400-U+214FF</t>
        </is>
      </c>
      <c r="C538" s="46" t="inlineStr">
        <is>
          <t>CJK Unified Ideographs Extension B</t>
        </is>
      </c>
      <c r="D538" s="54">
        <f>HEX2DEC(MID(B538,3,FIND("-",E538)-3))</f>
        <v/>
      </c>
      <c r="E538" s="46" t="inlineStr">
        <is>
          <t>U+20000-U+2A6DF</t>
        </is>
      </c>
      <c r="F538" s="12" t="n">
        <v>4</v>
      </c>
      <c r="J538" s="19">
        <f>ROUNDDOWN(W538,0)/$V538</f>
        <v/>
      </c>
      <c r="K538" s="19">
        <f>ROUNDDOWN(X538,0)/$V538</f>
        <v/>
      </c>
      <c r="L538" s="19">
        <f>ROUNDDOWN(Y538,0)/$V538</f>
        <v/>
      </c>
      <c r="M538" s="19">
        <f>ROUNDDOWN(Z538,0)/$V538</f>
        <v/>
      </c>
      <c r="O538" s="36" t="inlineStr">
        <is>
          <t>𡌀 𡌁 𡌂 𡌃 𡌄 𡌅 𡌆 𡌇 𡌈 𡌉 𡌊 𡌋 𡌌 𡌍 𡌎 𡌏 𡌐 𡌑 𡌒 𡌓 𡌔 𡌕 𡌖 𡌗 𡌘 𡌙 𡌚 𡌛 𡌜 𡌝 𡌞 𡌟 𡌠 𡌡 𡌢 𡌣 𡌤 𡌥 𡌦 𡌧 𡌨 𡌩 𡌪 𡌫 𡌬 𡌭 𡌮 𡌯 𡌰 𡌱 𡌲 𡌳 𡌴 𡌵 𡌶 𡌷 𡌸 𡌹 𡌺 𡌻 𡌼 𡌽 𡌾 𡌿 𡍀 𡍁 𡍂 𡍃 𡍄 𡍅 𡍆 𡍇 𡍈 𡍉 𡍊 𡍋 𡍌 𡍍 𡍎 𡍏 𡍐 𡍑 𡍒 𡍓 𡍔 𡍕 𡍖 𡍗 𡍘 𡍙 𡍚 𡍛 𡍜 𡍝 𡍞 𡍟 𡍠 𡍡 𡍢 𡍣 𡍤 𡍥 𡍦 𡍧 𡍨 𡍩 𡍪 𡍫 𡍬 𡍭 𡍮 𡍯 𡍰 𡍱 𡍲 𡍳 𡍴 𡍵 𡍶 𡍷 𡍸 𡍹 𡍺 𡍻 𡍼 𡍽 𡍾 𡍿 𡎀 𡎁 𡎂 𡎃 𡎄 𡎅 𡎆 𡎇 𡎈 𡎉 𡎊 𡎋 𡎌 𡎍 𡎎 𡎏 𡎐 𡎑 𡎒 𡎓 𡎔 𡎕 𡎖 𡎗 𡎘 𡎙 𡎚 𡎛 𡎜 𡎝 𡎞 𡎟 𡎠 𡎡 𡎢 𡎣 𡎤 𡎥 𡎦 𡎧 𡎨 𡎩 𡎪 𡎫 𡎬 𡎭 𡎮 𡎯 𡎰 𡎱 𡎲 𡎳 𡎴 𡎵 𡎶 𡎷 𡎸 𡎹 𡎺 𡎻 𡎼 𡎽 𡎾 𡎿 𡏀 𡏁 𡏂 𡏃 𡏄 𡏅 𡏆 𡏇 𡏈 𡏉 𡏊 𡏋 𡏌 𡏍 𡏎 𡏏 𡏐 𡏑 𡏒 𡏓 𡏔 𡏕 𡏖 𡏗 𡏘 𡏙 𡏚 𡏛 𡏜 𡏝 𡏞 𡏟 𡏠 𡏡 𡏢 𡏣 𡏤 𡏥 𡏦 𡏧 𡏨 𡏩 𡏪 𡏫 𡏬 𡏭 𡏮 𡏯 𡏰 𡏱 𡏲 𡏳 𡏴 𡏵 𡏶 𡏷 𡏸 𡏹 𡏺 𡏻 𡏼 𡏽 𡏾 𡏿</t>
        </is>
      </c>
      <c r="P538" s="37" t="inlineStr">
        <is>
          <t>𡌀 𡌁 𡌂 𡌃 𡌄 𡌅 𡌆 𡌇 𡌈 𡌉 𡌊 𡌋 𡌌 𡌍 𡌎 𡌏 𡌐 𡌑 𡌒 𡌓 𡌔 𡌕 𡌖 𡌗 𡌘 𡌙 𡌚 𡌛 𡌜 𡌝 𡌞 𡌟 𡌠 𡌡 𡌢 𡌣 𡌤 𡌥 𡌦 𡌧 𡌨 𡌩 𡌪 𡌫 𡌬 𡌭 𡌮 𡌯 𡌰 𡌱 𡌲 𡌳 𡌴 𡌵 𡌶 𡌷 𡌸 𡌹 𡌺 𡌻 𡌼 𡌽 𡌾 𡌿 𡍀 𡍁 𡍂 𡍃 𡍄 𡍅 𡍆 𡍇 𡍈 𡍉 𡍊 𡍋 𡍌 𡍍 𡍎 𡍏 𡍐 𡍑 𡍒 𡍓 𡍔 𡍕 𡍖 𡍗 𡍘 𡍙 𡍚 𡍛 𡍜 𡍝 𡍞 𡍟 𡍠 𡍡 𡍢 𡍣 𡍤 𡍥 𡍦 𡍧 𡍨 𡍩 𡍪 𡍫 𡍬 𡍭 𡍮 𡍯 𡍰 𡍱 𡍲 𡍳 𡍴 𡍵 𡍶 𡍷 𡍸 𡍹 𡍺 𡍻 𡍼 𡍽 𡍾 𡍿 𡎀 𡎁 𡎂 𡎃 𡎄 𡎅 𡎆 𡎇 𡎈 𡎉 𡎊 𡎋 𡎌 𡎍 𡎎 𡎏 𡎐 𡎑 𡎒 𡎓 𡎔 𡎕 𡎖 𡎗 𡎘 𡎙 𡎚 𡎛 𡎜 𡎝 𡎞 𡎟 𡎠 𡎡 𡎢 𡎣 𡎤 𡎥 𡎦 𡎧 𡎨 𡎩 𡎪 𡎫 𡎬 𡎭 𡎮 𡎯 𡎰 𡎱 𡎲 𡎳 𡎴 𡎵 𡎶 𡎷 𡎸 𡎹 𡎺 𡎻 𡎼 𡎽 𡎾 𡎿 𡏀 𡏁 𡏂 𡏃 𡏄 𡏅 𡏆 𡏇 𡏈 𡏉 𡏊 𡏋 𡏌 𡏍 𡏎 𡏏 𡏐 𡏑 𡏒 𡏓 𡏔 𡏕 𡏖 𡏗 𡏘 𡏙 𡏚 𡏛 𡏜 𡏝 𡏞 𡏟 𡏠 𡏡 𡏢 𡏣 𡏤 𡏥 𡏦 𡏧 𡏨 𡏩 𡏪 𡏫 𡏬 𡏭 𡏮 𡏯 𡏰 𡏱 𡏲 𡏳 𡏴 𡏵 𡏶 𡏷 𡏸 𡏹 𡏺 𡏻 𡏼 𡏽 𡏾 𡏿</t>
        </is>
      </c>
      <c r="Q538" s="38" t="inlineStr">
        <is>
          <t>𡌀 𡌁 𡌂 𡌃 𡌄 𡌅 𡌆 𡌇 𡌈 𡌉 𡌊 𡌋 𡌌 𡌍 𡌎 𡌏 𡌐 𡌑 𡌒 𡌓 𡌔 𡌕 𡌖 𡌗 𡌘 𡌙 𡌚 𡌛 𡌜 𡌝 𡌞 𡌟 𡌠 𡌡 𡌢 𡌣 𡌤 𡌥 𡌦 𡌧 𡌨 𡌩 𡌪 𡌫 𡌬 𡌭 𡌮 𡌯 𡌰 𡌱 𡌲 𡌳 𡌴 𡌵 𡌶 𡌷 𡌸 𡌹 𡌺 𡌻 𡌼 𡌽 𡌾 𡌿 𡍀 𡍁 𡍂 𡍃 𡍄 𡍅 𡍆 𡍇 𡍈 𡍉 𡍊 𡍋 𡍌 𡍍 𡍎 𡍏 𡍐 𡍑 𡍒 𡍓 𡍔 𡍕 𡍖 𡍗 𡍘 𡍙 𡍚 𡍛 𡍜 𡍝 𡍞 𡍟 𡍠 𡍡 𡍢 𡍣 𡍤 𡍥 𡍦 𡍧 𡍨 𡍩 𡍪 𡍫 𡍬 𡍭 𡍮 𡍯 𡍰 𡍱 𡍲 𡍳 𡍴 𡍵 𡍶 𡍷 𡍸 𡍹 𡍺 𡍻 𡍼 𡍽 𡍾 𡍿 𡎀 𡎁 𡎂 𡎃 𡎄 𡎅 𡎆 𡎇 𡎈 𡎉 𡎊 𡎋 𡎌 𡎍 𡎎 𡎏 𡎐 𡎑 𡎒 𡎓 𡎔 𡎕 𡎖 𡎗 𡎘 𡎙 𡎚 𡎛 𡎜 𡎝 𡎞 𡎟 𡎠 𡎡 𡎢 𡎣 𡎤 𡎥 𡎦 𡎧 𡎨 𡎩 𡎪 𡎫 𡎬 𡎭 𡎮 𡎯 𡎰 𡎱 𡎲 𡎳 𡎴 𡎵 𡎶 𡎷 𡎸 𡎹 𡎺 𡎻 𡎼 𡎽 𡎾 𡎿 𡏀 𡏁 𡏂 𡏃 𡏄 𡏅 𡏆 𡏇 𡏈 𡏉 𡏊 𡏋 𡏌 𡏍 𡏎 𡏏 𡏐 𡏑 𡏒 𡏓 𡏔 𡏕 𡏖 𡏗 𡏘 𡏙 𡏚 𡏛 𡏜 𡏝 𡏞 𡏟 𡏠 𡏡 𡏢 𡏣 𡏤 𡏥 𡏦 𡏧 𡏨 𡏩 𡏪 𡏫 𡏬 𡏭 𡏮 𡏯 𡏰 𡏱 𡏲 𡏳 𡏴 𡏵 𡏶 𡏷 𡏸 𡏹 𡏺 𡏻 𡏼 𡏽 𡏾 𡏿</t>
        </is>
      </c>
      <c r="R538" s="43" t="inlineStr">
        <is>
          <t>𡌛 𡌶 𡍄 𡎚 𡏄 𡏋</t>
        </is>
      </c>
      <c r="S538" s="40" t="n"/>
      <c r="V538" s="14">
        <f>(LEN(O538)+1)/2</f>
        <v/>
      </c>
      <c r="W538" s="14">
        <f>ROUNDDOWN((LEN(P538)+1)/2,0)</f>
        <v/>
      </c>
      <c r="X538" s="14">
        <f>ROUNDDOWN((LEN(Q538)+1)/2,0)</f>
        <v/>
      </c>
      <c r="Y538" s="14">
        <f>ROUNDDOWN((LEN(R538)+1)/2,0)</f>
        <v/>
      </c>
      <c r="Z538" s="14">
        <f>ROUNDDOWN((LEN(S538)+1)/2,0)</f>
        <v/>
      </c>
      <c r="AA538" s="56" t="n">
        <v>46150.55872991715</v>
      </c>
    </row>
    <row r="539" ht="102" customHeight="1">
      <c r="B539" s="46" t="inlineStr">
        <is>
          <t>U+21500-U+215FF</t>
        </is>
      </c>
      <c r="C539" s="46" t="inlineStr">
        <is>
          <t>CJK Unified Ideographs Extension B</t>
        </is>
      </c>
      <c r="D539" s="54">
        <f>HEX2DEC(MID(B539,3,FIND("-",E539)-3))</f>
        <v/>
      </c>
      <c r="E539" s="46" t="inlineStr">
        <is>
          <t>U+20000-U+2A6DF</t>
        </is>
      </c>
      <c r="F539" s="12" t="n">
        <v>4</v>
      </c>
      <c r="J539" s="19">
        <f>ROUNDDOWN(W539,0)/$V539</f>
        <v/>
      </c>
      <c r="K539" s="19">
        <f>ROUNDDOWN(X539,0)/$V539</f>
        <v/>
      </c>
      <c r="L539" s="19">
        <f>ROUNDDOWN(Y539,0)/$V539</f>
        <v/>
      </c>
      <c r="M539" s="19">
        <f>ROUNDDOWN(Z539,0)/$V539</f>
        <v/>
      </c>
      <c r="O539" s="36" t="inlineStr">
        <is>
          <t>𡐀 𡐁 𡐂 𡐃 𡐄 𡐅 𡐆 𡐇 𡐈 𡐉 𡐊 𡐋 𡐌 𡐍 𡐎 𡐏 𡐐 𡐑 𡐒 𡐓 𡐔 𡐕 𡐖 𡐗 𡐘 𡐙 𡐚 𡐛 𡐜 𡐝 𡐞 𡐟 𡐠 𡐡 𡐢 𡐣 𡐤 𡐥 𡐦 𡐧 𡐨 𡐩 𡐪 𡐫 𡐬 𡐭 𡐮 𡐯 𡐰 𡐱 𡐲 𡐳 𡐴 𡐵 𡐶 𡐷 𡐸 𡐹 𡐺 𡐻 𡐼 𡐽 𡐾 𡐿 𡑀 𡑁 𡑂 𡑃 𡑄 𡑅 𡑆 𡑇 𡑈 𡑉 𡑊 𡑋 𡑌 𡑍 𡑎 𡑏 𡑐 𡑑 𡑒 𡑓 𡑔 𡑕 𡑖 𡑗 𡑘 𡑙 𡑚 𡑛 𡑜 𡑝 𡑞 𡑟 𡑠 𡑡 𡑢 𡑣 𡑤 𡑥 𡑦 𡑧 𡑨 𡑩 𡑪 𡑫 𡑬 𡑭 𡑮 𡑯 𡑰 𡑱 𡑲 𡑳 𡑴 𡑵 𡑶 𡑷 𡑸 𡑹 𡑺 𡑻 𡑼 𡑽 𡑾 𡑿 𡒀 𡒁 𡒂 𡒃 𡒄 𡒅 𡒆 𡒇 𡒈 𡒉 𡒊 𡒋 𡒌 𡒍 𡒎 𡒏 𡒐 𡒑 𡒒 𡒓 𡒔 𡒕 𡒖 𡒗 𡒘 𡒙 𡒚 𡒛 𡒜 𡒝 𡒞 𡒟 𡒠 𡒡 𡒢 𡒣 𡒤 𡒥 𡒦 𡒧 𡒨 𡒩 𡒪 𡒫 𡒬 𡒭 𡒮 𡒯 𡒰 𡒱 𡒲 𡒳 𡒴 𡒵 𡒶 𡒷 𡒸 𡒹 𡒺 𡒻 𡒼 𡒽 𡒾 𡒿 𡓀 𡓁 𡓂 𡓃 𡓄 𡓅 𡓆 𡓇 𡓈 𡓉 𡓊 𡓋 𡓌 𡓍 𡓎 𡓏 𡓐 𡓑 𡓒 𡓓 𡓔 𡓕 𡓖 𡓗 𡓘 𡓙 𡓚 𡓛 𡓜 𡓝 𡓞 𡓟 𡓠 𡓡 𡓢 𡓣 𡓤 𡓥 𡓦 𡓧 𡓨 𡓩 𡓪 𡓫 𡓬 𡓭 𡓮 𡓯 𡓰 𡓱 𡓲 𡓳 𡓴 𡓵 𡓶 𡓷 𡓸 𡓹 𡓺 𡓻 𡓼 𡓽 𡓾 𡓿</t>
        </is>
      </c>
      <c r="P539" s="37" t="inlineStr">
        <is>
          <t>𡐀 𡐁 𡐂 𡐃 𡐄 𡐅 𡐆 𡐇 𡐈 𡐉 𡐊 𡐋 𡐌 𡐍 𡐎 𡐏 𡐐 𡐑 𡐒 𡐓 𡐔 𡐕 𡐖 𡐗 𡐘 𡐙 𡐚 𡐛 𡐜 𡐝 𡐞 𡐟 𡐠 𡐡 𡐢 𡐣 𡐤 𡐥 𡐦 𡐧 𡐨 𡐩 𡐪 𡐫 𡐬 𡐭 𡐮 𡐯 𡐰 𡐱 𡐲 𡐳 𡐴 𡐵 𡐶 𡐷 𡐸 𡐹 𡐺 𡐻 𡐼 𡐽 𡐾 𡐿 𡑀 𡑁 𡑂 𡑃 𡑄 𡑅 𡑆 𡑇 𡑈 𡑉 𡑊 𡑋 𡑌 𡑍 𡑎 𡑏 𡑐 𡑑 𡑒 𡑓 𡑔 𡑕 𡑖 𡑗 𡑘 𡑙 𡑚 𡑛 𡑜 𡑝 𡑞 𡑟 𡑠 𡑡 𡑢 𡑣 𡑤 𡑥 𡑦 𡑧 𡑨 𡑩 𡑪 𡑫 𡑬 𡑭 𡑮 𡑯 𡑰 𡑱 𡑲 𡑳 𡑴 𡑵 𡑶 𡑷 𡑸 𡑹 𡑺 𡑻 𡑼 𡑽 𡑾 𡑿 𡒀 𡒁 𡒂 𡒃 𡒄 𡒅 𡒆 𡒇 𡒈 𡒉 𡒊 𡒋 𡒌 𡒍 𡒎 𡒏 𡒐 𡒑 𡒒 𡒓 𡒔 𡒕 𡒖 𡒗 𡒘 𡒙 𡒚 𡒛 𡒜 𡒝 𡒞 𡒟 𡒠 𡒡 𡒢 𡒣 𡒤 𡒥 𡒦 𡒧 𡒨 𡒩 𡒪 𡒫 𡒬 𡒭 𡒮 𡒯 𡒰 𡒱 𡒲 𡒳 𡒴 𡒵 𡒶 𡒷 𡒸 𡒹 𡒺 𡒻 𡒼 𡒽 𡒾 𡒿 𡓀 𡓁 𡓂 𡓃 𡓄 𡓅 𡓆 𡓇 𡓈 𡓉 𡓊 𡓋 𡓌 𡓍 𡓎 𡓏 𡓐 𡓑 𡓒 𡓓 𡓔 𡓕 𡓖 𡓗 𡓘 𡓙 𡓚 𡓛 𡓜 𡓝 𡓞 𡓟 𡓠 𡓡 𡓢 𡓣 𡓤 𡓥 𡓦 𡓧 𡓨 𡓩 𡓪 𡓫 𡓬 𡓭 𡓮 𡓯 𡓰 𡓱 𡓲 𡓳 𡓴 𡓵 𡓶 𡓷 𡓸 𡓹 𡓺 𡓻 𡓼 𡓽 𡓾 𡓿</t>
        </is>
      </c>
      <c r="Q539" s="38" t="inlineStr">
        <is>
          <t>𡐀 𡐁 𡐂 𡐃 𡐄 𡐅 𡐆 𡐇 𡐈 𡐉 𡐊 𡐋 𡐌 𡐍 𡐎 𡐏 𡐐 𡐑 𡐒 𡐓 𡐔 𡐕 𡐖 𡐗 𡐘 𡐙 𡐚 𡐛 𡐜 𡐝 𡐞 𡐟 𡐠 𡐡 𡐢 𡐣 𡐤 𡐥 𡐦 𡐧 𡐨 𡐩 𡐪 𡐫 𡐬 𡐭 𡐮 𡐯 𡐰 𡐱 𡐲 𡐳 𡐴 𡐵 𡐶 𡐷 𡐸 𡐹 𡐺 𡐻 𡐼 𡐽 𡐾 𡐿 𡑀 𡑁 𡑂 𡑃 𡑄 𡑅 𡑆 𡑇 𡑈 𡑉 𡑊 𡑋 𡑌 𡑍 𡑎 𡑏 𡑐 𡑑 𡑒 𡑓 𡑔 𡑕 𡑖 𡑗 𡑘 𡑙 𡑚 𡑛 𡑜 𡑝 𡑞 𡑟 𡑠 𡑡 𡑢 𡑣 𡑤 𡑥 𡑦 𡑧 𡑨 𡑩 𡑪 𡑫 𡑬 𡑭 𡑮 𡑯 𡑰 𡑱 𡑲 𡑳 𡑴 𡑵 𡑶 𡑷 𡑸 𡑹 𡑺 𡑻 𡑼 𡑽 𡑾 𡑿 𡒀 𡒁 𡒂 𡒃 𡒄 𡒅 𡒆 𡒇 𡒈 𡒉 𡒊 𡒋 𡒌 𡒍 𡒎 𡒏 𡒐 𡒑 𡒒 𡒓 𡒔 𡒕 𡒖 𡒗 𡒘 𡒙 𡒚 𡒛 𡒜 𡒝 𡒞 𡒟 𡒠 𡒡 𡒢 𡒣 𡒤 𡒥 𡒦 𡒧 𡒨 𡒩 𡒪 𡒫 𡒬 𡒭 𡒮 𡒯 𡒰 𡒱 𡒲 𡒳 𡒴 𡒵 𡒶 𡒷 𡒸 𡒹 𡒺 𡒻 𡒼 𡒽 𡒾 𡒿 𡓀 𡓁 𡓂 𡓃 𡓄 𡓅 𡓆 𡓇 𡓈 𡓉 𡓊 𡓋 𡓌 𡓍 𡓎 𡓏 𡓐 𡓑 𡓒 𡓓 𡓔 𡓕 𡓖 𡓗 𡓘 𡓙 𡓚 𡓛 𡓜 𡓝 𡓞 𡓟 𡓠 𡓡 𡓢 𡓣 𡓤 𡓥 𡓦 𡓧 𡓨 𡓩 𡓪 𡓫 𡓬 𡓭 𡓮 𡓯 𡓰 𡓱 𡓲 𡓳 𡓴 𡓵 𡓶 𡓷 𡓸 𡓹 𡓺 𡓻 𡓼 𡓽 𡓾 𡓿</t>
        </is>
      </c>
      <c r="R539" s="43" t="inlineStr">
        <is>
          <t>𡐓 𡑍 𡑭 𡑮 𡒄</t>
        </is>
      </c>
      <c r="S539" s="40" t="n"/>
      <c r="V539" s="14">
        <f>(LEN(O539)+1)/2</f>
        <v/>
      </c>
      <c r="W539" s="14">
        <f>ROUNDDOWN((LEN(P539)+1)/2,0)</f>
        <v/>
      </c>
      <c r="X539" s="14">
        <f>ROUNDDOWN((LEN(Q539)+1)/2,0)</f>
        <v/>
      </c>
      <c r="Y539" s="14">
        <f>ROUNDDOWN((LEN(R539)+1)/2,0)</f>
        <v/>
      </c>
      <c r="Z539" s="14">
        <f>ROUNDDOWN((LEN(S539)+1)/2,0)</f>
        <v/>
      </c>
      <c r="AA539" s="56" t="n">
        <v>46150.55873101098</v>
      </c>
    </row>
    <row r="540" ht="102" customHeight="1">
      <c r="B540" s="46" t="inlineStr">
        <is>
          <t>U+21600-U+216FF</t>
        </is>
      </c>
      <c r="C540" s="46" t="inlineStr">
        <is>
          <t>CJK Unified Ideographs Extension B</t>
        </is>
      </c>
      <c r="D540" s="54">
        <f>HEX2DEC(MID(B540,3,FIND("-",E540)-3))</f>
        <v/>
      </c>
      <c r="E540" s="46" t="inlineStr">
        <is>
          <t>U+20000-U+2A6DF</t>
        </is>
      </c>
      <c r="F540" s="12" t="n">
        <v>4</v>
      </c>
      <c r="J540" s="19">
        <f>ROUNDDOWN(W540,0)/$V540</f>
        <v/>
      </c>
      <c r="K540" s="19">
        <f>ROUNDDOWN(X540,0)/$V540</f>
        <v/>
      </c>
      <c r="L540" s="19">
        <f>ROUNDDOWN(Y540,0)/$V540</f>
        <v/>
      </c>
      <c r="M540" s="19">
        <f>ROUNDDOWN(Z540,0)/$V540</f>
        <v/>
      </c>
      <c r="O540" s="36" t="inlineStr">
        <is>
          <t>𡔀 𡔁 𡔂 𡔃 𡔄 𡔅 𡔆 𡔇 𡔈 𡔉 𡔊 𡔋 𡔌 𡔍 𡔎 𡔏 𡔐 𡔑 𡔒 𡔓 𡔔 𡔕 𡔖 𡔗 𡔘 𡔙 𡔚 𡔛 𡔜 𡔝 𡔞 𡔟 𡔠 𡔡 𡔢 𡔣 𡔤 𡔥 𡔦 𡔧 𡔨 𡔩 𡔪 𡔫 𡔬 𡔭 𡔮 𡔯 𡔰 𡔱 𡔲 𡔳 𡔴 𡔵 𡔶 𡔷 𡔸 𡔹 𡔺 𡔻 𡔼 𡔽 𡔾 𡔿 𡕀 𡕁 𡕂 𡕃 𡕄 𡕅 𡕆 𡕇 𡕈 𡕉 𡕊 𡕋 𡕌 𡕍 𡕎 𡕏 𡕐 𡕑 𡕒 𡕓 𡕔 𡕕 𡕖 𡕗 𡕘 𡕙 𡕚 𡕛 𡕜 𡕝 𡕞 𡕟 𡕠 𡕡 𡕢 𡕣 𡕤 𡕥 𡕦 𡕧 𡕨 𡕩 𡕪 𡕫 𡕬 𡕭 𡕮 𡕯 𡕰 𡕱 𡕲 𡕳 𡕴 𡕵 𡕶 𡕷 𡕸 𡕹 𡕺 𡕻 𡕼 𡕽 𡕾 𡕿 𡖀 𡖁 𡖂 𡖃 𡖄 𡖅 𡖆 𡖇 𡖈 𡖉 𡖊 𡖋 𡖌 𡖍 𡖎 𡖏 𡖐 𡖑 𡖒 𡖓 𡖔 𡖕 𡖖 𡖗 𡖘 𡖙 𡖚 𡖛 𡖜 𡖝 𡖞 𡖟 𡖠 𡖡 𡖢 𡖣 𡖤 𡖥 𡖦 𡖧 𡖨 𡖩 𡖪 𡖫 𡖬 𡖭 𡖮 𡖯 𡖰 𡖱 𡖲 𡖳 𡖴 𡖵 𡖶 𡖷 𡖸 𡖹 𡖺 𡖻 𡖼 𡖽 𡖾 𡖿 𡗀 𡗁 𡗂 𡗃 𡗄 𡗅 𡗆 𡗇 𡗈 𡗉 𡗊 𡗋 𡗌 𡗍 𡗎 𡗏 𡗐 𡗑 𡗒 𡗓 𡗔 𡗕 𡗖 𡗗 𡗘 𡗙 𡗚 𡗛 𡗜 𡗝 𡗞 𡗟 𡗠 𡗡 𡗢 𡗣 𡗤 𡗥 𡗦 𡗧 𡗨 𡗩 𡗪 𡗫 𡗬 𡗭 𡗮 𡗯 𡗰 𡗱 𡗲 𡗳 𡗴 𡗵 𡗶 𡗷 𡗸 𡗹 𡗺 𡗻 𡗼 𡗽 𡗾 𡗿</t>
        </is>
      </c>
      <c r="P540" s="37" t="inlineStr">
        <is>
          <t>𡔀 𡔁 𡔂 𡔃 𡔄 𡔅 𡔆 𡔇 𡔈 𡔉 𡔊 𡔋 𡔌 𡔍 𡔎 𡔏 𡔐 𡔑 𡔒 𡔓 𡔔 𡔕 𡔖 𡔗 𡔘 𡔙 𡔚 𡔛 𡔜 𡔝 𡔞 𡔟 𡔠 𡔡 𡔢 𡔣 𡔤 𡔥 𡔦 𡔧 𡔨 𡔩 𡔪 𡔫 𡔬 𡔭 𡔮 𡔯 𡔰 𡔱 𡔲 𡔳 𡔴 𡔵 𡔶 𡔷 𡔸 𡔹 𡔺 𡔻 𡔼 𡔽 𡔾 𡔿 𡕀 𡕁 𡕂 𡕃 𡕄 𡕅 𡕆 𡕇 𡕈 𡕉 𡕊 𡕋 𡕌 𡕍 𡕎 𡕏 𡕐 𡕑 𡕒 𡕓 𡕔 𡕕 𡕖 𡕗 𡕘 𡕙 𡕚 𡕛 𡕜 𡕝 𡕞 𡕟 𡕠 𡕡 𡕢 𡕣 𡕤 𡕥 𡕦 𡕧 𡕨 𡕩 𡕪 𡕫 𡕬 𡕭 𡕮 𡕯 𡕰 𡕱 𡕲 𡕳 𡕴 𡕵 𡕶 𡕷 𡕸 𡕹 𡕺 𡕻 𡕼 𡕽 𡕾 𡕿 𡖀 𡖁 𡖂 𡖃 𡖄 𡖅 𡖆 𡖇 𡖈 𡖉 𡖊 𡖋 𡖌 𡖍 𡖎 𡖏 𡖐 𡖑 𡖒 𡖓 𡖔 𡖕 𡖖 𡖗 𡖘 𡖙 𡖚 𡖛 𡖜 𡖝 𡖞 𡖟 𡖠 𡖡 𡖢 𡖣 𡖤 𡖥 𡖦 𡖧 𡖨 𡖩 𡖪 𡖫 𡖬 𡖭 𡖮 𡖯 𡖰 𡖱 𡖲 𡖳 𡖴 𡖵 𡖶 𡖷 𡖸 𡖹 𡖺 𡖻 𡖼 𡖽 𡖾 𡖿 𡗀 𡗁 𡗂 𡗃 𡗄 𡗅 𡗆 𡗇 𡗈 𡗉 𡗊 𡗋 𡗌 𡗍 𡗎 𡗏 𡗐 𡗑 𡗒 𡗓 𡗔 𡗕 𡗖 𡗗 𡗘 𡗙 𡗚 𡗛 𡗜 𡗝 𡗞 𡗟 𡗠 𡗡 𡗢 𡗣 𡗤 𡗥 𡗦 𡗧 𡗨 𡗩 𡗪 𡗫 𡗬 𡗭 𡗮 𡗯 𡗰 𡗱 𡗲 𡗳 𡗴 𡗵 𡗶 𡗷 𡗸 𡗹 𡗺 𡗻 𡗼 𡗽 𡗾 𡗿</t>
        </is>
      </c>
      <c r="Q540" s="38" t="inlineStr">
        <is>
          <t>𡔀 𡔁 𡔂 𡔃 𡔄 𡔅 𡔆 𡔇 𡔈 𡔉 𡔊 𡔋 𡔌 𡔍 𡔎 𡔏 𡔐 𡔑 𡔒 𡔓 𡔔 𡔕 𡔖 𡔗 𡔘 𡔙 𡔚 𡔛 𡔜 𡔝 𡔞 𡔟 𡔠 𡔡 𡔢 𡔣 𡔤 𡔥 𡔦 𡔧 𡔨 𡔩 𡔪 𡔫 𡔬 𡔭 𡔮 𡔯 𡔰 𡔱 𡔲 𡔳 𡔴 𡔵 𡔶 𡔷 𡔸 𡔹 𡔺 𡔻 𡔼 𡔽 𡔾 𡔿 𡕀 𡕁 𡕂 𡕃 𡕄 𡕅 𡕆 𡕇 𡕈 𡕉 𡕊 𡕋 𡕌 𡕍 𡕎 𡕏 𡕐 𡕑 𡕒 𡕓 𡕔 𡕕 𡕖 𡕗 𡕘 𡕙 𡕚 𡕛 𡕜 𡕝 𡕞 𡕟 𡕠 𡕡 𡕢 𡕣 𡕤 𡕥 𡕦 𡕧 𡕨 𡕩 𡕪 𡕫 𡕬 𡕭 𡕮 𡕯 𡕰 𡕱 𡕲 𡕳 𡕴 𡕵 𡕶 𡕷 𡕸 𡕹 𡕺 𡕻 𡕼 𡕽 𡕾 𡕿 𡖀 𡖁 𡖂 𡖃 𡖄 𡖅 𡖆 𡖇 𡖈 𡖉 𡖊 𡖋 𡖌 𡖍 𡖎 𡖏 𡖐 𡖑 𡖒 𡖓 𡖔 𡖕 𡖖 𡖗 𡖘 𡖙 𡖚 𡖛 𡖜 𡖝 𡖞 𡖟 𡖠 𡖡 𡖢 𡖣 𡖤 𡖥 𡖦 𡖧 𡖨 𡖩 𡖪 𡖫 𡖬 𡖭 𡖮 𡖯 𡖰 𡖱 𡖲 𡖳 𡖴 𡖵 𡖶 𡖷 𡖸 𡖹 𡖺 𡖻 𡖼 𡖽 𡖾 𡖿 𡗀 𡗁 𡗂 𡗃 𡗄 𡗅 𡗆 𡗇 𡗈 𡗉 𡗊 𡗋 𡗌 𡗍 𡗎 𡗏 𡗐 𡗑 𡗒 𡗓 𡗔 𡗕 𡗖 𡗗 𡗘 𡗙 𡗚 𡗛 𡗜 𡗝 𡗞 𡗟 𡗠 𡗡 𡗢 𡗣 𡗤 𡗥 𡗦 𡗧 𡗨 𡗩 𡗪 𡗫 𡗬 𡗭 𡗮 𡗯 𡗰 𡗱 𡗲 𡗳 𡗴 𡗵 𡗶 𡗷 𡗸 𡗹 𡗺 𡗻 𡗼 𡗽 𡗾 𡗿</t>
        </is>
      </c>
      <c r="R540" s="43" t="inlineStr">
        <is>
          <t>𡗗</t>
        </is>
      </c>
      <c r="S540" s="40" t="n"/>
      <c r="V540" s="14">
        <f>(LEN(O540)+1)/2</f>
        <v/>
      </c>
      <c r="W540" s="14">
        <f>ROUNDDOWN((LEN(P540)+1)/2,0)</f>
        <v/>
      </c>
      <c r="X540" s="14">
        <f>ROUNDDOWN((LEN(Q540)+1)/2,0)</f>
        <v/>
      </c>
      <c r="Y540" s="14">
        <f>ROUNDDOWN((LEN(R540)+1)/2,0)</f>
        <v/>
      </c>
      <c r="Z540" s="14">
        <f>ROUNDDOWN((LEN(S540)+1)/2,0)</f>
        <v/>
      </c>
      <c r="AA540" s="56" t="n">
        <v>46150.55873206788</v>
      </c>
    </row>
    <row r="541" ht="102" customHeight="1">
      <c r="B541" s="46" t="inlineStr">
        <is>
          <t>U+21700-U+217FF</t>
        </is>
      </c>
      <c r="C541" s="46" t="inlineStr">
        <is>
          <t>CJK Unified Ideographs Extension B</t>
        </is>
      </c>
      <c r="D541" s="54">
        <f>HEX2DEC(MID(B541,3,FIND("-",E541)-3))</f>
        <v/>
      </c>
      <c r="E541" s="46" t="inlineStr">
        <is>
          <t>U+20000-U+2A6DF</t>
        </is>
      </c>
      <c r="F541" s="12" t="n">
        <v>4</v>
      </c>
      <c r="J541" s="19">
        <f>ROUNDDOWN(W541,0)/$V541</f>
        <v/>
      </c>
      <c r="K541" s="19">
        <f>ROUNDDOWN(X541,0)/$V541</f>
        <v/>
      </c>
      <c r="L541" s="19">
        <f>ROUNDDOWN(Y541,0)/$V541</f>
        <v/>
      </c>
      <c r="M541" s="19">
        <f>ROUNDDOWN(Z541,0)/$V541</f>
        <v/>
      </c>
      <c r="O541" s="36" t="inlineStr">
        <is>
          <t>𡘀 𡘁 𡘂 𡘃 𡘄 𡘅 𡘆 𡘇 𡘈 𡘉 𡘊 𡘋 𡘌 𡘍 𡘎 𡘏 𡘐 𡘑 𡘒 𡘓 𡘔 𡘕 𡘖 𡘗 𡘘 𡘙 𡘚 𡘛 𡘜 𡘝 𡘞 𡘟 𡘠 𡘡 𡘢 𡘣 𡘤 𡘥 𡘦 𡘧 𡘨 𡘩 𡘪 𡘫 𡘬 𡘭 𡘮 𡘯 𡘰 𡘱 𡘲 𡘳 𡘴 𡘵 𡘶 𡘷 𡘸 𡘹 𡘺 𡘻 𡘼 𡘽 𡘾 𡘿 𡙀 𡙁 𡙂 𡙃 𡙄 𡙅 𡙆 𡙇 𡙈 𡙉 𡙊 𡙋 𡙌 𡙍 𡙎 𡙏 𡙐 𡙑 𡙒 𡙓 𡙔 𡙕 𡙖 𡙗 𡙘 𡙙 𡙚 𡙛 𡙜 𡙝 𡙞 𡙟 𡙠 𡙡 𡙢 𡙣 𡙤 𡙥 𡙦 𡙧 𡙨 𡙩 𡙪 𡙫 𡙬 𡙭 𡙮 𡙯 𡙰 𡙱 𡙲 𡙳 𡙴 𡙵 𡙶 𡙷 𡙸 𡙹 𡙺 𡙻 𡙼 𡙽 𡙾 𡙿 𡚀 𡚁 𡚂 𡚃 𡚄 𡚅 𡚆 𡚇 𡚈 𡚉 𡚊 𡚋 𡚌 𡚍 𡚎 𡚏 𡚐 𡚑 𡚒 𡚓 𡚔 𡚕 𡚖 𡚗 𡚘 𡚙 𡚚 𡚛 𡚜 𡚝 𡚞 𡚟 𡚠 𡚡 𡚢 𡚣 𡚤 𡚥 𡚦 𡚧 𡚨 𡚩 𡚪 𡚫 𡚬 𡚭 𡚮 𡚯 𡚰 𡚱 𡚲 𡚳 𡚴 𡚵 𡚶 𡚷 𡚸 𡚹 𡚺 𡚻 𡚼 𡚽 𡚾 𡚿 𡛀 𡛁 𡛂 𡛃 𡛄 𡛅 𡛆 𡛇 𡛈 𡛉 𡛊 𡛋 𡛌 𡛍 𡛎 𡛏 𡛐 𡛑 𡛒 𡛓 𡛔 𡛕 𡛖 𡛗 𡛘 𡛙 𡛚 𡛛 𡛜 𡛝 𡛞 𡛟 𡛠 𡛡 𡛢 𡛣 𡛤 𡛥 𡛦 𡛧 𡛨 𡛩 𡛪 𡛫 𡛬 𡛭 𡛮 𡛯 𡛰 𡛱 𡛲 𡛳 𡛴 𡛵 𡛶 𡛷 𡛸 𡛹 𡛺 𡛻 𡛼 𡛽 𡛾 𡛿</t>
        </is>
      </c>
      <c r="P541" s="37" t="inlineStr">
        <is>
          <t>𡘀 𡘁 𡘂 𡘃 𡘄 𡘅 𡘆 𡘇 𡘈 𡘉 𡘊 𡘋 𡘌 𡘍 𡘎 𡘏 𡘐 𡘑 𡘒 𡘓 𡘔 𡘕 𡘖 𡘗 𡘘 𡘙 𡘚 𡘛 𡘜 𡘝 𡘞 𡘟 𡘠 𡘡 𡘢 𡘣 𡘤 𡘥 𡘦 𡘧 𡘨 𡘩 𡘪 𡘫 𡘬 𡘭 𡘮 𡘯 𡘰 𡘱 𡘲 𡘳 𡘴 𡘵 𡘶 𡘷 𡘸 𡘹 𡘺 𡘻 𡘼 𡘽 𡘾 𡘿 𡙀 𡙁 𡙂 𡙃 𡙄 𡙅 𡙆 𡙇 𡙈 𡙉 𡙊 𡙋 𡙌 𡙍 𡙎 𡙏 𡙐 𡙑 𡙒 𡙓 𡙔 𡙕 𡙖 𡙗 𡙘 𡙙 𡙚 𡙛 𡙜 𡙝 𡙞 𡙟 𡙠 𡙡 𡙢 𡙣 𡙤 𡙥 𡙦 𡙧 𡙨 𡙩 𡙪 𡙫 𡙬 𡙭 𡙮 𡙯 𡙰 𡙱 𡙲 𡙳 𡙴 𡙵 𡙶 𡙷 𡙸 𡙹 𡙺 𡙻 𡙼 𡙽 𡙾 𡙿 𡚀 𡚁 𡚂 𡚃 𡚄 𡚅 𡚆 𡚇 𡚈 𡚉 𡚊 𡚋 𡚌 𡚍 𡚎 𡚏 𡚐 𡚑 𡚒 𡚓 𡚔 𡚕 𡚖 𡚗 𡚘 𡚙 𡚚 𡚛 𡚜 𡚝 𡚞 𡚟 𡚠 𡚡 𡚢 𡚣 𡚤 𡚥 𡚦 𡚧 𡚨 𡚩 𡚪 𡚫 𡚬 𡚭 𡚮 𡚯 𡚰 𡚱 𡚲 𡚳 𡚴 𡚵 𡚶 𡚷 𡚸 𡚹 𡚺 𡚻 𡚼 𡚽 𡚾 𡚿 𡛀 𡛁 𡛂 𡛃 𡛄 𡛅 𡛆 𡛇 𡛈 𡛉 𡛊 𡛋 𡛌 𡛍 𡛎 𡛏 𡛐 𡛑 𡛒 𡛓 𡛔 𡛕 𡛖 𡛗 𡛘 𡛙 𡛚 𡛛 𡛜 𡛝 𡛞 𡛟 𡛠 𡛡 𡛢 𡛣 𡛤 𡛥 𡛦 𡛧 𡛨 𡛩 𡛪 𡛫 𡛬 𡛭 𡛮 𡛯 𡛰 𡛱 𡛲 𡛳 𡛴 𡛵 𡛶 𡛷 𡛸 𡛹 𡛺 𡛻 𡛼 𡛽 𡛾 𡛿</t>
        </is>
      </c>
      <c r="Q541" s="38" t="inlineStr">
        <is>
          <t>𡘀 𡘁 𡘂 𡘃 𡘄 𡘅 𡘆 𡘇 𡘈 𡘉 𡘊 𡘋 𡘌 𡘍 𡘎 𡘏 𡘐 𡘑 𡘒 𡘓 𡘔 𡘕 𡘖 𡘗 𡘘 𡘙 𡘚 𡘛 𡘜 𡘝 𡘞 𡘟 𡘠 𡘡 𡘢 𡘣 𡘤 𡘥 𡘦 𡘧 𡘨 𡘩 𡘪 𡘫 𡘬 𡘭 𡘮 𡘯 𡘰 𡘱 𡘲 𡘳 𡘴 𡘵 𡘶 𡘷 𡘸 𡘹 𡘺 𡘻 𡘼 𡘽 𡘾 𡘿 𡙀 𡙁 𡙂 𡙃 𡙄 𡙅 𡙆 𡙇 𡙈 𡙉 𡙊 𡙋 𡙌 𡙍 𡙎 𡙏 𡙐 𡙑 𡙒 𡙓 𡙔 𡙕 𡙖 𡙗 𡙘 𡙙 𡙚 𡙛 𡙜 𡙝 𡙞 𡙟 𡙠 𡙡 𡙢 𡙣 𡙤 𡙥 𡙦 𡙧 𡙨 𡙩 𡙪 𡙫 𡙬 𡙭 𡙮 𡙯 𡙰 𡙱 𡙲 𡙳 𡙴 𡙵 𡙶 𡙷 𡙸 𡙹 𡙺 𡙻 𡙼 𡙽 𡙾 𡙿 𡚀 𡚁 𡚂 𡚃 𡚄 𡚅 𡚆 𡚇 𡚈 𡚉 𡚊 𡚋 𡚌 𡚍 𡚎 𡚏 𡚐 𡚑 𡚒 𡚓 𡚔 𡚕 𡚖 𡚗 𡚘 𡚙 𡚚 𡚛 𡚜 𡚝 𡚞 𡚟 𡚠 𡚡 𡚢 𡚣 𡚤 𡚥 𡚦 𡚧 𡚨 𡚩 𡚪 𡚫 𡚬 𡚭 𡚮 𡚯 𡚰 𡚱 𡚲 𡚳 𡚴 𡚵 𡚶 𡚷 𡚸 𡚹 𡚺 𡚻 𡚼 𡚽 𡚾 𡚿 𡛀 𡛁 𡛂 𡛃 𡛄 𡛅 𡛆 𡛇 𡛈 𡛉 𡛊 𡛋 𡛌 𡛍 𡛎 𡛏 𡛐 𡛑 𡛒 𡛓 𡛔 𡛕 𡛖 𡛗 𡛘 𡛙 𡛚 𡛛 𡛜 𡛝 𡛞 𡛟 𡛠 𡛡 𡛢 𡛣 𡛤 𡛥 𡛦 𡛧 𡛨 𡛩 𡛪 𡛫 𡛬 𡛭 𡛮 𡛯 𡛰 𡛱 𡛲 𡛳 𡛴 𡛵 𡛶 𡛷 𡛸 𡛹 𡛺 𡛻 𡛼 𡛽 𡛾 𡛿</t>
        </is>
      </c>
      <c r="R541" s="43" t="inlineStr">
        <is>
          <t>𡙇 𡚦 𡚴 𡛰</t>
        </is>
      </c>
      <c r="S541" s="40" t="n"/>
      <c r="V541" s="14">
        <f>(LEN(O541)+1)/2</f>
        <v/>
      </c>
      <c r="W541" s="14">
        <f>ROUNDDOWN((LEN(P541)+1)/2,0)</f>
        <v/>
      </c>
      <c r="X541" s="14">
        <f>ROUNDDOWN((LEN(Q541)+1)/2,0)</f>
        <v/>
      </c>
      <c r="Y541" s="14">
        <f>ROUNDDOWN((LEN(R541)+1)/2,0)</f>
        <v/>
      </c>
      <c r="Z541" s="14">
        <f>ROUNDDOWN((LEN(S541)+1)/2,0)</f>
        <v/>
      </c>
      <c r="AA541" s="56" t="n">
        <v>46150.55873315324</v>
      </c>
    </row>
    <row r="542" ht="102" customHeight="1">
      <c r="B542" s="46" t="inlineStr">
        <is>
          <t>U+21800-U+218FF</t>
        </is>
      </c>
      <c r="C542" s="46" t="inlineStr">
        <is>
          <t>CJK Unified Ideographs Extension B</t>
        </is>
      </c>
      <c r="D542" s="54">
        <f>HEX2DEC(MID(B542,3,FIND("-",E542)-3))</f>
        <v/>
      </c>
      <c r="E542" s="46" t="inlineStr">
        <is>
          <t>U+20000-U+2A6DF</t>
        </is>
      </c>
      <c r="F542" s="12" t="n">
        <v>4</v>
      </c>
      <c r="J542" s="19">
        <f>ROUNDDOWN(W542,0)/$V542</f>
        <v/>
      </c>
      <c r="K542" s="19">
        <f>ROUNDDOWN(X542,0)/$V542</f>
        <v/>
      </c>
      <c r="L542" s="19">
        <f>ROUNDDOWN(Y542,0)/$V542</f>
        <v/>
      </c>
      <c r="M542" s="19">
        <f>ROUNDDOWN(Z542,0)/$V542</f>
        <v/>
      </c>
      <c r="O542" s="36" t="inlineStr">
        <is>
          <t>𡜀 𡜁 𡜂 𡜃 𡜄 𡜅 𡜆 𡜇 𡜈 𡜉 𡜊 𡜋 𡜌 𡜍 𡜎 𡜏 𡜐 𡜑 𡜒 𡜓 𡜔 𡜕 𡜖 𡜗 𡜘 𡜙 𡜚 𡜛 𡜜 𡜝 𡜞 𡜟 𡜠 𡜡 𡜢 𡜣 𡜤 𡜥 𡜦 𡜧 𡜨 𡜩 𡜪 𡜫 𡜬 𡜭 𡜮 𡜯 𡜰 𡜱 𡜲 𡜳 𡜴 𡜵 𡜶 𡜷 𡜸 𡜹 𡜺 𡜻 𡜼 𡜽 𡜾 𡜿 𡝀 𡝁 𡝂 𡝃 𡝄 𡝅 𡝆 𡝇 𡝈 𡝉 𡝊 𡝋 𡝌 𡝍 𡝎 𡝏 𡝐 𡝑 𡝒 𡝓 𡝔 𡝕 𡝖 𡝗 𡝘 𡝙 𡝚 𡝛 𡝜 𡝝 𡝞 𡝟 𡝠 𡝡 𡝢 𡝣 𡝤 𡝥 𡝦 𡝧 𡝨 𡝩 𡝪 𡝫 𡝬 𡝭 𡝮 𡝯 𡝰 𡝱 𡝲 𡝳 𡝴 𡝵 𡝶 𡝷 𡝸 𡝹 𡝺 𡝻 𡝼 𡝽 𡝾 𡝿 𡞀 𡞁 𡞂 𡞃 𡞄 𡞅 𡞆 𡞇 𡞈 𡞉 𡞊 𡞋 𡞌 𡞍 𡞎 𡞏 𡞐 𡞑 𡞒 𡞓 𡞔 𡞕 𡞖 𡞗 𡞘 𡞙 𡞚 𡞛 𡞜 𡞝 𡞞 𡞟 𡞠 𡞡 𡞢 𡞣 𡞤 𡞥 𡞦 𡞧 𡞨 𡞩 𡞪 𡞫 𡞬 𡞭 𡞮 𡞯 𡞰 𡞱 𡞲 𡞳 𡞴 𡞵 𡞶 𡞷 𡞸 𡞹 𡞺 𡞻 𡞼 𡞽 𡞾 𡞿 𡟀 𡟁 𡟂 𡟃 𡟄 𡟅 𡟆 𡟇 𡟈 𡟉 𡟊 𡟋 𡟌 𡟍 𡟎 𡟏 𡟐 𡟑 𡟒 𡟓 𡟔 𡟕 𡟖 𡟗 𡟘 𡟙 𡟚 𡟛 𡟜 𡟝 𡟞 𡟟 𡟠 𡟡 𡟢 𡟣 𡟤 𡟥 𡟦 𡟧 𡟨 𡟩 𡟪 𡟫 𡟬 𡟭 𡟮 𡟯 𡟰 𡟱 𡟲 𡟳 𡟴 𡟵 𡟶 𡟷 𡟸 𡟹 𡟺 𡟻 𡟼 𡟽 𡟾 𡟿</t>
        </is>
      </c>
      <c r="P542" s="37" t="inlineStr">
        <is>
          <t>𡜀 𡜁 𡜂 𡜃 𡜄 𡜅 𡜆 𡜇 𡜈 𡜉 𡜊 𡜋 𡜌 𡜍 𡜎 𡜏 𡜐 𡜑 𡜒 𡜓 𡜔 𡜕 𡜖 𡜗 𡜘 𡜙 𡜚 𡜛 𡜜 𡜝 𡜞 𡜟 𡜠 𡜡 𡜢 𡜣 𡜤 𡜥 𡜦 𡜧 𡜨 𡜩 𡜪 𡜫 𡜬 𡜭 𡜮 𡜯 𡜰 𡜱 𡜲 𡜳 𡜴 𡜵 𡜶 𡜷 𡜸 𡜹 𡜺 𡜻 𡜼 𡜽 𡜾 𡜿 𡝀 𡝁 𡝂 𡝃 𡝄 𡝅 𡝆 𡝇 𡝈 𡝉 𡝊 𡝋 𡝌 𡝍 𡝎 𡝏 𡝐 𡝑 𡝒 𡝓 𡝔 𡝕 𡝖 𡝗 𡝘 𡝙 𡝚 𡝛 𡝜 𡝝 𡝞 𡝟 𡝠 𡝡 𡝢 𡝣 𡝤 𡝥 𡝦 𡝧 𡝨 𡝩 𡝪 𡝫 𡝬 𡝭 𡝮 𡝯 𡝰 𡝱 𡝲 𡝳 𡝴 𡝵 𡝶 𡝷 𡝸 𡝹 𡝺 𡝻 𡝼 𡝽 𡝾 𡝿 𡞀 𡞁 𡞂 𡞃 𡞄 𡞅 𡞆 𡞇 𡞈 𡞉 𡞊 𡞋 𡞌 𡞍 𡞎 𡞏 𡞐 𡞑 𡞒 𡞓 𡞔 𡞕 𡞖 𡞗 𡞘 𡞙 𡞚 𡞛 𡞜 𡞝 𡞞 𡞟 𡞠 𡞡 𡞢 𡞣 𡞤 𡞥 𡞦 𡞧 𡞨 𡞩 𡞪 𡞫 𡞬 𡞭 𡞮 𡞯 𡞰 𡞱 𡞲 𡞳 𡞴 𡞵 𡞶 𡞷 𡞸 𡞹 𡞺 𡞻 𡞼 𡞽 𡞾 𡞿 𡟀 𡟁 𡟂 𡟃 𡟄 𡟅 𡟆 𡟇 𡟈 𡟉 𡟊 𡟋 𡟌 𡟍 𡟎 𡟏 𡟐 𡟑 𡟒 𡟓 𡟔 𡟕 𡟖 𡟗 𡟘 𡟙 𡟚 𡟛 𡟜 𡟝 𡟞 𡟟 𡟠 𡟡 𡟢 𡟣 𡟤 𡟥 𡟦 𡟧 𡟨 𡟩 𡟪 𡟫 𡟬 𡟭 𡟮 𡟯 𡟰 𡟱 𡟲 𡟳 𡟴 𡟵 𡟶 𡟷 𡟸 𡟹 𡟺 𡟻 𡟼 𡟽 𡟾 𡟿</t>
        </is>
      </c>
      <c r="Q542" s="38" t="inlineStr">
        <is>
          <t>𡜀 𡜁 𡜂 𡜃 𡜄 𡜅 𡜆 𡜇 𡜈 𡜉 𡜊 𡜋 𡜌 𡜍 𡜎 𡜏 𡜐 𡜑 𡜒 𡜓 𡜔 𡜕 𡜖 𡜗 𡜘 𡜙 𡜚 𡜛 𡜜 𡜝 𡜞 𡜟 𡜠 𡜡 𡜢 𡜣 𡜤 𡜥 𡜦 𡜧 𡜨 𡜩 𡜪 𡜫 𡜬 𡜭 𡜮 𡜯 𡜰 𡜱 𡜲 𡜳 𡜴 𡜵 𡜶 𡜷 𡜸 𡜹 𡜺 𡜻 𡜼 𡜽 𡜾 𡜿 𡝀 𡝁 𡝂 𡝃 𡝄 𡝅 𡝆 𡝇 𡝈 𡝉 𡝊 𡝋 𡝌 𡝍 𡝎 𡝏 𡝐 𡝑 𡝒 𡝓 𡝔 𡝕 𡝖 𡝗 𡝘 𡝙 𡝚 𡝛 𡝜 𡝝 𡝞 𡝟 𡝠 𡝡 𡝢 𡝣 𡝤 𡝥 𡝦 𡝧 𡝨 𡝩 𡝪 𡝫 𡝬 𡝭 𡝮 𡝯 𡝰 𡝱 𡝲 𡝳 𡝴 𡝵 𡝶 𡝷 𡝸 𡝹 𡝺 𡝻 𡝼 𡝽 𡝾 𡝿 𡞀 𡞁 𡞂 𡞃 𡞄 𡞅 𡞆 𡞇 𡞈 𡞉 𡞊 𡞋 𡞌 𡞍 𡞎 𡞏 𡞐 𡞑 𡞒 𡞓 𡞔 𡞕 𡞖 𡞗 𡞘 𡞙 𡞚 𡞛 𡞜 𡞝 𡞞 𡞟 𡞠 𡞡 𡞢 𡞣 𡞤 𡞥 𡞦 𡞧 𡞨 𡞩 𡞪 𡞫 𡞬 𡞭 𡞮 𡞯 𡞰 𡞱 𡞲 𡞳 𡞴 𡞵 𡞶 𡞷 𡞸 𡞹 𡞺 𡞻 𡞼 𡞽 𡞾 𡞿 𡟀 𡟁 𡟂 𡟃 𡟄 𡟅 𡟆 𡟇 𡟈 𡟉 𡟊 𡟋 𡟌 𡟍 𡟎 𡟏 𡟐 𡟑 𡟒 𡟓 𡟔 𡟕 𡟖 𡟗 𡟘 𡟙 𡟚 𡟛 𡟜 𡟝 𡟞 𡟟 𡟠 𡟡 𡟢 𡟣 𡟤 𡟥 𡟦 𡟧 𡟨 𡟩 𡟪 𡟫 𡟬 𡟭 𡟮 𡟯 𡟰 𡟱 𡟲 𡟳 𡟴 𡟵 𡟶 𡟷 𡟸 𡟹 𡟺 𡟻 𡟼 𡟽 𡟾 𡟿</t>
        </is>
      </c>
      <c r="R542" s="43" t="inlineStr">
        <is>
          <t>𡝂</t>
        </is>
      </c>
      <c r="S542" s="40" t="n"/>
      <c r="V542" s="14">
        <f>(LEN(O542)+1)/2</f>
        <v/>
      </c>
      <c r="W542" s="14">
        <f>ROUNDDOWN((LEN(P542)+1)/2,0)</f>
        <v/>
      </c>
      <c r="X542" s="14">
        <f>ROUNDDOWN((LEN(Q542)+1)/2,0)</f>
        <v/>
      </c>
      <c r="Y542" s="14">
        <f>ROUNDDOWN((LEN(R542)+1)/2,0)</f>
        <v/>
      </c>
      <c r="Z542" s="14">
        <f>ROUNDDOWN((LEN(S542)+1)/2,0)</f>
        <v/>
      </c>
      <c r="AA542" s="56" t="n">
        <v>46150.55873423458</v>
      </c>
    </row>
    <row r="543" ht="102" customHeight="1">
      <c r="B543" s="46" t="inlineStr">
        <is>
          <t>U+21900-U+219FF</t>
        </is>
      </c>
      <c r="C543" s="46" t="inlineStr">
        <is>
          <t>CJK Unified Ideographs Extension B</t>
        </is>
      </c>
      <c r="D543" s="54">
        <f>HEX2DEC(MID(B543,3,FIND("-",E543)-3))</f>
        <v/>
      </c>
      <c r="E543" s="46" t="inlineStr">
        <is>
          <t>U+20000-U+2A6DF</t>
        </is>
      </c>
      <c r="F543" s="12" t="n">
        <v>4</v>
      </c>
      <c r="J543" s="19">
        <f>ROUNDDOWN(W543,0)/$V543</f>
        <v/>
      </c>
      <c r="K543" s="19">
        <f>ROUNDDOWN(X543,0)/$V543</f>
        <v/>
      </c>
      <c r="L543" s="19">
        <f>ROUNDDOWN(Y543,0)/$V543</f>
        <v/>
      </c>
      <c r="M543" s="19">
        <f>ROUNDDOWN(Z543,0)/$V543</f>
        <v/>
      </c>
      <c r="O543" s="36" t="inlineStr">
        <is>
          <t>𡠀 𡠁 𡠂 𡠃 𡠄 𡠅 𡠆 𡠇 𡠈 𡠉 𡠊 𡠋 𡠌 𡠍 𡠎 𡠏 𡠐 𡠑 𡠒 𡠓 𡠔 𡠕 𡠖 𡠗 𡠘 𡠙 𡠚 𡠛 𡠜 𡠝 𡠞 𡠟 𡠠 𡠡 𡠢 𡠣 𡠤 𡠥 𡠦 𡠧 𡠨 𡠩 𡠪 𡠫 𡠬 𡠭 𡠮 𡠯 𡠰 𡠱 𡠲 𡠳 𡠴 𡠵 𡠶 𡠷 𡠸 𡠹 𡠺 𡠻 𡠼 𡠽 𡠾 𡠿 𡡀 𡡁 𡡂 𡡃 𡡄 𡡅 𡡆 𡡇 𡡈 𡡉 𡡊 𡡋 𡡌 𡡍 𡡎 𡡏 𡡐 𡡑 𡡒 𡡓 𡡔 𡡕 𡡖 𡡗 𡡘 𡡙 𡡚 𡡛 𡡜 𡡝 𡡞 𡡟 𡡠 𡡡 𡡢 𡡣 𡡤 𡡥 𡡦 𡡧 𡡨 𡡩 𡡪 𡡫 𡡬 𡡭 𡡮 𡡯 𡡰 𡡱 𡡲 𡡳 𡡴 𡡵 𡡶 𡡷 𡡸 𡡹 𡡺 𡡻 𡡼 𡡽 𡡾 𡡿 𡢀 𡢁 𡢂 𡢃 𡢄 𡢅 𡢆 𡢇 𡢈 𡢉 𡢊 𡢋 𡢌 𡢍 𡢎 𡢏 𡢐 𡢑 𡢒 𡢓 𡢔 𡢕 𡢖 𡢗 𡢘 𡢙 𡢚 𡢛 𡢜 𡢝 𡢞 𡢟 𡢠 𡢡 𡢢 𡢣 𡢤 𡢥 𡢦 𡢧 𡢨 𡢩 𡢪 𡢫 𡢬 𡢭 𡢮 𡢯 𡢰 𡢱 𡢲 𡢳 𡢴 𡢵 𡢶 𡢷 𡢸 𡢹 𡢺 𡢻 𡢼 𡢽 𡢾 𡢿 𡣀 𡣁 𡣂 𡣃 𡣄 𡣅 𡣆 𡣇 𡣈 𡣉 𡣊 𡣋 𡣌 𡣍 𡣎 𡣏 𡣐 𡣑 𡣒 𡣓 𡣔 𡣕 𡣖 𡣗 𡣘 𡣙 𡣚 𡣛 𡣜 𡣝 𡣞 𡣟 𡣠 𡣡 𡣢 𡣣 𡣤 𡣥 𡣦 𡣧 𡣨 𡣩 𡣪 𡣫 𡣬 𡣭 𡣮 𡣯 𡣰 𡣱 𡣲 𡣳 𡣴 𡣵 𡣶 𡣷 𡣸 𡣹 𡣺 𡣻 𡣼 𡣽 𡣾 𡣿</t>
        </is>
      </c>
      <c r="P543" s="37" t="inlineStr">
        <is>
          <t>𡠀 𡠁 𡠂 𡠃 𡠄 𡠅 𡠆 𡠇 𡠈 𡠉 𡠊 𡠋 𡠌 𡠍 𡠎 𡠏 𡠐 𡠑 𡠒 𡠓 𡠔 𡠕 𡠖 𡠗 𡠘 𡠙 𡠚 𡠛 𡠜 𡠝 𡠞 𡠟 𡠠 𡠡 𡠢 𡠣 𡠤 𡠥 𡠦 𡠧 𡠨 𡠩 𡠪 𡠫 𡠬 𡠭 𡠮 𡠯 𡠰 𡠱 𡠲 𡠳 𡠴 𡠵 𡠶 𡠷 𡠸 𡠹 𡠺 𡠻 𡠼 𡠽 𡠾 𡠿 𡡀 𡡁 𡡂 𡡃 𡡄 𡡅 𡡆 𡡇 𡡈 𡡉 𡡊 𡡋 𡡌 𡡍 𡡎 𡡏 𡡐 𡡑 𡡒 𡡓 𡡔 𡡕 𡡖 𡡗 𡡘 𡡙 𡡚 𡡛 𡡜 𡡝 𡡞 𡡟 𡡠 𡡡 𡡢 𡡣 𡡤 𡡥 𡡦 𡡧 𡡨 𡡩 𡡪 𡡫 𡡬 𡡭 𡡮 𡡯 𡡰 𡡱 𡡲 𡡳 𡡴 𡡵 𡡶 𡡷 𡡸 𡡹 𡡺 𡡻 𡡼 𡡽 𡡾 𡡿 𡢀 𡢁 𡢂 𡢃 𡢄 𡢅 𡢆 𡢇 𡢈 𡢉 𡢊 𡢋 𡢌 𡢍 𡢎 𡢏 𡢐 𡢑 𡢒 𡢓 𡢔 𡢕 𡢖 𡢗 𡢘 𡢙 𡢚 𡢛 𡢜 𡢝 𡢞 𡢟 𡢠 𡢡 𡢢 𡢣 𡢤 𡢥 𡢦 𡢧 𡢨 𡢩 𡢪 𡢫 𡢬 𡢭 𡢮 𡢯 𡢰 𡢱 𡢲 𡢳 𡢴 𡢵 𡢶 𡢷 𡢸 𡢹 𡢺 𡢻 𡢼 𡢽 𡢾 𡢿 𡣀 𡣁 𡣂 𡣃 𡣄 𡣅 𡣆 𡣇 𡣈 𡣉 𡣊 𡣋 𡣌 𡣍 𡣎 𡣏 𡣐 𡣑 𡣒 𡣓 𡣔 𡣕 𡣖 𡣗 𡣘 𡣙 𡣚 𡣛 𡣜 𡣝 𡣞 𡣟 𡣠 𡣡 𡣢 𡣣 𡣤 𡣥 𡣦 𡣧 𡣨 𡣩 𡣪 𡣫 𡣬 𡣭 𡣮 𡣯 𡣰 𡣱 𡣲 𡣳 𡣴 𡣵 𡣶 𡣷 𡣸 𡣹 𡣺 𡣻 𡣼 𡣽 𡣾 𡣿</t>
        </is>
      </c>
      <c r="Q543" s="38" t="inlineStr">
        <is>
          <t>𡠀 𡠁 𡠂 𡠃 𡠄 𡠅 𡠆 𡠇 𡠈 𡠉 𡠊 𡠋 𡠌 𡠍 𡠎 𡠏 𡠐 𡠑 𡠒 𡠓 𡠔 𡠕 𡠖 𡠗 𡠘 𡠙 𡠚 𡠛 𡠜 𡠝 𡠞 𡠟 𡠠 𡠡 𡠢 𡠣 𡠤 𡠥 𡠦 𡠧 𡠨 𡠩 𡠪 𡠫 𡠬 𡠭 𡠮 𡠯 𡠰 𡠱 𡠲 𡠳 𡠴 𡠵 𡠶 𡠷 𡠸 𡠹 𡠺 𡠻 𡠼 𡠽 𡠾 𡠿 𡡀 𡡁 𡡂 𡡃 𡡄 𡡅 𡡆 𡡇 𡡈 𡡉 𡡊 𡡋 𡡌 𡡍 𡡎 𡡏 𡡐 𡡑 𡡒 𡡓 𡡔 𡡕 𡡖 𡡗 𡡘 𡡙 𡡚 𡡛 𡡜 𡡝 𡡞 𡡟 𡡠 𡡡 𡡢 𡡣 𡡤 𡡥 𡡦 𡡧 𡡨 𡡩 𡡪 𡡫 𡡬 𡡭 𡡮 𡡯 𡡰 𡡱 𡡲 𡡳 𡡴 𡡵 𡡶 𡡷 𡡸 𡡹 𡡺 𡡻 𡡼 𡡽 𡡾 𡡿 𡢀 𡢁 𡢂 𡢃 𡢄 𡢅 𡢆 𡢇 𡢈 𡢉 𡢊 𡢋 𡢌 𡢍 𡢎 𡢏 𡢐 𡢑 𡢒 𡢓 𡢔 𡢕 𡢖 𡢗 𡢘 𡢙 𡢚 𡢛 𡢜 𡢝 𡢞 𡢟 𡢠 𡢡 𡢢 𡢣 𡢤 𡢥 𡢦 𡢧 𡢨 𡢩 𡢪 𡢫 𡢬 𡢭 𡢮 𡢯 𡢰 𡢱 𡢲 𡢳 𡢴 𡢵 𡢶 𡢷 𡢸 𡢹 𡢺 𡢻 𡢼 𡢽 𡢾 𡢿 𡣀 𡣁 𡣂 𡣃 𡣄 𡣅 𡣆 𡣇 𡣈 𡣉 𡣊 𡣋 𡣌 𡣍 𡣎 𡣏 𡣐 𡣑 𡣒 𡣓 𡣔 𡣕 𡣖 𡣗 𡣘 𡣙 𡣚 𡣛 𡣜 𡣝 𡣞 𡣟 𡣠 𡣡 𡣢 𡣣 𡣤 𡣥 𡣦 𡣧 𡣨 𡣩 𡣪 𡣫 𡣬 𡣭 𡣮 𡣯 𡣰 𡣱 𡣲 𡣳 𡣴 𡣵 𡣶 𡣷 𡣸 𡣹 𡣺 𡣻 𡣼 𡣽 𡣾 𡣿</t>
        </is>
      </c>
      <c r="R543" s="43" t="inlineStr">
        <is>
          <t>𡠍 𡢽</t>
        </is>
      </c>
      <c r="S543" s="40" t="n"/>
      <c r="V543" s="14">
        <f>(LEN(O543)+1)/2</f>
        <v/>
      </c>
      <c r="W543" s="14">
        <f>ROUNDDOWN((LEN(P543)+1)/2,0)</f>
        <v/>
      </c>
      <c r="X543" s="14">
        <f>ROUNDDOWN((LEN(Q543)+1)/2,0)</f>
        <v/>
      </c>
      <c r="Y543" s="14">
        <f>ROUNDDOWN((LEN(R543)+1)/2,0)</f>
        <v/>
      </c>
      <c r="Z543" s="14">
        <f>ROUNDDOWN((LEN(S543)+1)/2,0)</f>
        <v/>
      </c>
      <c r="AA543" s="56" t="n">
        <v>46150.55873530199</v>
      </c>
    </row>
    <row r="544" ht="102" customHeight="1">
      <c r="B544" s="46" t="inlineStr">
        <is>
          <t>U+21A00-U+21AFF</t>
        </is>
      </c>
      <c r="C544" s="46" t="inlineStr">
        <is>
          <t>CJK Unified Ideographs Extension B</t>
        </is>
      </c>
      <c r="D544" s="54">
        <f>HEX2DEC(MID(B544,3,FIND("-",E544)-3))</f>
        <v/>
      </c>
      <c r="E544" s="46" t="inlineStr">
        <is>
          <t>U+20000-U+2A6DF</t>
        </is>
      </c>
      <c r="F544" s="12" t="n">
        <v>4</v>
      </c>
      <c r="J544" s="19">
        <f>ROUNDDOWN(W544,0)/$V544</f>
        <v/>
      </c>
      <c r="K544" s="19">
        <f>ROUNDDOWN(X544,0)/$V544</f>
        <v/>
      </c>
      <c r="L544" s="19">
        <f>ROUNDDOWN(Y544,0)/$V544</f>
        <v/>
      </c>
      <c r="M544" s="19">
        <f>ROUNDDOWN(Z544,0)/$V544</f>
        <v/>
      </c>
      <c r="O544" s="36" t="inlineStr">
        <is>
          <t>𡤀 𡤁 𡤂 𡤃 𡤄 𡤅 𡤆 𡤇 𡤈 𡤉 𡤊 𡤋 𡤌 𡤍 𡤎 𡤏 𡤐 𡤑 𡤒 𡤓 𡤔 𡤕 𡤖 𡤗 𡤘 𡤙 𡤚 𡤛 𡤜 𡤝 𡤞 𡤟 𡤠 𡤡 𡤢 𡤣 𡤤 𡤥 𡤦 𡤧 𡤨 𡤩 𡤪 𡤫 𡤬 𡤭 𡤮 𡤯 𡤰 𡤱 𡤲 𡤳 𡤴 𡤵 𡤶 𡤷 𡤸 𡤹 𡤺 𡤻 𡤼 𡤽 𡤾 𡤿 𡥀 𡥁 𡥂 𡥃 𡥄 𡥅 𡥆 𡥇 𡥈 𡥉 𡥊 𡥋 𡥌 𡥍 𡥎 𡥏 𡥐 𡥑 𡥒 𡥓 𡥔 𡥕 𡥖 𡥗 𡥘 𡥙 𡥚 𡥛 𡥜 𡥝 𡥞 𡥟 𡥠 𡥡 𡥢 𡥣 𡥤 𡥥 𡥦 𡥧 𡥨 𡥩 𡥪 𡥫 𡥬 𡥭 𡥮 𡥯 𡥰 𡥱 𡥲 𡥳 𡥴 𡥵 𡥶 𡥷 𡥸 𡥹 𡥺 𡥻 𡥼 𡥽 𡥾 𡥿 𡦀 𡦁 𡦂 𡦃 𡦄 𡦅 𡦆 𡦇 𡦈 𡦉 𡦊 𡦋 𡦌 𡦍 𡦎 𡦏 𡦐 𡦑 𡦒 𡦓 𡦔 𡦕 𡦖 𡦗 𡦘 𡦙 𡦚 𡦛 𡦜 𡦝 𡦞 𡦟 𡦠 𡦡 𡦢 𡦣 𡦤 𡦥 𡦦 𡦧 𡦨 𡦩 𡦪 𡦫 𡦬 𡦭 𡦮 𡦯 𡦰 𡦱 𡦲 𡦳 𡦴 𡦵 𡦶 𡦷 𡦸 𡦹 𡦺 𡦻 𡦼 𡦽 𡦾 𡦿 𡧀 𡧁 𡧂 𡧃 𡧄 𡧅 𡧆 𡧇 𡧈 𡧉 𡧊 𡧋 𡧌 𡧍 𡧎 𡧏 𡧐 𡧑 𡧒 𡧓 𡧔 𡧕 𡧖 𡧗 𡧘 𡧙 𡧚 𡧛 𡧜 𡧝 𡧞 𡧟 𡧠 𡧡 𡧢 𡧣 𡧤 𡧥 𡧦 𡧧 𡧨 𡧩 𡧪 𡧫 𡧬 𡧭 𡧮 𡧯 𡧰 𡧱 𡧲 𡧳 𡧴 𡧵 𡧶 𡧷 𡧸 𡧹 𡧺 𡧻 𡧼 𡧽 𡧾 𡧿</t>
        </is>
      </c>
      <c r="P544" s="37" t="inlineStr">
        <is>
          <t>𡤀 𡤁 𡤂 𡤃 𡤄 𡤅 𡤆 𡤇 𡤈 𡤉 𡤊 𡤋 𡤌 𡤍 𡤎 𡤏 𡤐 𡤑 𡤒 𡤓 𡤔 𡤕 𡤖 𡤗 𡤘 𡤙 𡤚 𡤛 𡤜 𡤝 𡤞 𡤟 𡤠 𡤡 𡤢 𡤣 𡤤 𡤥 𡤦 𡤧 𡤨 𡤩 𡤪 𡤫 𡤬 𡤭 𡤮 𡤯 𡤰 𡤱 𡤲 𡤳 𡤴 𡤵 𡤶 𡤷 𡤸 𡤹 𡤺 𡤻 𡤼 𡤽 𡤾 𡤿 𡥀 𡥁 𡥂 𡥃 𡥄 𡥅 𡥆 𡥇 𡥈 𡥉 𡥊 𡥋 𡥌 𡥍 𡥎 𡥏 𡥐 𡥑 𡥒 𡥓 𡥔 𡥕 𡥖 𡥗 𡥘 𡥙 𡥚 𡥛 𡥜 𡥝 𡥞 𡥟 𡥠 𡥡 𡥢 𡥣 𡥤 𡥥 𡥦 𡥧 𡥨 𡥩 𡥪 𡥫 𡥬 𡥭 𡥮 𡥯 𡥰 𡥱 𡥲 𡥳 𡥴 𡥵 𡥶 𡥷 𡥸 𡥹 𡥺 𡥻 𡥼 𡥽 𡥾 𡥿 𡦀 𡦁 𡦂 𡦃 𡦄 𡦅 𡦆 𡦇 𡦈 𡦉 𡦊 𡦋 𡦌 𡦍 𡦎 𡦏 𡦐 𡦑 𡦒 𡦓 𡦔 𡦕 𡦖 𡦗 𡦘 𡦙 𡦚 𡦛 𡦜 𡦝 𡦞 𡦟 𡦠 𡦡 𡦢 𡦣 𡦤 𡦥 𡦦 𡦧 𡦨 𡦩 𡦪 𡦫 𡦬 𡦭 𡦮 𡦯 𡦰 𡦱 𡦲 𡦳 𡦴 𡦵 𡦶 𡦷 𡦸 𡦹 𡦺 𡦻 𡦼 𡦽 𡦾 𡦿 𡧀 𡧁 𡧂 𡧃 𡧄 𡧅 𡧆 𡧇 𡧈 𡧉 𡧊 𡧋 𡧌 𡧍 𡧎 𡧏 𡧐 𡧑 𡧒 𡧓 𡧔 𡧕 𡧖 𡧗 𡧘 𡧙 𡧚 𡧛 𡧜 𡧝 𡧞 𡧟 𡧠 𡧡 𡧢 𡧣 𡧤 𡧥 𡧦 𡧧 𡧨 𡧩 𡧪 𡧫 𡧬 𡧭 𡧮 𡧯 𡧰 𡧱 𡧲 𡧳 𡧴 𡧵 𡧶 𡧷 𡧸 𡧹 𡧺 𡧻 𡧼 𡧽 𡧾 𡧿</t>
        </is>
      </c>
      <c r="Q544" s="38" t="inlineStr">
        <is>
          <t>𡤀 𡤁 𡤂 𡤃 𡤄 𡤅 𡤆 𡤇 𡤈 𡤉 𡤊 𡤋 𡤌 𡤍 𡤎 𡤏 𡤐 𡤑 𡤒 𡤓 𡤔 𡤕 𡤖 𡤗 𡤘 𡤙 𡤚 𡤛 𡤜 𡤝 𡤞 𡤟 𡤠 𡤡 𡤢 𡤣 𡤤 𡤥 𡤦 𡤧 𡤨 𡤩 𡤪 𡤫 𡤬 𡤭 𡤮 𡤯 𡤰 𡤱 𡤲 𡤳 𡤴 𡤵 𡤶 𡤷 𡤸 𡤹 𡤺 𡤻 𡤼 𡤽 𡤾 𡤿 𡥀 𡥁 𡥂 𡥃 𡥄 𡥅 𡥆 𡥇 𡥈 𡥉 𡥊 𡥋 𡥌 𡥍 𡥎 𡥏 𡥐 𡥑 𡥒 𡥓 𡥔 𡥕 𡥖 𡥗 𡥘 𡥙 𡥚 𡥛 𡥜 𡥝 𡥞 𡥟 𡥠 𡥡 𡥢 𡥣 𡥤 𡥥 𡥦 𡥧 𡥨 𡥩 𡥪 𡥫 𡥬 𡥭 𡥮 𡥯 𡥰 𡥱 𡥲 𡥳 𡥴 𡥵 𡥶 𡥷 𡥸 𡥹 𡥺 𡥻 𡥼 𡥽 𡥾 𡥿 𡦀 𡦁 𡦂 𡦃 𡦄 𡦅 𡦆 𡦇 𡦈 𡦉 𡦊 𡦋 𡦌 𡦍 𡦎 𡦏 𡦐 𡦑 𡦒 𡦓 𡦔 𡦕 𡦖 𡦗 𡦘 𡦙 𡦚 𡦛 𡦜 𡦝 𡦞 𡦟 𡦠 𡦡 𡦢 𡦣 𡦤 𡦥 𡦦 𡦧 𡦨 𡦩 𡦪 𡦫 𡦬 𡦭 𡦮 𡦯 𡦰 𡦱 𡦲 𡦳 𡦴 𡦵 𡦶 𡦷 𡦸 𡦹 𡦺 𡦻 𡦼 𡦽 𡦾 𡦿 𡧀 𡧁 𡧂 𡧃 𡧄 𡧅 𡧆 𡧇 𡧈 𡧉 𡧊 𡧋 𡧌 𡧍 𡧎 𡧏 𡧐 𡧑 𡧒 𡧓 𡧔 𡧕 𡧖 𡧗 𡧘 𡧙 𡧚 𡧛 𡧜 𡧝 𡧞 𡧟 𡧠 𡧡 𡧢 𡧣 𡧤 𡧥 𡧦 𡧧 𡧨 𡧩 𡧪 𡧫 𡧬 𡧭 𡧮 𡧯 𡧰 𡧱 𡧲 𡧳 𡧴 𡧵 𡧶 𡧷 𡧸 𡧹 𡧺 𡧻 𡧼 𡧽 𡧾 𡧿</t>
        </is>
      </c>
      <c r="R544" s="43" t="inlineStr">
        <is>
          <t>𡥼</t>
        </is>
      </c>
      <c r="S544" s="40" t="n"/>
      <c r="V544" s="14">
        <f>(LEN(O544)+1)/2</f>
        <v/>
      </c>
      <c r="W544" s="14">
        <f>ROUNDDOWN((LEN(P544)+1)/2,0)</f>
        <v/>
      </c>
      <c r="X544" s="14">
        <f>ROUNDDOWN((LEN(Q544)+1)/2,0)</f>
        <v/>
      </c>
      <c r="Y544" s="14">
        <f>ROUNDDOWN((LEN(R544)+1)/2,0)</f>
        <v/>
      </c>
      <c r="Z544" s="14">
        <f>ROUNDDOWN((LEN(S544)+1)/2,0)</f>
        <v/>
      </c>
      <c r="AA544" s="56" t="n">
        <v>46150.55873636957</v>
      </c>
    </row>
    <row r="545" ht="102" customHeight="1">
      <c r="B545" s="46" t="inlineStr">
        <is>
          <t>U+21B00-U+21BFF</t>
        </is>
      </c>
      <c r="C545" s="46" t="inlineStr">
        <is>
          <t>CJK Unified Ideographs Extension B</t>
        </is>
      </c>
      <c r="D545" s="54">
        <f>HEX2DEC(MID(B545,3,FIND("-",E545)-3))</f>
        <v/>
      </c>
      <c r="E545" s="46" t="inlineStr">
        <is>
          <t>U+20000-U+2A6DF</t>
        </is>
      </c>
      <c r="F545" s="12" t="n">
        <v>4</v>
      </c>
      <c r="J545" s="19">
        <f>ROUNDDOWN(W545,0)/$V545</f>
        <v/>
      </c>
      <c r="K545" s="19">
        <f>ROUNDDOWN(X545,0)/$V545</f>
        <v/>
      </c>
      <c r="L545" s="19">
        <f>ROUNDDOWN(Y545,0)/$V545</f>
        <v/>
      </c>
      <c r="M545" s="19">
        <f>ROUNDDOWN(Z545,0)/$V545</f>
        <v/>
      </c>
      <c r="O545" s="36" t="inlineStr">
        <is>
          <t>𡨀 𡨁 𡨂 𡨃 𡨄 𡨅 𡨆 𡨇 𡨈 𡨉 𡨊 𡨋 𡨌 𡨍 𡨎 𡨏 𡨐 𡨑 𡨒 𡨓 𡨔 𡨕 𡨖 𡨗 𡨘 𡨙 𡨚 𡨛 𡨜 𡨝 𡨞 𡨟 𡨠 𡨡 𡨢 𡨣 𡨤 𡨥 𡨦 𡨧 𡨨 𡨩 𡨪 𡨫 𡨬 𡨭 𡨮 𡨯 𡨰 𡨱 𡨲 𡨳 𡨴 𡨵 𡨶 𡨷 𡨸 𡨹 𡨺 𡨻 𡨼 𡨽 𡨾 𡨿 𡩀 𡩁 𡩂 𡩃 𡩄 𡩅 𡩆 𡩇 𡩈 𡩉 𡩊 𡩋 𡩌 𡩍 𡩎 𡩏 𡩐 𡩑 𡩒 𡩓 𡩔 𡩕 𡩖 𡩗 𡩘 𡩙 𡩚 𡩛 𡩜 𡩝 𡩞 𡩟 𡩠 𡩡 𡩢 𡩣 𡩤 𡩥 𡩦 𡩧 𡩨 𡩩 𡩪 𡩫 𡩬 𡩭 𡩮 𡩯 𡩰 𡩱 𡩲 𡩳 𡩴 𡩵 𡩶 𡩷 𡩸 𡩹 𡩺 𡩻 𡩼 𡩽 𡩾 𡩿 𡪀 𡪁 𡪂 𡪃 𡪄 𡪅 𡪆 𡪇 𡪈 𡪉 𡪊 𡪋 𡪌 𡪍 𡪎 𡪏 𡪐 𡪑 𡪒 𡪓 𡪔 𡪕 𡪖 𡪗 𡪘 𡪙 𡪚 𡪛 𡪜 𡪝 𡪞 𡪟 𡪠 𡪡 𡪢 𡪣 𡪤 𡪥 𡪦 𡪧 𡪨 𡪩 𡪪 𡪫 𡪬 𡪭 𡪮 𡪯 𡪰 𡪱 𡪲 𡪳 𡪴 𡪵 𡪶 𡪷 𡪸 𡪹 𡪺 𡪻 𡪼 𡪽 𡪾 𡪿 𡫀 𡫁 𡫂 𡫃 𡫄 𡫅 𡫆 𡫇 𡫈 𡫉 𡫊 𡫋 𡫌 𡫍 𡫎 𡫏 𡫐 𡫑 𡫒 𡫓 𡫔 𡫕 𡫖 𡫗 𡫘 𡫙 𡫚 𡫛 𡫜 𡫝 𡫞 𡫟 𡫠 𡫡 𡫢 𡫣 𡫤 𡫥 𡫦 𡫧 𡫨 𡫩 𡫪 𡫫 𡫬 𡫭 𡫮 𡫯 𡫰 𡫱 𡫲 𡫳 𡫴 𡫵 𡫶 𡫷 𡫸 𡫹 𡫺 𡫻 𡫼 𡫽 𡫾 𡫿</t>
        </is>
      </c>
      <c r="P545" s="37" t="inlineStr">
        <is>
          <t>𡨀 𡨁 𡨂 𡨃 𡨄 𡨅 𡨆 𡨇 𡨈 𡨉 𡨊 𡨋 𡨌 𡨍 𡨎 𡨏 𡨐 𡨑 𡨒 𡨓 𡨔 𡨕 𡨖 𡨗 𡨘 𡨙 𡨚 𡨛 𡨜 𡨝 𡨞 𡨟 𡨠 𡨡 𡨢 𡨣 𡨤 𡨥 𡨦 𡨧 𡨨 𡨩 𡨪 𡨫 𡨬 𡨭 𡨮 𡨯 𡨰 𡨱 𡨲 𡨳 𡨴 𡨵 𡨶 𡨷 𡨸 𡨹 𡨺 𡨻 𡨼 𡨽 𡨾 𡨿 𡩀 𡩁 𡩂 𡩃 𡩄 𡩅 𡩆 𡩇 𡩈 𡩉 𡩊 𡩋 𡩌 𡩍 𡩎 𡩏 𡩐 𡩑 𡩒 𡩓 𡩔 𡩕 𡩖 𡩗 𡩘 𡩙 𡩚 𡩛 𡩜 𡩝 𡩞 𡩟 𡩠 𡩡 𡩢 𡩣 𡩤 𡩥 𡩦 𡩧 𡩨 𡩩 𡩪 𡩫 𡩬 𡩭 𡩮 𡩯 𡩰 𡩱 𡩲 𡩳 𡩴 𡩵 𡩶 𡩷 𡩸 𡩹 𡩺 𡩻 𡩼 𡩽 𡩾 𡩿 𡪀 𡪁 𡪂 𡪃 𡪄 𡪅 𡪆 𡪇 𡪈 𡪉 𡪊 𡪋 𡪌 𡪍 𡪎 𡪏 𡪐 𡪑 𡪒 𡪓 𡪔 𡪕 𡪖 𡪗 𡪘 𡪙 𡪚 𡪛 𡪜 𡪝 𡪞 𡪟 𡪠 𡪡 𡪢 𡪣 𡪤 𡪥 𡪦 𡪧 𡪨 𡪩 𡪪 𡪫 𡪬 𡪭 𡪮 𡪯 𡪰 𡪱 𡪲 𡪳 𡪴 𡪵 𡪶 𡪷 𡪸 𡪹 𡪺 𡪻 𡪼 𡪽 𡪾 𡪿 𡫀 𡫁 𡫂 𡫃 𡫄 𡫅 𡫆 𡫇 𡫈 𡫉 𡫊 𡫋 𡫌 𡫍 𡫎 𡫏 𡫐 𡫑 𡫒 𡫓 𡫔 𡫕 𡫖 𡫗 𡫘 𡫙 𡫚 𡫛 𡫜 𡫝 𡫞 𡫟 𡫠 𡫡 𡫢 𡫣 𡫤 𡫥 𡫦 𡫧 𡫨 𡫩 𡫪 𡫫 𡫬 𡫭 𡫮 𡫯 𡫰 𡫱 𡫲 𡫳 𡫴 𡫵 𡫶 𡫷 𡫸 𡫹 𡫺 𡫻 𡫼 𡫽 𡫾 𡫿</t>
        </is>
      </c>
      <c r="Q545" s="38" t="inlineStr">
        <is>
          <t>𡨀 𡨁 𡨂 𡨃 𡨄 𡨅 𡨆 𡨇 𡨈 𡨉 𡨊 𡨋 𡨌 𡨍 𡨎 𡨏 𡨐 𡨑 𡨒 𡨓 𡨔 𡨕 𡨖 𡨗 𡨘 𡨙 𡨚 𡨛 𡨜 𡨝 𡨞 𡨟 𡨠 𡨡 𡨢 𡨣 𡨤 𡨥 𡨦 𡨧 𡨨 𡨩 𡨪 𡨫 𡨬 𡨭 𡨮 𡨯 𡨰 𡨱 𡨲 𡨳 𡨴 𡨵 𡨶 𡨷 𡨸 𡨹 𡨺 𡨻 𡨼 𡨽 𡨾 𡨿 𡩀 𡩁 𡩂 𡩃 𡩄 𡩅 𡩆 𡩇 𡩈 𡩉 𡩊 𡩋 𡩌 𡩍 𡩎 𡩏 𡩐 𡩑 𡩒 𡩓 𡩔 𡩕 𡩖 𡩗 𡩘 𡩙 𡩚 𡩛 𡩜 𡩝 𡩞 𡩟 𡩠 𡩡 𡩢 𡩣 𡩤 𡩥 𡩦 𡩧 𡩨 𡩩 𡩪 𡩫 𡩬 𡩭 𡩮 𡩯 𡩰 𡩱 𡩲 𡩳 𡩴 𡩵 𡩶 𡩷 𡩸 𡩹 𡩺 𡩻 𡩼 𡩽 𡩾 𡩿 𡪀 𡪁 𡪂 𡪃 𡪄 𡪅 𡪆 𡪇 𡪈 𡪉 𡪊 𡪋 𡪌 𡪍 𡪎 𡪏 𡪐 𡪑 𡪒 𡪓 𡪔 𡪕 𡪖 𡪗 𡪘 𡪙 𡪚 𡪛 𡪜 𡪝 𡪞 𡪟 𡪠 𡪡 𡪢 𡪣 𡪤 𡪥 𡪦 𡪧 𡪨 𡪩 𡪪 𡪫 𡪬 𡪭 𡪮 𡪯 𡪰 𡪱 𡪲 𡪳 𡪴 𡪵 𡪶 𡪷 𡪸 𡪹 𡪺 𡪻 𡪼 𡪽 𡪾 𡪿 𡫀 𡫁 𡫂 𡫃 𡫄 𡫅 𡫆 𡫇 𡫈 𡫉 𡫊 𡫋 𡫌 𡫍 𡫎 𡫏 𡫐 𡫑 𡫒 𡫓 𡫔 𡫕 𡫖 𡫗 𡫘 𡫙 𡫚 𡫛 𡫜 𡫝 𡫞 𡫟 𡫠 𡫡 𡫢 𡫣 𡫤 𡫥 𡫦 𡫧 𡫨 𡫩 𡫪 𡫫 𡫬 𡫭 𡫮 𡫯 𡫰 𡫱 𡫲 𡫳 𡫴 𡫵 𡫶 𡫷 𡫸 𡫹 𡫺 𡫻 𡫼 𡫽 𡫾 𡫿</t>
        </is>
      </c>
      <c r="R545" s="43" t="inlineStr"/>
      <c r="S545" s="40" t="n"/>
      <c r="V545" s="14">
        <f>(LEN(O545)+1)/2</f>
        <v/>
      </c>
      <c r="W545" s="14">
        <f>ROUNDDOWN((LEN(P545)+1)/2,0)</f>
        <v/>
      </c>
      <c r="X545" s="14">
        <f>ROUNDDOWN((LEN(Q545)+1)/2,0)</f>
        <v/>
      </c>
      <c r="Y545" s="14">
        <f>ROUNDDOWN((LEN(R545)+1)/2,0)</f>
        <v/>
      </c>
      <c r="Z545" s="14">
        <f>ROUNDDOWN((LEN(S545)+1)/2,0)</f>
        <v/>
      </c>
      <c r="AA545" s="56" t="n">
        <v>46150.55873742563</v>
      </c>
    </row>
    <row r="546" ht="102" customHeight="1">
      <c r="B546" s="46" t="inlineStr">
        <is>
          <t>U+21C00-U+21CFF</t>
        </is>
      </c>
      <c r="C546" s="46" t="inlineStr">
        <is>
          <t>CJK Unified Ideographs Extension B</t>
        </is>
      </c>
      <c r="D546" s="54">
        <f>HEX2DEC(MID(B546,3,FIND("-",E546)-3))</f>
        <v/>
      </c>
      <c r="E546" s="46" t="inlineStr">
        <is>
          <t>U+20000-U+2A6DF</t>
        </is>
      </c>
      <c r="F546" s="12" t="n">
        <v>4</v>
      </c>
      <c r="J546" s="19">
        <f>ROUNDDOWN(W546,0)/$V546</f>
        <v/>
      </c>
      <c r="K546" s="19">
        <f>ROUNDDOWN(X546,0)/$V546</f>
        <v/>
      </c>
      <c r="L546" s="19">
        <f>ROUNDDOWN(Y546,0)/$V546</f>
        <v/>
      </c>
      <c r="M546" s="19">
        <f>ROUNDDOWN(Z546,0)/$V546</f>
        <v/>
      </c>
      <c r="O546" s="36" t="inlineStr">
        <is>
          <t>𡬀 𡬁 𡬂 𡬃 𡬄 𡬅 𡬆 𡬇 𡬈 𡬉 𡬊 𡬋 𡬌 𡬍 𡬎 𡬏 𡬐 𡬑 𡬒 𡬓 𡬔 𡬕 𡬖 𡬗 𡬘 𡬙 𡬚 𡬛 𡬜 𡬝 𡬞 𡬟 𡬠 𡬡 𡬢 𡬣 𡬤 𡬥 𡬦 𡬧 𡬨 𡬩 𡬪 𡬫 𡬬 𡬭 𡬮 𡬯 𡬰 𡬱 𡬲 𡬳 𡬴 𡬵 𡬶 𡬷 𡬸 𡬹 𡬺 𡬻 𡬼 𡬽 𡬾 𡬿 𡭀 𡭁 𡭂 𡭃 𡭄 𡭅 𡭆 𡭇 𡭈 𡭉 𡭊 𡭋 𡭌 𡭍 𡭎 𡭏 𡭐 𡭑 𡭒 𡭓 𡭔 𡭕 𡭖 𡭗 𡭘 𡭙 𡭚 𡭛 𡭜 𡭝 𡭞 𡭟 𡭠 𡭡 𡭢 𡭣 𡭤 𡭥 𡭦 𡭧 𡭨 𡭩 𡭪 𡭫 𡭬 𡭭 𡭮 𡭯 𡭰 𡭱 𡭲 𡭳 𡭴 𡭵 𡭶 𡭷 𡭸 𡭹 𡭺 𡭻 𡭼 𡭽 𡭾 𡭿 𡮀 𡮁 𡮂 𡮃 𡮄 𡮅 𡮆 𡮇 𡮈 𡮉 𡮊 𡮋 𡮌 𡮍 𡮎 𡮏 𡮐 𡮑 𡮒 𡮓 𡮔 𡮕 𡮖 𡮗 𡮘 𡮙 𡮚 𡮛 𡮜 𡮝 𡮞 𡮟 𡮠 𡮡 𡮢 𡮣 𡮤 𡮥 𡮦 𡮧 𡮨 𡮩 𡮪 𡮫 𡮬 𡮭 𡮮 𡮯 𡮰 𡮱 𡮲 𡮳 𡮴 𡮵 𡮶 𡮷 𡮸 𡮹 𡮺 𡮻 𡮼 𡮽 𡮾 𡮿 𡯀 𡯁 𡯂 𡯃 𡯄 𡯅 𡯆 𡯇 𡯈 𡯉 𡯊 𡯋 𡯌 𡯍 𡯎 𡯏 𡯐 𡯑 𡯒 𡯓 𡯔 𡯕 𡯖 𡯗 𡯘 𡯙 𡯚 𡯛 𡯜 𡯝 𡯞 𡯟 𡯠 𡯡 𡯢 𡯣 𡯤 𡯥 𡯦 𡯧 𡯨 𡯩 𡯪 𡯫 𡯬 𡯭 𡯮 𡯯 𡯰 𡯱 𡯲 𡯳 𡯴 𡯵 𡯶 𡯷 𡯸 𡯹 𡯺 𡯻 𡯼 𡯽 𡯾 𡯿</t>
        </is>
      </c>
      <c r="P546" s="37" t="inlineStr">
        <is>
          <t>𡬀 𡬁 𡬂 𡬃 𡬄 𡬅 𡬆 𡬇 𡬈 𡬉 𡬊 𡬋 𡬌 𡬍 𡬎 𡬏 𡬐 𡬑 𡬒 𡬓 𡬔 𡬕 𡬖 𡬗 𡬘 𡬙 𡬚 𡬛 𡬜 𡬝 𡬞 𡬟 𡬠 𡬡 𡬢 𡬣 𡬤 𡬥 𡬦 𡬧 𡬨 𡬩 𡬪 𡬫 𡬬 𡬭 𡬮 𡬯 𡬰 𡬱 𡬲 𡬳 𡬴 𡬵 𡬶 𡬷 𡬸 𡬹 𡬺 𡬻 𡬼 𡬽 𡬾 𡬿 𡭀 𡭁 𡭂 𡭃 𡭄 𡭅 𡭆 𡭇 𡭈 𡭉 𡭊 𡭋 𡭌 𡭍 𡭎 𡭏 𡭐 𡭑 𡭒 𡭓 𡭔 𡭕 𡭖 𡭗 𡭘 𡭙 𡭚 𡭛 𡭜 𡭝 𡭞 𡭟 𡭠 𡭡 𡭢 𡭣 𡭤 𡭥 𡭦 𡭧 𡭨 𡭩 𡭪 𡭫 𡭬 𡭭 𡭮 𡭯 𡭰 𡭱 𡭲 𡭳 𡭴 𡭵 𡭶 𡭷 𡭸 𡭹 𡭺 𡭻 𡭼 𡭽 𡭾 𡭿 𡮀 𡮁 𡮂 𡮃 𡮄 𡮅 𡮆 𡮇 𡮈 𡮉 𡮊 𡮋 𡮌 𡮍 𡮎 𡮏 𡮐 𡮑 𡮒 𡮓 𡮔 𡮕 𡮖 𡮗 𡮘 𡮙 𡮚 𡮛 𡮜 𡮝 𡮞 𡮟 𡮠 𡮡 𡮢 𡮣 𡮤 𡮥 𡮦 𡮧 𡮨 𡮩 𡮪 𡮫 𡮬 𡮭 𡮮 𡮯 𡮰 𡮱 𡮲 𡮳 𡮴 𡮵 𡮶 𡮷 𡮸 𡮹 𡮺 𡮻 𡮼 𡮽 𡮾 𡮿 𡯀 𡯁 𡯂 𡯃 𡯄 𡯅 𡯆 𡯇 𡯈 𡯉 𡯊 𡯋 𡯌 𡯍 𡯎 𡯏 𡯐 𡯑 𡯒 𡯓 𡯔 𡯕 𡯖 𡯗 𡯘 𡯙 𡯚 𡯛 𡯜 𡯝 𡯞 𡯟 𡯠 𡯡 𡯢 𡯣 𡯤 𡯥 𡯦 𡯧 𡯨 𡯩 𡯪 𡯫 𡯬 𡯭 𡯮 𡯯 𡯰 𡯱 𡯲 𡯳 𡯴 𡯵 𡯶 𡯷 𡯸 𡯹 𡯺 𡯻 𡯼 𡯽 𡯾 𡯿</t>
        </is>
      </c>
      <c r="Q546" s="38" t="inlineStr">
        <is>
          <t>𡬀 𡬁 𡬂 𡬃 𡬄 𡬅 𡬆 𡬇 𡬈 𡬉 𡬊 𡬋 𡬌 𡬍 𡬎 𡬏 𡬐 𡬑 𡬒 𡬓 𡬔 𡬕 𡬖 𡬗 𡬘 𡬙 𡬚 𡬛 𡬜 𡬝 𡬞 𡬟 𡬠 𡬡 𡬢 𡬣 𡬤 𡬥 𡬦 𡬧 𡬨 𡬩 𡬪 𡬫 𡬬 𡬭 𡬮 𡬯 𡬰 𡬱 𡬲 𡬳 𡬴 𡬵 𡬶 𡬷 𡬸 𡬹 𡬺 𡬻 𡬼 𡬽 𡬾 𡬿 𡭀 𡭁 𡭂 𡭃 𡭄 𡭅 𡭆 𡭇 𡭈 𡭉 𡭊 𡭋 𡭌 𡭍 𡭎 𡭏 𡭐 𡭑 𡭒 𡭓 𡭔 𡭕 𡭖 𡭗 𡭘 𡭙 𡭚 𡭛 𡭜 𡭝 𡭞 𡭟 𡭠 𡭡 𡭢 𡭣 𡭤 𡭥 𡭦 𡭧 𡭨 𡭩 𡭪 𡭫 𡭬 𡭭 𡭮 𡭯 𡭰 𡭱 𡭲 𡭳 𡭴 𡭵 𡭶 𡭷 𡭸 𡭹 𡭺 𡭻 𡭼 𡭽 𡭾 𡭿 𡮀 𡮁 𡮂 𡮃 𡮄 𡮅 𡮆 𡮇 𡮈 𡮉 𡮊 𡮋 𡮌 𡮍 𡮎 𡮏 𡮐 𡮑 𡮒 𡮓 𡮔 𡮕 𡮖 𡮗 𡮘 𡮙 𡮚 𡮛 𡮜 𡮝 𡮞 𡮟 𡮠 𡮡 𡮢 𡮣 𡮤 𡮥 𡮦 𡮧 𡮨 𡮩 𡮪 𡮫 𡮬 𡮭 𡮮 𡮯 𡮰 𡮱 𡮲 𡮳 𡮴 𡮵 𡮶 𡮷 𡮸 𡮹 𡮺 𡮻 𡮼 𡮽 𡮾 𡮿 𡯀 𡯁 𡯂 𡯃 𡯄 𡯅 𡯆 𡯇 𡯈 𡯉 𡯊 𡯋 𡯌 𡯍 𡯎 𡯏 𡯐 𡯑 𡯒 𡯓 𡯔 𡯕 𡯖 𡯗 𡯘 𡯙 𡯚 𡯛 𡯜 𡯝 𡯞 𡯟 𡯠 𡯡 𡯢 𡯣 𡯤 𡯥 𡯦 𡯧 𡯨 𡯩 𡯪 𡯫 𡯬 𡯭 𡯮 𡯯 𡯰 𡯱 𡯲 𡯳 𡯴 𡯵 𡯶 𡯷 𡯸 𡯹 𡯺 𡯻 𡯼 𡯽 𡯾 𡯿</t>
        </is>
      </c>
      <c r="R546" s="43" t="inlineStr"/>
      <c r="S546" s="40" t="n"/>
      <c r="V546" s="14">
        <f>(LEN(O546)+1)/2</f>
        <v/>
      </c>
      <c r="W546" s="14">
        <f>ROUNDDOWN((LEN(P546)+1)/2,0)</f>
        <v/>
      </c>
      <c r="X546" s="14">
        <f>ROUNDDOWN((LEN(Q546)+1)/2,0)</f>
        <v/>
      </c>
      <c r="Y546" s="14">
        <f>ROUNDDOWN((LEN(R546)+1)/2,0)</f>
        <v/>
      </c>
      <c r="Z546" s="14">
        <f>ROUNDDOWN((LEN(S546)+1)/2,0)</f>
        <v/>
      </c>
      <c r="AA546" s="56" t="n">
        <v>46150.55873849149</v>
      </c>
    </row>
    <row r="547" ht="102" customHeight="1">
      <c r="B547" s="46" t="inlineStr">
        <is>
          <t>U+21D00-U+21DFF</t>
        </is>
      </c>
      <c r="C547" s="46" t="inlineStr">
        <is>
          <t>CJK Unified Ideographs Extension B</t>
        </is>
      </c>
      <c r="D547" s="54">
        <f>HEX2DEC(MID(B547,3,FIND("-",E547)-3))</f>
        <v/>
      </c>
      <c r="E547" s="46" t="inlineStr">
        <is>
          <t>U+20000-U+2A6DF</t>
        </is>
      </c>
      <c r="F547" s="12" t="n">
        <v>4</v>
      </c>
      <c r="J547" s="19">
        <f>ROUNDDOWN(W547,0)/$V547</f>
        <v/>
      </c>
      <c r="K547" s="19">
        <f>ROUNDDOWN(X547,0)/$V547</f>
        <v/>
      </c>
      <c r="L547" s="19">
        <f>ROUNDDOWN(Y547,0)/$V547</f>
        <v/>
      </c>
      <c r="M547" s="19">
        <f>ROUNDDOWN(Z547,0)/$V547</f>
        <v/>
      </c>
      <c r="O547" s="36" t="inlineStr">
        <is>
          <t>𡰀 𡰁 𡰂 𡰃 𡰄 𡰅 𡰆 𡰇 𡰈 𡰉 𡰊 𡰋 𡰌 𡰍 𡰎 𡰏 𡰐 𡰑 𡰒 𡰓 𡰔 𡰕 𡰖 𡰗 𡰘 𡰙 𡰚 𡰛 𡰜 𡰝 𡰞 𡰟 𡰠 𡰡 𡰢 𡰣 𡰤 𡰥 𡰦 𡰧 𡰨 𡰩 𡰪 𡰫 𡰬 𡰭 𡰮 𡰯 𡰰 𡰱 𡰲 𡰳 𡰴 𡰵 𡰶 𡰷 𡰸 𡰹 𡰺 𡰻 𡰼 𡰽 𡰾 𡰿 𡱀 𡱁 𡱂 𡱃 𡱄 𡱅 𡱆 𡱇 𡱈 𡱉 𡱊 𡱋 𡱌 𡱍 𡱎 𡱏 𡱐 𡱑 𡱒 𡱓 𡱔 𡱕 𡱖 𡱗 𡱘 𡱙 𡱚 𡱛 𡱜 𡱝 𡱞 𡱟 𡱠 𡱡 𡱢 𡱣 𡱤 𡱥 𡱦 𡱧 𡱨 𡱩 𡱪 𡱫 𡱬 𡱭 𡱮 𡱯 𡱰 𡱱 𡱲 𡱳 𡱴 𡱵 𡱶 𡱷 𡱸 𡱹 𡱺 𡱻 𡱼 𡱽 𡱾 𡱿 𡲀 𡲁 𡲂 𡲃 𡲄 𡲅 𡲆 𡲇 𡲈 𡲉 𡲊 𡲋 𡲌 𡲍 𡲎 𡲏 𡲐 𡲑 𡲒 𡲓 𡲔 𡲕 𡲖 𡲗 𡲘 𡲙 𡲚 𡲛 𡲜 𡲝 𡲞 𡲟 𡲠 𡲡 𡲢 𡲣 𡲤 𡲥 𡲦 𡲧 𡲨 𡲩 𡲪 𡲫 𡲬 𡲭 𡲮 𡲯 𡲰 𡲱 𡲲 𡲳 𡲴 𡲵 𡲶 𡲷 𡲸 𡲹 𡲺 𡲻 𡲼 𡲽 𡲾 𡲿 𡳀 𡳁 𡳂 𡳃 𡳄 𡳅 𡳆 𡳇 𡳈 𡳉 𡳊 𡳋 𡳌 𡳍 𡳎 𡳏 𡳐 𡳑 𡳒 𡳓 𡳔 𡳕 𡳖 𡳗 𡳘 𡳙 𡳚 𡳛 𡳜 𡳝 𡳞 𡳟 𡳠 𡳡 𡳢 𡳣 𡳤 𡳥 𡳦 𡳧 𡳨 𡳩 𡳪 𡳫 𡳬 𡳭 𡳮 𡳯 𡳰 𡳱 𡳲 𡳳 𡳴 𡳵 𡳶 𡳷 𡳸 𡳹 𡳺 𡳻 𡳼 𡳽 𡳾 𡳿</t>
        </is>
      </c>
      <c r="P547" s="37" t="inlineStr">
        <is>
          <t>𡰀 𡰁 𡰂 𡰃 𡰄 𡰅 𡰆 𡰇 𡰈 𡰉 𡰊 𡰋 𡰌 𡰍 𡰎 𡰏 𡰐 𡰑 𡰒 𡰓 𡰔 𡰕 𡰖 𡰗 𡰘 𡰙 𡰚 𡰛 𡰜 𡰝 𡰞 𡰟 𡰠 𡰡 𡰢 𡰣 𡰤 𡰥 𡰦 𡰧 𡰨 𡰩 𡰪 𡰫 𡰬 𡰭 𡰮 𡰯 𡰰 𡰱 𡰲 𡰳 𡰴 𡰵 𡰶 𡰷 𡰸 𡰹 𡰺 𡰻 𡰼 𡰽 𡰾 𡰿 𡱀 𡱁 𡱂 𡱃 𡱄 𡱅 𡱆 𡱇 𡱈 𡱉 𡱊 𡱋 𡱌 𡱍 𡱎 𡱏 𡱐 𡱑 𡱒 𡱓 𡱔 𡱕 𡱖 𡱗 𡱘 𡱙 𡱚 𡱛 𡱜 𡱝 𡱞 𡱟 𡱠 𡱡 𡱢 𡱣 𡱤 𡱥 𡱦 𡱧 𡱨 𡱩 𡱪 𡱫 𡱬 𡱭 𡱮 𡱯 𡱰 𡱱 𡱲 𡱳 𡱴 𡱵 𡱶 𡱷 𡱸 𡱹 𡱺 𡱻 𡱼 𡱽 𡱾 𡱿 𡲀 𡲁 𡲂 𡲃 𡲄 𡲅 𡲆 𡲇 𡲈 𡲉 𡲊 𡲋 𡲌 𡲍 𡲎 𡲏 𡲐 𡲑 𡲒 𡲓 𡲔 𡲕 𡲖 𡲗 𡲘 𡲙 𡲚 𡲛 𡲜 𡲝 𡲞 𡲟 𡲠 𡲡 𡲢 𡲣 𡲤 𡲥 𡲦 𡲧 𡲨 𡲩 𡲪 𡲫 𡲬 𡲭 𡲮 𡲯 𡲰 𡲱 𡲲 𡲳 𡲴 𡲵 𡲶 𡲷 𡲸 𡲹 𡲺 𡲻 𡲼 𡲽 𡲾 𡲿 𡳀 𡳁 𡳂 𡳃 𡳄 𡳅 𡳆 𡳇 𡳈 𡳉 𡳊 𡳋 𡳌 𡳍 𡳎 𡳏 𡳐 𡳑 𡳒 𡳓 𡳔 𡳕 𡳖 𡳗 𡳘 𡳙 𡳚 𡳛 𡳜 𡳝 𡳞 𡳟 𡳠 𡳡 𡳢 𡳣 𡳤 𡳥 𡳦 𡳧 𡳨 𡳩 𡳪 𡳫 𡳬 𡳭 𡳮 𡳯 𡳰 𡳱 𡳲 𡳳 𡳴 𡳵 𡳶 𡳷 𡳸 𡳹 𡳺 𡳻 𡳼 𡳽 𡳾 𡳿</t>
        </is>
      </c>
      <c r="Q547" s="38" t="inlineStr">
        <is>
          <t>𡰀 𡰁 𡰂 𡰃 𡰄 𡰅 𡰆 𡰇 𡰈 𡰉 𡰊 𡰋 𡰌 𡰍 𡰎 𡰏 𡰐 𡰑 𡰒 𡰓 𡰔 𡰕 𡰖 𡰗 𡰘 𡰙 𡰚 𡰛 𡰜 𡰝 𡰞 𡰟 𡰠 𡰡 𡰢 𡰣 𡰤 𡰥 𡰦 𡰧 𡰨 𡰩 𡰪 𡰫 𡰬 𡰭 𡰮 𡰯 𡰰 𡰱 𡰲 𡰳 𡰴 𡰵 𡰶 𡰷 𡰸 𡰹 𡰺 𡰻 𡰼 𡰽 𡰾 𡰿 𡱀 𡱁 𡱂 𡱃 𡱄 𡱅 𡱆 𡱇 𡱈 𡱉 𡱊 𡱋 𡱌 𡱍 𡱎 𡱏 𡱐 𡱑 𡱒 𡱓 𡱔 𡱕 𡱖 𡱗 𡱘 𡱙 𡱚 𡱛 𡱜 𡱝 𡱞 𡱟 𡱠 𡱡 𡱢 𡱣 𡱤 𡱥 𡱦 𡱧 𡱨 𡱩 𡱪 𡱫 𡱬 𡱭 𡱮 𡱯 𡱰 𡱱 𡱲 𡱳 𡱴 𡱵 𡱶 𡱷 𡱸 𡱹 𡱺 𡱻 𡱼 𡱽 𡱾 𡱿 𡲀 𡲁 𡲂 𡲃 𡲄 𡲅 𡲆 𡲇 𡲈 𡲉 𡲊 𡲋 𡲌 𡲍 𡲎 𡲏 𡲐 𡲑 𡲒 𡲓 𡲔 𡲕 𡲖 𡲗 𡲘 𡲙 𡲚 𡲛 𡲜 𡲝 𡲞 𡲟 𡲠 𡲡 𡲢 𡲣 𡲤 𡲥 𡲦 𡲧 𡲨 𡲩 𡲪 𡲫 𡲬 𡲭 𡲮 𡲯 𡲰 𡲱 𡲲 𡲳 𡲴 𡲵 𡲶 𡲷 𡲸 𡲹 𡲺 𡲻 𡲼 𡲽 𡲾 𡲿 𡳀 𡳁 𡳂 𡳃 𡳄 𡳅 𡳆 𡳇 𡳈 𡳉 𡳊 𡳋 𡳌 𡳍 𡳎 𡳏 𡳐 𡳑 𡳒 𡳓 𡳔 𡳕 𡳖 𡳗 𡳘 𡳙 𡳚 𡳛 𡳜 𡳝 𡳞 𡳟 𡳠 𡳡 𡳢 𡳣 𡳤 𡳥 𡳦 𡳧 𡳨 𡳩 𡳪 𡳫 𡳬 𡳭 𡳮 𡳯 𡳰 𡳱 𡳲 𡳳 𡳴 𡳵 𡳶 𡳷 𡳸 𡳹 𡳺 𡳻 𡳼 𡳽 𡳾 𡳿</t>
        </is>
      </c>
      <c r="R547" s="43" t="inlineStr">
        <is>
          <t>𡰪 𡱖 𡲢 𡳞</t>
        </is>
      </c>
      <c r="S547" s="40" t="n"/>
      <c r="V547" s="14">
        <f>(LEN(O547)+1)/2</f>
        <v/>
      </c>
      <c r="W547" s="14">
        <f>ROUNDDOWN((LEN(P547)+1)/2,0)</f>
        <v/>
      </c>
      <c r="X547" s="14">
        <f>ROUNDDOWN((LEN(Q547)+1)/2,0)</f>
        <v/>
      </c>
      <c r="Y547" s="14">
        <f>ROUNDDOWN((LEN(R547)+1)/2,0)</f>
        <v/>
      </c>
      <c r="Z547" s="14">
        <f>ROUNDDOWN((LEN(S547)+1)/2,0)</f>
        <v/>
      </c>
      <c r="AA547" s="56" t="n">
        <v>46150.5587395869</v>
      </c>
    </row>
    <row r="548" ht="102" customHeight="1">
      <c r="B548" s="46" t="inlineStr">
        <is>
          <t>U+21E00-U+21EFF</t>
        </is>
      </c>
      <c r="C548" s="46" t="inlineStr">
        <is>
          <t>CJK Unified Ideographs Extension B</t>
        </is>
      </c>
      <c r="D548" s="54">
        <f>HEX2DEC(MID(B548,3,FIND("-",E548)-3))</f>
        <v/>
      </c>
      <c r="E548" s="46" t="inlineStr">
        <is>
          <t>U+20000-U+2A6DF</t>
        </is>
      </c>
      <c r="F548" s="12" t="n">
        <v>4</v>
      </c>
      <c r="J548" s="19">
        <f>ROUNDDOWN(W548,0)/$V548</f>
        <v/>
      </c>
      <c r="K548" s="19">
        <f>ROUNDDOWN(X548,0)/$V548</f>
        <v/>
      </c>
      <c r="L548" s="19">
        <f>ROUNDDOWN(Y548,0)/$V548</f>
        <v/>
      </c>
      <c r="M548" s="19">
        <f>ROUNDDOWN(Z548,0)/$V548</f>
        <v/>
      </c>
      <c r="O548" s="36" t="inlineStr">
        <is>
          <t>𡴀 𡴁 𡴂 𡴃 𡴄 𡴅 𡴆 𡴇 𡴈 𡴉 𡴊 𡴋 𡴌 𡴍 𡴎 𡴏 𡴐 𡴑 𡴒 𡴓 𡴔 𡴕 𡴖 𡴗 𡴘 𡴙 𡴚 𡴛 𡴜 𡴝 𡴞 𡴟 𡴠 𡴡 𡴢 𡴣 𡴤 𡴥 𡴦 𡴧 𡴨 𡴩 𡴪 𡴫 𡴬 𡴭 𡴮 𡴯 𡴰 𡴱 𡴲 𡴳 𡴴 𡴵 𡴶 𡴷 𡴸 𡴹 𡴺 𡴻 𡴼 𡴽 𡴾 𡴿 𡵀 𡵁 𡵂 𡵃 𡵄 𡵅 𡵆 𡵇 𡵈 𡵉 𡵊 𡵋 𡵌 𡵍 𡵎 𡵏 𡵐 𡵑 𡵒 𡵓 𡵔 𡵕 𡵖 𡵗 𡵘 𡵙 𡵚 𡵛 𡵜 𡵝 𡵞 𡵟 𡵠 𡵡 𡵢 𡵣 𡵤 𡵥 𡵦 𡵧 𡵨 𡵩 𡵪 𡵫 𡵬 𡵭 𡵮 𡵯 𡵰 𡵱 𡵲 𡵳 𡵴 𡵵 𡵶 𡵷 𡵸 𡵹 𡵺 𡵻 𡵼 𡵽 𡵾 𡵿 𡶀 𡶁 𡶂 𡶃 𡶄 𡶅 𡶆 𡶇 𡶈 𡶉 𡶊 𡶋 𡶌 𡶍 𡶎 𡶏 𡶐 𡶑 𡶒 𡶓 𡶔 𡶕 𡶖 𡶗 𡶘 𡶙 𡶚 𡶛 𡶜 𡶝 𡶞 𡶟 𡶠 𡶡 𡶢 𡶣 𡶤 𡶥 𡶦 𡶧 𡶨 𡶩 𡶪 𡶫 𡶬 𡶭 𡶮 𡶯 𡶰 𡶱 𡶲 𡶳 𡶴 𡶵 𡶶 𡶷 𡶸 𡶹 𡶺 𡶻 𡶼 𡶽 𡶾 𡶿 𡷀 𡷁 𡷂 𡷃 𡷄 𡷅 𡷆 𡷇 𡷈 𡷉 𡷊 𡷋 𡷌 𡷍 𡷎 𡷏 𡷐 𡷑 𡷒 𡷓 𡷔 𡷕 𡷖 𡷗 𡷘 𡷙 𡷚 𡷛 𡷜 𡷝 𡷞 𡷟 𡷠 𡷡 𡷢 𡷣 𡷤 𡷥 𡷦 𡷧 𡷨 𡷩 𡷪 𡷫 𡷬 𡷭 𡷮 𡷯 𡷰 𡷱 𡷲 𡷳 𡷴 𡷵 𡷶 𡷷 𡷸 𡷹 𡷺 𡷻 𡷼 𡷽 𡷾 𡷿</t>
        </is>
      </c>
      <c r="P548" s="37" t="inlineStr">
        <is>
          <t>𡴀 𡴁 𡴂 𡴃 𡴄 𡴅 𡴆 𡴇 𡴈 𡴉 𡴊 𡴋 𡴌 𡴍 𡴎 𡴏 𡴐 𡴑 𡴒 𡴓 𡴔 𡴕 𡴖 𡴗 𡴘 𡴙 𡴚 𡴛 𡴜 𡴝 𡴞 𡴟 𡴠 𡴡 𡴢 𡴣 𡴤 𡴥 𡴦 𡴧 𡴨 𡴩 𡴪 𡴫 𡴬 𡴭 𡴮 𡴯 𡴰 𡴱 𡴲 𡴳 𡴴 𡴵 𡴶 𡴷 𡴸 𡴹 𡴺 𡴻 𡴼 𡴽 𡴾 𡴿 𡵀 𡵁 𡵂 𡵃 𡵄 𡵅 𡵆 𡵇 𡵈 𡵉 𡵊 𡵋 𡵌 𡵍 𡵎 𡵏 𡵐 𡵑 𡵒 𡵓 𡵔 𡵕 𡵖 𡵗 𡵘 𡵙 𡵚 𡵛 𡵜 𡵝 𡵞 𡵟 𡵠 𡵡 𡵢 𡵣 𡵤 𡵥 𡵦 𡵧 𡵨 𡵩 𡵪 𡵫 𡵬 𡵭 𡵮 𡵯 𡵰 𡵱 𡵲 𡵳 𡵴 𡵵 𡵶 𡵷 𡵸 𡵹 𡵺 𡵻 𡵼 𡵽 𡵾 𡵿 𡶀 𡶁 𡶂 𡶃 𡶄 𡶅 𡶆 𡶇 𡶈 𡶉 𡶊 𡶋 𡶌 𡶍 𡶎 𡶏 𡶐 𡶑 𡶒 𡶓 𡶔 𡶕 𡶖 𡶗 𡶘 𡶙 𡶚 𡶛 𡶜 𡶝 𡶞 𡶟 𡶠 𡶡 𡶢 𡶣 𡶤 𡶥 𡶦 𡶧 𡶨 𡶩 𡶪 𡶫 𡶬 𡶭 𡶮 𡶯 𡶰 𡶱 𡶲 𡶳 𡶴 𡶵 𡶶 𡶷 𡶸 𡶹 𡶺 𡶻 𡶼 𡶽 𡶾 𡶿 𡷀 𡷁 𡷂 𡷃 𡷄 𡷅 𡷆 𡷇 𡷈 𡷉 𡷊 𡷋 𡷌 𡷍 𡷎 𡷏 𡷐 𡷑 𡷒 𡷓 𡷔 𡷕 𡷖 𡷗 𡷘 𡷙 𡷚 𡷛 𡷜 𡷝 𡷞 𡷟 𡷠 𡷡 𡷢 𡷣 𡷤 𡷥 𡷦 𡷧 𡷨 𡷩 𡷪 𡷫 𡷬 𡷭 𡷮 𡷯 𡷰 𡷱 𡷲 𡷳 𡷴 𡷵 𡷶 𡷷 𡷸 𡷹 𡷺 𡷻 𡷼 𡷽 𡷾 𡷿</t>
        </is>
      </c>
      <c r="Q548" s="38" t="inlineStr">
        <is>
          <t>𡴀 𡴁 𡴂 𡴃 𡴄 𡴅 𡴆 𡴇 𡴈 𡴉 𡴊 𡴋 𡴌 𡴍 𡴎 𡴏 𡴐 𡴑 𡴒 𡴓 𡴔 𡴕 𡴖 𡴗 𡴘 𡴙 𡴚 𡴛 𡴜 𡴝 𡴞 𡴟 𡴠 𡴡 𡴢 𡴣 𡴤 𡴥 𡴦 𡴧 𡴨 𡴩 𡴪 𡴫 𡴬 𡴭 𡴮 𡴯 𡴰 𡴱 𡴲 𡴳 𡴴 𡴵 𡴶 𡴷 𡴸 𡴹 𡴺 𡴻 𡴼 𡴽 𡴾 𡴿 𡵀 𡵁 𡵂 𡵃 𡵄 𡵅 𡵆 𡵇 𡵈 𡵉 𡵊 𡵋 𡵌 𡵍 𡵎 𡵏 𡵐 𡵑 𡵒 𡵓 𡵔 𡵕 𡵖 𡵗 𡵘 𡵙 𡵚 𡵛 𡵜 𡵝 𡵞 𡵟 𡵠 𡵡 𡵢 𡵣 𡵤 𡵥 𡵦 𡵧 𡵨 𡵩 𡵪 𡵫 𡵬 𡵭 𡵮 𡵯 𡵰 𡵱 𡵲 𡵳 𡵴 𡵵 𡵶 𡵷 𡵸 𡵹 𡵺 𡵻 𡵼 𡵽 𡵾 𡵿 𡶀 𡶁 𡶂 𡶃 𡶄 𡶅 𡶆 𡶇 𡶈 𡶉 𡶊 𡶋 𡶌 𡶍 𡶎 𡶏 𡶐 𡶑 𡶒 𡶓 𡶔 𡶕 𡶖 𡶗 𡶘 𡶙 𡶚 𡶛 𡶜 𡶝 𡶞 𡶟 𡶠 𡶡 𡶢 𡶣 𡶤 𡶥 𡶦 𡶧 𡶨 𡶩 𡶪 𡶫 𡶬 𡶭 𡶮 𡶯 𡶰 𡶱 𡶲 𡶳 𡶴 𡶵 𡶶 𡶷 𡶸 𡶹 𡶺 𡶻 𡶼 𡶽 𡶾 𡶿 𡷀 𡷁 𡷂 𡷃 𡷄 𡷅 𡷆 𡷇 𡷈 𡷉 𡷊 𡷋 𡷌 𡷍 𡷎 𡷏 𡷐 𡷑 𡷒 𡷓 𡷔 𡷕 𡷖 𡷗 𡷘 𡷙 𡷚 𡷛 𡷜 𡷝 𡷞 𡷟 𡷠 𡷡 𡷢 𡷣 𡷤 𡷥 𡷦 𡷧 𡷨 𡷩 𡷪 𡷫 𡷬 𡷭 𡷮 𡷯 𡷰 𡷱 𡷲 𡷳 𡷴 𡷵 𡷶 𡷷 𡷸 𡷹 𡷺 𡷻 𡷼 𡷽 𡷾 𡷿</t>
        </is>
      </c>
      <c r="R548" s="43" t="inlineStr">
        <is>
          <t>𡵅 𡵢 𡵸 𡶒 𡶜 𡶡 𡶦 𡶷 𡷑 𡷠</t>
        </is>
      </c>
      <c r="S548" s="40" t="n"/>
      <c r="V548" s="14">
        <f>(LEN(O548)+1)/2</f>
        <v/>
      </c>
      <c r="W548" s="14">
        <f>ROUNDDOWN((LEN(P548)+1)/2,0)</f>
        <v/>
      </c>
      <c r="X548" s="14">
        <f>ROUNDDOWN((LEN(Q548)+1)/2,0)</f>
        <v/>
      </c>
      <c r="Y548" s="14">
        <f>ROUNDDOWN((LEN(R548)+1)/2,0)</f>
        <v/>
      </c>
      <c r="Z548" s="14">
        <f>ROUNDDOWN((LEN(S548)+1)/2,0)</f>
        <v/>
      </c>
      <c r="AA548" s="56" t="n">
        <v>46150.55874073271</v>
      </c>
    </row>
    <row r="549" ht="102" customHeight="1">
      <c r="B549" s="46" t="inlineStr">
        <is>
          <t>U+21F00-U+21FFF</t>
        </is>
      </c>
      <c r="C549" s="46" t="inlineStr">
        <is>
          <t>CJK Unified Ideographs Extension B</t>
        </is>
      </c>
      <c r="D549" s="54">
        <f>HEX2DEC(MID(B549,3,FIND("-",E549)-3))</f>
        <v/>
      </c>
      <c r="E549" s="46" t="inlineStr">
        <is>
          <t>U+20000-U+2A6DF</t>
        </is>
      </c>
      <c r="F549" s="12" t="n">
        <v>4</v>
      </c>
      <c r="J549" s="19">
        <f>ROUNDDOWN(W549,0)/$V549</f>
        <v/>
      </c>
      <c r="K549" s="19">
        <f>ROUNDDOWN(X549,0)/$V549</f>
        <v/>
      </c>
      <c r="L549" s="19">
        <f>ROUNDDOWN(Y549,0)/$V549</f>
        <v/>
      </c>
      <c r="M549" s="19">
        <f>ROUNDDOWN(Z549,0)/$V549</f>
        <v/>
      </c>
      <c r="O549" s="36" t="inlineStr">
        <is>
          <t>𡸀 𡸁 𡸂 𡸃 𡸄 𡸅 𡸆 𡸇 𡸈 𡸉 𡸊 𡸋 𡸌 𡸍 𡸎 𡸏 𡸐 𡸑 𡸒 𡸓 𡸔 𡸕 𡸖 𡸗 𡸘 𡸙 𡸚 𡸛 𡸜 𡸝 𡸞 𡸟 𡸠 𡸡 𡸢 𡸣 𡸤 𡸥 𡸦 𡸧 𡸨 𡸩 𡸪 𡸫 𡸬 𡸭 𡸮 𡸯 𡸰 𡸱 𡸲 𡸳 𡸴 𡸵 𡸶 𡸷 𡸸 𡸹 𡸺 𡸻 𡸼 𡸽 𡸾 𡸿 𡹀 𡹁 𡹂 𡹃 𡹄 𡹅 𡹆 𡹇 𡹈 𡹉 𡹊 𡹋 𡹌 𡹍 𡹎 𡹏 𡹐 𡹑 𡹒 𡹓 𡹔 𡹕 𡹖 𡹗 𡹘 𡹙 𡹚 𡹛 𡹜 𡹝 𡹞 𡹟 𡹠 𡹡 𡹢 𡹣 𡹤 𡹥 𡹦 𡹧 𡹨 𡹩 𡹪 𡹫 𡹬 𡹭 𡹮 𡹯 𡹰 𡹱 𡹲 𡹳 𡹴 𡹵 𡹶 𡹷 𡹸 𡹹 𡹺 𡹻 𡹼 𡹽 𡹾 𡹿 𡺀 𡺁 𡺂 𡺃 𡺄 𡺅 𡺆 𡺇 𡺈 𡺉 𡺊 𡺋 𡺌 𡺍 𡺎 𡺏 𡺐 𡺑 𡺒 𡺓 𡺔 𡺕 𡺖 𡺗 𡺘 𡺙 𡺚 𡺛 𡺜 𡺝 𡺞 𡺟 𡺠 𡺡 𡺢 𡺣 𡺤 𡺥 𡺦 𡺧 𡺨 𡺩 𡺪 𡺫 𡺬 𡺭 𡺮 𡺯 𡺰 𡺱 𡺲 𡺳 𡺴 𡺵 𡺶 𡺷 𡺸 𡺹 𡺺 𡺻 𡺼 𡺽 𡺾 𡺿 𡻀 𡻁 𡻂 𡻃 𡻄 𡻅 𡻆 𡻇 𡻈 𡻉 𡻊 𡻋 𡻌 𡻍 𡻎 𡻏 𡻐 𡻑 𡻒 𡻓 𡻔 𡻕 𡻖 𡻗 𡻘 𡻙 𡻚 𡻛 𡻜 𡻝 𡻞 𡻟 𡻠 𡻡 𡻢 𡻣 𡻤 𡻥 𡻦 𡻧 𡻨 𡻩 𡻪 𡻫 𡻬 𡻭 𡻮 𡻯 𡻰 𡻱 𡻲 𡻳 𡻴 𡻵 𡻶 𡻷 𡻸 𡻹 𡻺 𡻻 𡻼 𡻽 𡻾 𡻿</t>
        </is>
      </c>
      <c r="P549" s="37" t="inlineStr">
        <is>
          <t>𡸀 𡸁 𡸂 𡸃 𡸄 𡸅 𡸆 𡸇 𡸈 𡸉 𡸊 𡸋 𡸌 𡸍 𡸎 𡸏 𡸐 𡸑 𡸒 𡸓 𡸔 𡸕 𡸖 𡸗 𡸘 𡸙 𡸚 𡸛 𡸜 𡸝 𡸞 𡸟 𡸠 𡸡 𡸢 𡸣 𡸤 𡸥 𡸦 𡸧 𡸨 𡸩 𡸪 𡸫 𡸬 𡸭 𡸮 𡸯 𡸰 𡸱 𡸲 𡸳 𡸴 𡸵 𡸶 𡸷 𡸸 𡸹 𡸺 𡸻 𡸼 𡸽 𡸾 𡸿 𡹀 𡹁 𡹂 𡹃 𡹄 𡹅 𡹆 𡹇 𡹈 𡹉 𡹊 𡹋 𡹌 𡹍 𡹎 𡹏 𡹐 𡹑 𡹒 𡹓 𡹔 𡹕 𡹖 𡹗 𡹘 𡹙 𡹚 𡹛 𡹜 𡹝 𡹞 𡹟 𡹠 𡹡 𡹢 𡹣 𡹤 𡹥 𡹦 𡹧 𡹨 𡹩 𡹪 𡹫 𡹬 𡹭 𡹮 𡹯 𡹰 𡹱 𡹲 𡹳 𡹴 𡹵 𡹶 𡹷 𡹸 𡹹 𡹺 𡹻 𡹼 𡹽 𡹾 𡹿 𡺀 𡺁 𡺂 𡺃 𡺄 𡺅 𡺆 𡺇 𡺈 𡺉 𡺊 𡺋 𡺌 𡺍 𡺎 𡺏 𡺐 𡺑 𡺒 𡺓 𡺔 𡺕 𡺖 𡺗 𡺘 𡺙 𡺚 𡺛 𡺜 𡺝 𡺞 𡺟 𡺠 𡺡 𡺢 𡺣 𡺤 𡺥 𡺦 𡺧 𡺨 𡺩 𡺪 𡺫 𡺬 𡺭 𡺮 𡺯 𡺰 𡺱 𡺲 𡺳 𡺴 𡺵 𡺶 𡺷 𡺸 𡺹 𡺺 𡺻 𡺼 𡺽 𡺾 𡺿 𡻀 𡻁 𡻂 𡻃 𡻄 𡻅 𡻆 𡻇 𡻈 𡻉 𡻊 𡻋 𡻌 𡻍 𡻎 𡻏 𡻐 𡻑 𡻒 𡻓 𡻔 𡻕 𡻖 𡻗 𡻘 𡻙 𡻚 𡻛 𡻜 𡻝 𡻞 𡻟 𡻠 𡻡 𡻢 𡻣 𡻤 𡻥 𡻦 𡻧 𡻨 𡻩 𡻪 𡻫 𡻬 𡻭 𡻮 𡻯 𡻰 𡻱 𡻲 𡻳 𡻴 𡻵 𡻶 𡻷 𡻸 𡻹 𡻺 𡻻 𡻼 𡻽 𡻾 𡻿</t>
        </is>
      </c>
      <c r="Q549" s="38" t="inlineStr">
        <is>
          <t>𡸀 𡸁 𡸂 𡸃 𡸄 𡸅 𡸆 𡸇 𡸈 𡸉 𡸊 𡸋 𡸌 𡸍 𡸎 𡸏 𡸐 𡸑 𡸒 𡸓 𡸔 𡸕 𡸖 𡸗 𡸘 𡸙 𡸚 𡸛 𡸜 𡸝 𡸞 𡸟 𡸠 𡸡 𡸢 𡸣 𡸤 𡸥 𡸦 𡸧 𡸨 𡸩 𡸪 𡸫 𡸬 𡸭 𡸮 𡸯 𡸰 𡸱 𡸲 𡸳 𡸴 𡸵 𡸶 𡸷 𡸸 𡸹 𡸺 𡸻 𡸼 𡸽 𡸾 𡸿 𡹀 𡹁 𡹂 𡹃 𡹄 𡹅 𡹆 𡹇 𡹈 𡹉 𡹊 𡹋 𡹌 𡹍 𡹎 𡹏 𡹐 𡹑 𡹒 𡹓 𡹔 𡹕 𡹖 𡹗 𡹘 𡹙 𡹚 𡹛 𡹜 𡹝 𡹞 𡹟 𡹠 𡹡 𡹢 𡹣 𡹤 𡹥 𡹦 𡹧 𡹨 𡹩 𡹪 𡹫 𡹬 𡹭 𡹮 𡹯 𡹰 𡹱 𡹲 𡹳 𡹴 𡹵 𡹶 𡹷 𡹸 𡹹 𡹺 𡹻 𡹼 𡹽 𡹾 𡹿 𡺀 𡺁 𡺂 𡺃 𡺄 𡺅 𡺆 𡺇 𡺈 𡺉 𡺊 𡺋 𡺌 𡺍 𡺎 𡺏 𡺐 𡺑 𡺒 𡺓 𡺔 𡺕 𡺖 𡺗 𡺘 𡺙 𡺚 𡺛 𡺜 𡺝 𡺞 𡺟 𡺠 𡺡 𡺢 𡺣 𡺤 𡺥 𡺦 𡺧 𡺨 𡺩 𡺪 𡺫 𡺬 𡺭 𡺮 𡺯 𡺰 𡺱 𡺲 𡺳 𡺴 𡺵 𡺶 𡺷 𡺸 𡺹 𡺺 𡺻 𡺼 𡺽 𡺾 𡺿 𡻀 𡻁 𡻂 𡻃 𡻄 𡻅 𡻆 𡻇 𡻈 𡻉 𡻊 𡻋 𡻌 𡻍 𡻎 𡻏 𡻐 𡻑 𡻒 𡻓 𡻔 𡻕 𡻖 𡻗 𡻘 𡻙 𡻚 𡻛 𡻜 𡻝 𡻞 𡻟 𡻠 𡻡 𡻢 𡻣 𡻤 𡻥 𡻦 𡻧 𡻨 𡻩 𡻪 𡻫 𡻬 𡻭 𡻮 𡻯 𡻰 𡻱 𡻲 𡻳 𡻴 𡻵 𡻶 𡻷 𡻸 𡻹 𡻺 𡻻 𡻼 𡻽 𡻾 𡻿</t>
        </is>
      </c>
      <c r="R549" s="43" t="inlineStr">
        <is>
          <t>𡸳 𡸴 𡺎</t>
        </is>
      </c>
      <c r="S549" s="40" t="n"/>
      <c r="V549" s="14">
        <f>(LEN(O549)+1)/2</f>
        <v/>
      </c>
      <c r="W549" s="14">
        <f>ROUNDDOWN((LEN(P549)+1)/2,0)</f>
        <v/>
      </c>
      <c r="X549" s="14">
        <f>ROUNDDOWN((LEN(Q549)+1)/2,0)</f>
        <v/>
      </c>
      <c r="Y549" s="14">
        <f>ROUNDDOWN((LEN(R549)+1)/2,0)</f>
        <v/>
      </c>
      <c r="Z549" s="14">
        <f>ROUNDDOWN((LEN(S549)+1)/2,0)</f>
        <v/>
      </c>
      <c r="AA549" s="56" t="n">
        <v>46150.55874180642</v>
      </c>
    </row>
    <row r="550" ht="102" customHeight="1">
      <c r="B550" s="46" t="inlineStr">
        <is>
          <t>U+22000-U+220FF</t>
        </is>
      </c>
      <c r="C550" s="46" t="inlineStr">
        <is>
          <t>CJK Unified Ideographs Extension B</t>
        </is>
      </c>
      <c r="D550" s="54">
        <f>HEX2DEC(MID(B550,3,FIND("-",E550)-3))</f>
        <v/>
      </c>
      <c r="E550" s="46" t="inlineStr">
        <is>
          <t>U+20000-U+2A6DF</t>
        </is>
      </c>
      <c r="F550" s="12" t="n">
        <v>4</v>
      </c>
      <c r="J550" s="19">
        <f>ROUNDDOWN(W550,0)/$V550</f>
        <v/>
      </c>
      <c r="K550" s="19">
        <f>ROUNDDOWN(X550,0)/$V550</f>
        <v/>
      </c>
      <c r="L550" s="19">
        <f>ROUNDDOWN(Y550,0)/$V550</f>
        <v/>
      </c>
      <c r="M550" s="19">
        <f>ROUNDDOWN(Z550,0)/$V550</f>
        <v/>
      </c>
      <c r="O550" s="36" t="inlineStr">
        <is>
          <t>𡼀 𡼁 𡼂 𡼃 𡼄 𡼅 𡼆 𡼇 𡼈 𡼉 𡼊 𡼋 𡼌 𡼍 𡼎 𡼏 𡼐 𡼑 𡼒 𡼓 𡼔 𡼕 𡼖 𡼗 𡼘 𡼙 𡼚 𡼛 𡼜 𡼝 𡼞 𡼟 𡼠 𡼡 𡼢 𡼣 𡼤 𡼥 𡼦 𡼧 𡼨 𡼩 𡼪 𡼫 𡼬 𡼭 𡼮 𡼯 𡼰 𡼱 𡼲 𡼳 𡼴 𡼵 𡼶 𡼷 𡼸 𡼹 𡼺 𡼻 𡼼 𡼽 𡼾 𡼿 𡽀 𡽁 𡽂 𡽃 𡽄 𡽅 𡽆 𡽇 𡽈 𡽉 𡽊 𡽋 𡽌 𡽍 𡽎 𡽏 𡽐 𡽑 𡽒 𡽓 𡽔 𡽕 𡽖 𡽗 𡽘 𡽙 𡽚 𡽛 𡽜 𡽝 𡽞 𡽟 𡽠 𡽡 𡽢 𡽣 𡽤 𡽥 𡽦 𡽧 𡽨 𡽩 𡽪 𡽫 𡽬 𡽭 𡽮 𡽯 𡽰 𡽱 𡽲 𡽳 𡽴 𡽵 𡽶 𡽷 𡽸 𡽹 𡽺 𡽻 𡽼 𡽽 𡽾 𡽿 𡾀 𡾁 𡾂 𡾃 𡾄 𡾅 𡾆 𡾇 𡾈 𡾉 𡾊 𡾋 𡾌 𡾍 𡾎 𡾏 𡾐 𡾑 𡾒 𡾓 𡾔 𡾕 𡾖 𡾗 𡾘 𡾙 𡾚 𡾛 𡾜 𡾝 𡾞 𡾟 𡾠 𡾡 𡾢 𡾣 𡾤 𡾥 𡾦 𡾧 𡾨 𡾩 𡾪 𡾫 𡾬 𡾭 𡾮 𡾯 𡾰 𡾱 𡾲 𡾳 𡾴 𡾵 𡾶 𡾷 𡾸 𡾹 𡾺 𡾻 𡾼 𡾽 𡾾 𡾿 𡿀 𡿁 𡿂 𡿃 𡿄 𡿅 𡿆 𡿇 𡿈 𡿉 𡿊 𡿋 𡿌 𡿍 𡿎 𡿏 𡿐 𡿑 𡿒 𡿓 𡿔 𡿕 𡿖 𡿗 𡿘 𡿙 𡿚 𡿛 𡿜 𡿝 𡿞 𡿟 𡿠 𡿡 𡿢 𡿣 𡿤 𡿥 𡿦 𡿧 𡿨 𡿩 𡿪 𡿫 𡿬 𡿭 𡿮 𡿯 𡿰 𡿱 𡿲 𡿳 𡿴 𡿵 𡿶 𡿷 𡿸 𡿹 𡿺 𡿻 𡿼 𡿽 𡿾 𡿿</t>
        </is>
      </c>
      <c r="P550" s="37" t="inlineStr">
        <is>
          <t>𡼀 𡼁 𡼂 𡼃 𡼄 𡼅 𡼆 𡼇 𡼈 𡼉 𡼊 𡼋 𡼌 𡼍 𡼎 𡼏 𡼐 𡼑 𡼒 𡼓 𡼔 𡼕 𡼖 𡼗 𡼘 𡼙 𡼚 𡼛 𡼜 𡼝 𡼞 𡼟 𡼠 𡼡 𡼢 𡼣 𡼤 𡼥 𡼦 𡼧 𡼨 𡼩 𡼪 𡼫 𡼬 𡼭 𡼮 𡼯 𡼰 𡼱 𡼲 𡼳 𡼴 𡼵 𡼶 𡼷 𡼸 𡼹 𡼺 𡼻 𡼼 𡼽 𡼾 𡼿 𡽀 𡽁 𡽂 𡽃 𡽄 𡽅 𡽆 𡽇 𡽈 𡽉 𡽊 𡽋 𡽌 𡽍 𡽎 𡽏 𡽐 𡽑 𡽒 𡽓 𡽔 𡽕 𡽖 𡽗 𡽘 𡽙 𡽚 𡽛 𡽜 𡽝 𡽞 𡽟 𡽠 𡽡 𡽢 𡽣 𡽤 𡽥 𡽦 𡽧 𡽨 𡽩 𡽪 𡽫 𡽬 𡽭 𡽮 𡽯 𡽰 𡽱 𡽲 𡽳 𡽴 𡽵 𡽶 𡽷 𡽸 𡽹 𡽺 𡽻 𡽼 𡽽 𡽾 𡽿 𡾀 𡾁 𡾂 𡾃 𡾄 𡾅 𡾆 𡾇 𡾈 𡾉 𡾊 𡾋 𡾌 𡾍 𡾎 𡾏 𡾐 𡾑 𡾒 𡾓 𡾔 𡾕 𡾖 𡾗 𡾘 𡾙 𡾚 𡾛 𡾜 𡾝 𡾞 𡾟 𡾠 𡾡 𡾢 𡾣 𡾤 𡾥 𡾦 𡾧 𡾨 𡾩 𡾪 𡾫 𡾬 𡾭 𡾮 𡾯 𡾰 𡾱 𡾲 𡾳 𡾴 𡾵 𡾶 𡾷 𡾸 𡾹 𡾺 𡾻 𡾼 𡾽 𡾾 𡾿 𡿀 𡿁 𡿂 𡿃 𡿄 𡿅 𡿆 𡿇 𡿈 𡿉 𡿊 𡿋 𡿌 𡿍 𡿎 𡿏 𡿐 𡿑 𡿒 𡿓 𡿔 𡿕 𡿖 𡿗 𡿘 𡿙 𡿚 𡿛 𡿜 𡿝 𡿞 𡿟 𡿠 𡿡 𡿢 𡿣 𡿤 𡿥 𡿦 𡿧 𡿨 𡿩 𡿪 𡿫 𡿬 𡿭 𡿮 𡿯 𡿰 𡿱 𡿲 𡿳 𡿴 𡿵 𡿶 𡿷 𡿸 𡿹 𡿺 𡿻 𡿼 𡿽 𡿾 𡿿</t>
        </is>
      </c>
      <c r="Q550" s="38" t="inlineStr">
        <is>
          <t>𡼀 𡼁 𡼂 𡼃 𡼄 𡼅 𡼆 𡼇 𡼈 𡼉 𡼊 𡼋 𡼌 𡼍 𡼎 𡼏 𡼐 𡼑 𡼒 𡼓 𡼔 𡼕 𡼖 𡼗 𡼘 𡼙 𡼚 𡼛 𡼜 𡼝 𡼞 𡼟 𡼠 𡼡 𡼢 𡼣 𡼤 𡼥 𡼦 𡼧 𡼨 𡼩 𡼪 𡼫 𡼬 𡼭 𡼮 𡼯 𡼰 𡼱 𡼲 𡼳 𡼴 𡼵 𡼶 𡼷 𡼸 𡼹 𡼺 𡼻 𡼼 𡼽 𡼾 𡼿 𡽀 𡽁 𡽂 𡽃 𡽄 𡽅 𡽆 𡽇 𡽈 𡽉 𡽊 𡽋 𡽌 𡽍 𡽎 𡽏 𡽐 𡽑 𡽒 𡽓 𡽔 𡽕 𡽖 𡽗 𡽘 𡽙 𡽚 𡽛 𡽜 𡽝 𡽞 𡽟 𡽠 𡽡 𡽢 𡽣 𡽤 𡽥 𡽦 𡽧 𡽨 𡽩 𡽪 𡽫 𡽬 𡽭 𡽮 𡽯 𡽰 𡽱 𡽲 𡽳 𡽴 𡽵 𡽶 𡽷 𡽸 𡽹 𡽺 𡽻 𡽼 𡽽 𡽾 𡽿 𡾀 𡾁 𡾂 𡾃 𡾄 𡾅 𡾆 𡾇 𡾈 𡾉 𡾊 𡾋 𡾌 𡾍 𡾎 𡾏 𡾐 𡾑 𡾒 𡾓 𡾔 𡾕 𡾖 𡾗 𡾘 𡾙 𡾚 𡾛 𡾜 𡾝 𡾞 𡾟 𡾠 𡾡 𡾢 𡾣 𡾤 𡾥 𡾦 𡾧 𡾨 𡾩 𡾪 𡾫 𡾬 𡾭 𡾮 𡾯 𡾰 𡾱 𡾲 𡾳 𡾴 𡾵 𡾶 𡾷 𡾸 𡾹 𡾺 𡾻 𡾼 𡾽 𡾾 𡾿 𡿀 𡿁 𡿂 𡿃 𡿄 𡿅 𡿆 𡿇 𡿈 𡿉 𡿊 𡿋 𡿌 𡿍 𡿎 𡿏 𡿐 𡿑 𡿒 𡿓 𡿔 𡿕 𡿖 𡿗 𡿘 𡿙 𡿚 𡿛 𡿜 𡿝 𡿞 𡿟 𡿠 𡿡 𡿢 𡿣 𡿤 𡿥 𡿦 𡿧 𡿨 𡿩 𡿪 𡿫 𡿬 𡿭 𡿮 𡿯 𡿰 𡿱 𡿲 𡿳 𡿴 𡿵 𡿶 𡿷 𡿸 𡿹 𡿺 𡿻 𡿼 𡿽 𡿾 𡿿</t>
        </is>
      </c>
      <c r="R550" s="43" t="inlineStr">
        <is>
          <t>𡼞 𡽶 𡿺</t>
        </is>
      </c>
      <c r="S550" s="40" t="n"/>
      <c r="V550" s="14">
        <f>(LEN(O550)+1)/2</f>
        <v/>
      </c>
      <c r="W550" s="14">
        <f>ROUNDDOWN((LEN(P550)+1)/2,0)</f>
        <v/>
      </c>
      <c r="X550" s="14">
        <f>ROUNDDOWN((LEN(Q550)+1)/2,0)</f>
        <v/>
      </c>
      <c r="Y550" s="14">
        <f>ROUNDDOWN((LEN(R550)+1)/2,0)</f>
        <v/>
      </c>
      <c r="Z550" s="14">
        <f>ROUNDDOWN((LEN(S550)+1)/2,0)</f>
        <v/>
      </c>
      <c r="AA550" s="56" t="n">
        <v>46150.55874289027</v>
      </c>
    </row>
    <row r="551" ht="102" customHeight="1">
      <c r="B551" s="46" t="inlineStr">
        <is>
          <t>U+22100-U+221FF</t>
        </is>
      </c>
      <c r="C551" s="46" t="inlineStr">
        <is>
          <t>CJK Unified Ideographs Extension B</t>
        </is>
      </c>
      <c r="D551" s="54">
        <f>HEX2DEC(MID(B551,3,FIND("-",E551)-3))</f>
        <v/>
      </c>
      <c r="E551" s="46" t="inlineStr">
        <is>
          <t>U+20000-U+2A6DF</t>
        </is>
      </c>
      <c r="F551" s="12" t="n">
        <v>4</v>
      </c>
      <c r="J551" s="19">
        <f>ROUNDDOWN(W551,0)/$V551</f>
        <v/>
      </c>
      <c r="K551" s="19">
        <f>ROUNDDOWN(X551,0)/$V551</f>
        <v/>
      </c>
      <c r="L551" s="19">
        <f>ROUNDDOWN(Y551,0)/$V551</f>
        <v/>
      </c>
      <c r="M551" s="19">
        <f>ROUNDDOWN(Z551,0)/$V551</f>
        <v/>
      </c>
      <c r="O551" s="36" t="inlineStr">
        <is>
          <t>𢀀 𢀁 𢀂 𢀃 𢀄 𢀅 𢀆 𢀇 𢀈 𢀉 𢀊 𢀋 𢀌 𢀍 𢀎 𢀏 𢀐 𢀑 𢀒 𢀓 𢀔 𢀕 𢀖 𢀗 𢀘 𢀙 𢀚 𢀛 𢀜 𢀝 𢀞 𢀟 𢀠 𢀡 𢀢 𢀣 𢀤 𢀥 𢀦 𢀧 𢀨 𢀩 𢀪 𢀫 𢀬 𢀭 𢀮 𢀯 𢀰 𢀱 𢀲 𢀳 𢀴 𢀵 𢀶 𢀷 𢀸 𢀹 𢀺 𢀻 𢀼 𢀽 𢀾 𢀿 𢁀 𢁁 𢁂 𢁃 𢁄 𢁅 𢁆 𢁇 𢁈 𢁉 𢁊 𢁋 𢁌 𢁍 𢁎 𢁏 𢁐 𢁑 𢁒 𢁓 𢁔 𢁕 𢁖 𢁗 𢁘 𢁙 𢁚 𢁛 𢁜 𢁝 𢁞 𢁟 𢁠 𢁡 𢁢 𢁣 𢁤 𢁥 𢁦 𢁧 𢁨 𢁩 𢁪 𢁫 𢁬 𢁭 𢁮 𢁯 𢁰 𢁱 𢁲 𢁳 𢁴 𢁵 𢁶 𢁷 𢁸 𢁹 𢁺 𢁻 𢁼 𢁽 𢁾 𢁿 𢂀 𢂁 𢂂 𢂃 𢂄 𢂅 𢂆 𢂇 𢂈 𢂉 𢂊 𢂋 𢂌 𢂍 𢂎 𢂏 𢂐 𢂑 𢂒 𢂓 𢂔 𢂕 𢂖 𢂗 𢂘 𢂙 𢂚 𢂛 𢂜 𢂝 𢂞 𢂟 𢂠 𢂡 𢂢 𢂣 𢂤 𢂥 𢂦 𢂧 𢂨 𢂩 𢂪 𢂫 𢂬 𢂭 𢂮 𢂯 𢂰 𢂱 𢂲 𢂳 𢂴 𢂵 𢂶 𢂷 𢂸 𢂹 𢂺 𢂻 𢂼 𢂽 𢂾 𢂿 𢃀 𢃁 𢃂 𢃃 𢃄 𢃅 𢃆 𢃇 𢃈 𢃉 𢃊 𢃋 𢃌 𢃍 𢃎 𢃏 𢃐 𢃑 𢃒 𢃓 𢃔 𢃕 𢃖 𢃗 𢃘 𢃙 𢃚 𢃛 𢃜 𢃝 𢃞 𢃟 𢃠 𢃡 𢃢 𢃣 𢃤 𢃥 𢃦 𢃧 𢃨 𢃩 𢃪 𢃫 𢃬 𢃭 𢃮 𢃯 𢃰 𢃱 𢃲 𢃳 𢃴 𢃵 𢃶 𢃷 𢃸 𢃹 𢃺 𢃻 𢃼 𢃽 𢃾 𢃿</t>
        </is>
      </c>
      <c r="P551" s="37" t="inlineStr">
        <is>
          <t>𢀀 𢀁 𢀂 𢀃 𢀄 𢀅 𢀆 𢀇 𢀈 𢀉 𢀊 𢀋 𢀌 𢀍 𢀎 𢀏 𢀐 𢀑 𢀒 𢀓 𢀔 𢀕 𢀖 𢀗 𢀘 𢀙 𢀚 𢀛 𢀜 𢀝 𢀞 𢀟 𢀠 𢀡 𢀢 𢀣 𢀤 𢀥 𢀦 𢀧 𢀨 𢀩 𢀪 𢀫 𢀬 𢀭 𢀮 𢀯 𢀰 𢀱 𢀲 𢀳 𢀴 𢀵 𢀶 𢀷 𢀸 𢀹 𢀺 𢀻 𢀼 𢀽 𢀾 𢀿 𢁀 𢁁 𢁂 𢁃 𢁄 𢁅 𢁆 𢁇 𢁈 𢁉 𢁊 𢁋 𢁌 𢁍 𢁎 𢁏 𢁐 𢁑 𢁒 𢁓 𢁔 𢁕 𢁖 𢁗 𢁘 𢁙 𢁚 𢁛 𢁜 𢁝 𢁞 𢁟 𢁠 𢁡 𢁢 𢁣 𢁤 𢁥 𢁦 𢁧 𢁨 𢁩 𢁪 𢁫 𢁬 𢁭 𢁮 𢁯 𢁰 𢁱 𢁲 𢁳 𢁴 𢁵 𢁶 𢁷 𢁸 𢁹 𢁺 𢁻 𢁼 𢁽 𢁾 𢁿 𢂀 𢂁 𢂂 𢂃 𢂄 𢂅 𢂆 𢂇 𢂈 𢂉 𢂊 𢂋 𢂌 𢂍 𢂎 𢂏 𢂐 𢂑 𢂒 𢂓 𢂔 𢂕 𢂖 𢂗 𢂘 𢂙 𢂚 𢂛 𢂜 𢂝 𢂞 𢂟 𢂠 𢂡 𢂢 𢂣 𢂤 𢂥 𢂦 𢂧 𢂨 𢂩 𢂪 𢂫 𢂬 𢂭 𢂮 𢂯 𢂰 𢂱 𢂲 𢂳 𢂴 𢂵 𢂶 𢂷 𢂸 𢂹 𢂺 𢂻 𢂼 𢂽 𢂾 𢂿 𢃀 𢃁 𢃂 𢃃 𢃄 𢃅 𢃆 𢃇 𢃈 𢃉 𢃊 𢃋 𢃌 𢃍 𢃎 𢃏 𢃐 𢃑 𢃒 𢃓 𢃔 𢃕 𢃖 𢃗 𢃘 𢃙 𢃚 𢃛 𢃜 𢃝 𢃞 𢃟 𢃠 𢃡 𢃢 𢃣 𢃤 𢃥 𢃦 𢃧 𢃨 𢃩 𢃪 𢃫 𢃬 𢃭 𢃮 𢃯 𢃰 𢃱 𢃲 𢃳 𢃴 𢃵 𢃶 𢃷 𢃸 𢃹 𢃺 𢃻 𢃼 𢃽 𢃾 𢃿</t>
        </is>
      </c>
      <c r="Q551" s="38" t="inlineStr">
        <is>
          <t>𢀀 𢀁 𢀂 𢀃 𢀄 𢀅 𢀆 𢀇 𢀈 𢀉 𢀊 𢀋 𢀌 𢀍 𢀎 𢀏 𢀐 𢀑 𢀒 𢀓 𢀔 𢀕 𢀖 𢀗 𢀘 𢀙 𢀚 𢀛 𢀜 𢀝 𢀞 𢀟 𢀠 𢀡 𢀢 𢀣 𢀤 𢀥 𢀦 𢀧 𢀨 𢀩 𢀪 𢀫 𢀬 𢀭 𢀮 𢀯 𢀰 𢀱 𢀲 𢀳 𢀴 𢀵 𢀶 𢀷 𢀸 𢀹 𢀺 𢀻 𢀼 𢀽 𢀾 𢀿 𢁀 𢁁 𢁂 𢁃 𢁄 𢁅 𢁆 𢁇 𢁈 𢁉 𢁊 𢁋 𢁌 𢁍 𢁎 𢁏 𢁐 𢁑 𢁒 𢁓 𢁔 𢁕 𢁖 𢁗 𢁘 𢁙 𢁚 𢁛 𢁜 𢁝 𢁞 𢁟 𢁠 𢁡 𢁢 𢁣 𢁤 𢁥 𢁦 𢁧 𢁨 𢁩 𢁪 𢁫 𢁬 𢁭 𢁮 𢁯 𢁰 𢁱 𢁲 𢁳 𢁴 𢁵 𢁶 𢁷 𢁸 𢁹 𢁺 𢁻 𢁼 𢁽 𢁾 𢁿 𢂀 𢂁 𢂂 𢂃 𢂄 𢂅 𢂆 𢂇 𢂈 𢂉 𢂊 𢂋 𢂌 𢂍 𢂎 𢂏 𢂐 𢂑 𢂒 𢂓 𢂔 𢂕 𢂖 𢂗 𢂘 𢂙 𢂚 𢂛 𢂜 𢂝 𢂞 𢂟 𢂠 𢂡 𢂢 𢂣 𢂤 𢂥 𢂦 𢂧 𢂨 𢂩 𢂪 𢂫 𢂬 𢂭 𢂮 𢂯 𢂰 𢂱 𢂲 𢂳 𢂴 𢂵 𢂶 𢂷 𢂸 𢂹 𢂺 𢂻 𢂼 𢂽 𢂾 𢂿 𢃀 𢃁 𢃂 𢃃 𢃄 𢃅 𢃆 𢃇 𢃈 𢃉 𢃊 𢃋 𢃌 𢃍 𢃎 𢃏 𢃐 𢃑 𢃒 𢃓 𢃔 𢃕 𢃖 𢃗 𢃘 𢃙 𢃚 𢃛 𢃜 𢃝 𢃞 𢃟 𢃠 𢃡 𢃢 𢃣 𢃤 𢃥 𢃦 𢃧 𢃨 𢃩 𢃪 𢃫 𢃬 𢃭 𢃮 𢃯 𢃰 𢃱 𢃲 𢃳 𢃴 𢃵 𢃶 𢃷 𢃸 𢃹 𢃺 𢃻 𢃼 𢃽 𢃾 𢃿</t>
        </is>
      </c>
      <c r="R551" s="43" t="inlineStr">
        <is>
          <t>𢀖 𢃇</t>
        </is>
      </c>
      <c r="S551" s="40" t="n"/>
      <c r="V551" s="14">
        <f>(LEN(O551)+1)/2</f>
        <v/>
      </c>
      <c r="W551" s="14">
        <f>ROUNDDOWN((LEN(P551)+1)/2,0)</f>
        <v/>
      </c>
      <c r="X551" s="14">
        <f>ROUNDDOWN((LEN(Q551)+1)/2,0)</f>
        <v/>
      </c>
      <c r="Y551" s="14">
        <f>ROUNDDOWN((LEN(R551)+1)/2,0)</f>
        <v/>
      </c>
      <c r="Z551" s="14">
        <f>ROUNDDOWN((LEN(S551)+1)/2,0)</f>
        <v/>
      </c>
      <c r="AA551" s="56" t="n">
        <v>46150.55874395688</v>
      </c>
    </row>
    <row r="552" ht="102" customHeight="1">
      <c r="B552" s="46" t="inlineStr">
        <is>
          <t>U+22200-U+222FF</t>
        </is>
      </c>
      <c r="C552" s="46" t="inlineStr">
        <is>
          <t>CJK Unified Ideographs Extension B</t>
        </is>
      </c>
      <c r="D552" s="54">
        <f>HEX2DEC(MID(B552,3,FIND("-",E552)-3))</f>
        <v/>
      </c>
      <c r="E552" s="46" t="inlineStr">
        <is>
          <t>U+20000-U+2A6DF</t>
        </is>
      </c>
      <c r="F552" s="12" t="n">
        <v>4</v>
      </c>
      <c r="J552" s="19">
        <f>ROUNDDOWN(W552,0)/$V552</f>
        <v/>
      </c>
      <c r="K552" s="19">
        <f>ROUNDDOWN(X552,0)/$V552</f>
        <v/>
      </c>
      <c r="L552" s="19">
        <f>ROUNDDOWN(Y552,0)/$V552</f>
        <v/>
      </c>
      <c r="M552" s="19">
        <f>ROUNDDOWN(Z552,0)/$V552</f>
        <v/>
      </c>
      <c r="O552" s="36" t="inlineStr">
        <is>
          <t>𢄀 𢄁 𢄂 𢄃 𢄄 𢄅 𢄆 𢄇 𢄈 𢄉 𢄊 𢄋 𢄌 𢄍 𢄎 𢄏 𢄐 𢄑 𢄒 𢄓 𢄔 𢄕 𢄖 𢄗 𢄘 𢄙 𢄚 𢄛 𢄜 𢄝 𢄞 𢄟 𢄠 𢄡 𢄢 𢄣 𢄤 𢄥 𢄦 𢄧 𢄨 𢄩 𢄪 𢄫 𢄬 𢄭 𢄮 𢄯 𢄰 𢄱 𢄲 𢄳 𢄴 𢄵 𢄶 𢄷 𢄸 𢄹 𢄺 𢄻 𢄼 𢄽 𢄾 𢄿 𢅀 𢅁 𢅂 𢅃 𢅄 𢅅 𢅆 𢅇 𢅈 𢅉 𢅊 𢅋 𢅌 𢅍 𢅎 𢅏 𢅐 𢅑 𢅒 𢅓 𢅔 𢅕 𢅖 𢅗 𢅘 𢅙 𢅚 𢅛 𢅜 𢅝 𢅞 𢅟 𢅠 𢅡 𢅢 𢅣 𢅤 𢅥 𢅦 𢅧 𢅨 𢅩 𢅪 𢅫 𢅬 𢅭 𢅮 𢅯 𢅰 𢅱 𢅲 𢅳 𢅴 𢅵 𢅶 𢅷 𢅸 𢅹 𢅺 𢅻 𢅼 𢅽 𢅾 𢅿 𢆀 𢆁 𢆂 𢆃 𢆄 𢆅 𢆆 𢆇 𢆈 𢆉 𢆊 𢆋 𢆌 𢆍 𢆎 𢆏 𢆐 𢆑 𢆒 𢆓 𢆔 𢆕 𢆖 𢆗 𢆘 𢆙 𢆚 𢆛 𢆜 𢆝 𢆞 𢆟 𢆠 𢆡 𢆢 𢆣 𢆤 𢆥 𢆦 𢆧 𢆨 𢆩 𢆪 𢆫 𢆬 𢆭 𢆮 𢆯 𢆰 𢆱 𢆲 𢆳 𢆴 𢆵 𢆶 𢆷 𢆸 𢆹 𢆺 𢆻 𢆼 𢆽 𢆾 𢆿 𢇀 𢇁 𢇂 𢇃 𢇄 𢇅 𢇆 𢇇 𢇈 𢇉 𢇊 𢇋 𢇌 𢇍 𢇎 𢇏 𢇐 𢇑 𢇒 𢇓 𢇔 𢇕 𢇖 𢇗 𢇘 𢇙 𢇚 𢇛 𢇜 𢇝 𢇞 𢇟 𢇠 𢇡 𢇢 𢇣 𢇤 𢇥 𢇦 𢇧 𢇨 𢇩 𢇪 𢇫 𢇬 𢇭 𢇮 𢇯 𢇰 𢇱 𢇲 𢇳 𢇴 𢇵 𢇶 𢇷 𢇸 𢇹 𢇺 𢇻 𢇼 𢇽 𢇾 𢇿</t>
        </is>
      </c>
      <c r="P552" s="37" t="inlineStr">
        <is>
          <t>𢄀 𢄁 𢄂 𢄃 𢄄 𢄅 𢄆 𢄇 𢄈 𢄉 𢄊 𢄋 𢄌 𢄍 𢄎 𢄏 𢄐 𢄑 𢄒 𢄓 𢄔 𢄕 𢄖 𢄗 𢄘 𢄙 𢄚 𢄛 𢄜 𢄝 𢄞 𢄟 𢄠 𢄡 𢄢 𢄣 𢄤 𢄥 𢄦 𢄧 𢄨 𢄩 𢄪 𢄫 𢄬 𢄭 𢄮 𢄯 𢄰 𢄱 𢄲 𢄳 𢄴 𢄵 𢄶 𢄷 𢄸 𢄹 𢄺 𢄻 𢄼 𢄽 𢄾 𢄿 𢅀 𢅁 𢅂 𢅃 𢅄 𢅅 𢅆 𢅇 𢅈 𢅉 𢅊 𢅋 𢅌 𢅍 𢅎 𢅏 𢅐 𢅑 𢅒 𢅓 𢅔 𢅕 𢅖 𢅗 𢅘 𢅙 𢅚 𢅛 𢅜 𢅝 𢅞 𢅟 𢅠 𢅡 𢅢 𢅣 𢅤 𢅥 𢅦 𢅧 𢅨 𢅩 𢅪 𢅫 𢅬 𢅭 𢅮 𢅯 𢅰 𢅱 𢅲 𢅳 𢅴 𢅵 𢅶 𢅷 𢅸 𢅹 𢅺 𢅻 𢅼 𢅽 𢅾 𢅿 𢆀 𢆁 𢆂 𢆃 𢆄 𢆅 𢆆 𢆇 𢆈 𢆉 𢆊 𢆋 𢆌 𢆍 𢆎 𢆏 𢆐 𢆑 𢆒 𢆓 𢆔 𢆕 𢆖 𢆗 𢆘 𢆙 𢆚 𢆛 𢆜 𢆝 𢆞 𢆟 𢆠 𢆡 𢆢 𢆣 𢆤 𢆥 𢆦 𢆧 𢆨 𢆩 𢆪 𢆫 𢆬 𢆭 𢆮 𢆯 𢆰 𢆱 𢆲 𢆳 𢆴 𢆵 𢆶 𢆷 𢆸 𢆹 𢆺 𢆻 𢆼 𢆽 𢆾 𢆿 𢇀 𢇁 𢇂 𢇃 𢇄 𢇅 𢇆 𢇇 𢇈 𢇉 𢇊 𢇋 𢇌 𢇍 𢇎 𢇏 𢇐 𢇑 𢇒 𢇓 𢇔 𢇕 𢇖 𢇗 𢇘 𢇙 𢇚 𢇛 𢇜 𢇝 𢇞 𢇟 𢇠 𢇡 𢇢 𢇣 𢇤 𢇥 𢇦 𢇧 𢇨 𢇩 𢇪 𢇫 𢇬 𢇭 𢇮 𢇯 𢇰 𢇱 𢇲 𢇳 𢇴 𢇵 𢇶 𢇷 𢇸 𢇹 𢇺 𢇻 𢇼 𢇽 𢇾 𢇿</t>
        </is>
      </c>
      <c r="Q552" s="38" t="inlineStr">
        <is>
          <t>𢄀 𢄁 𢄂 𢄃 𢄄 𢄅 𢄆 𢄇 𢄈 𢄉 𢄊 𢄋 𢄌 𢄍 𢄎 𢄏 𢄐 𢄑 𢄒 𢄓 𢄔 𢄕 𢄖 𢄗 𢄘 𢄙 𢄚 𢄛 𢄜 𢄝 𢄞 𢄟 𢄠 𢄡 𢄢 𢄣 𢄤 𢄥 𢄦 𢄧 𢄨 𢄩 𢄪 𢄫 𢄬 𢄭 𢄮 𢄯 𢄰 𢄱 𢄲 𢄳 𢄴 𢄵 𢄶 𢄷 𢄸 𢄹 𢄺 𢄻 𢄼 𢄽 𢄾 𢄿 𢅀 𢅁 𢅂 𢅃 𢅄 𢅅 𢅆 𢅇 𢅈 𢅉 𢅊 𢅋 𢅌 𢅍 𢅎 𢅏 𢅐 𢅑 𢅒 𢅓 𢅔 𢅕 𢅖 𢅗 𢅘 𢅙 𢅚 𢅛 𢅜 𢅝 𢅞 𢅟 𢅠 𢅡 𢅢 𢅣 𢅤 𢅥 𢅦 𢅧 𢅨 𢅩 𢅪 𢅫 𢅬 𢅭 𢅮 𢅯 𢅰 𢅱 𢅲 𢅳 𢅴 𢅵 𢅶 𢅷 𢅸 𢅹 𢅺 𢅻 𢅼 𢅽 𢅾 𢅿 𢆀 𢆁 𢆂 𢆃 𢆄 𢆅 𢆆 𢆇 𢆈 𢆉 𢆊 𢆋 𢆌 𢆍 𢆎 𢆏 𢆐 𢆑 𢆒 𢆓 𢆔 𢆕 𢆖 𢆗 𢆘 𢆙 𢆚 𢆛 𢆜 𢆝 𢆞 𢆟 𢆠 𢆡 𢆢 𢆣 𢆤 𢆥 𢆦 𢆧 𢆨 𢆩 𢆪 𢆫 𢆬 𢆭 𢆮 𢆯 𢆰 𢆱 𢆲 𢆳 𢆴 𢆵 𢆶 𢆷 𢆸 𢆹 𢆺 𢆻 𢆼 𢆽 𢆾 𢆿 𢇀 𢇁 𢇂 𢇃 𢇄 𢇅 𢇆 𢇇 𢇈 𢇉 𢇊 𢇋 𢇌 𢇍 𢇎 𢇏 𢇐 𢇑 𢇒 𢇓 𢇔 𢇕 𢇖 𢇗 𢇘 𢇙 𢇚 𢇛 𢇜 𢇝 𢇞 𢇟 𢇠 𢇡 𢇢 𢇣 𢇤 𢇥 𢇦 𢇧 𢇨 𢇩 𢇪 𢇫 𢇬 𢇭 𢇮 𢇯 𢇰 𢇱 𢇲 𢇳 𢇴 𢇵 𢇶 𢇷 𢇸 𢇹 𢇺 𢇻 𢇼 𢇽 𢇾 𢇿</t>
        </is>
      </c>
      <c r="R552" s="43" t="inlineStr">
        <is>
          <t>𢅻 𢆡</t>
        </is>
      </c>
      <c r="S552" s="40" t="n"/>
      <c r="V552" s="14">
        <f>(LEN(O552)+1)/2</f>
        <v/>
      </c>
      <c r="W552" s="14">
        <f>ROUNDDOWN((LEN(P552)+1)/2,0)</f>
        <v/>
      </c>
      <c r="X552" s="14">
        <f>ROUNDDOWN((LEN(Q552)+1)/2,0)</f>
        <v/>
      </c>
      <c r="Y552" s="14">
        <f>ROUNDDOWN((LEN(R552)+1)/2,0)</f>
        <v/>
      </c>
      <c r="Z552" s="14">
        <f>ROUNDDOWN((LEN(S552)+1)/2,0)</f>
        <v/>
      </c>
      <c r="AA552" s="56" t="n">
        <v>46150.55874502505</v>
      </c>
    </row>
    <row r="553" ht="102" customHeight="1">
      <c r="B553" s="46" t="inlineStr">
        <is>
          <t>U+22300-U+223FF</t>
        </is>
      </c>
      <c r="C553" s="46" t="inlineStr">
        <is>
          <t>CJK Unified Ideographs Extension B</t>
        </is>
      </c>
      <c r="D553" s="54">
        <f>HEX2DEC(MID(B553,3,FIND("-",E553)-3))</f>
        <v/>
      </c>
      <c r="E553" s="46" t="inlineStr">
        <is>
          <t>U+20000-U+2A6DF</t>
        </is>
      </c>
      <c r="F553" s="12" t="n">
        <v>4</v>
      </c>
      <c r="J553" s="19">
        <f>ROUNDDOWN(W553,0)/$V553</f>
        <v/>
      </c>
      <c r="K553" s="19">
        <f>ROUNDDOWN(X553,0)/$V553</f>
        <v/>
      </c>
      <c r="L553" s="19">
        <f>ROUNDDOWN(Y553,0)/$V553</f>
        <v/>
      </c>
      <c r="M553" s="19">
        <f>ROUNDDOWN(Z553,0)/$V553</f>
        <v/>
      </c>
      <c r="O553" s="36" t="inlineStr">
        <is>
          <t>𢈀 𢈁 𢈂 𢈃 𢈄 𢈅 𢈆 𢈇 𢈈 𢈉 𢈊 𢈋 𢈌 𢈍 𢈎 𢈏 𢈐 𢈑 𢈒 𢈓 𢈔 𢈕 𢈖 𢈗 𢈘 𢈙 𢈚 𢈛 𢈜 𢈝 𢈞 𢈟 𢈠 𢈡 𢈢 𢈣 𢈤 𢈥 𢈦 𢈧 𢈨 𢈩 𢈪 𢈫 𢈬 𢈭 𢈮 𢈯 𢈰 𢈱 𢈲 𢈳 𢈴 𢈵 𢈶 𢈷 𢈸 𢈹 𢈺 𢈻 𢈼 𢈽 𢈾 𢈿 𢉀 𢉁 𢉂 𢉃 𢉄 𢉅 𢉆 𢉇 𢉈 𢉉 𢉊 𢉋 𢉌 𢉍 𢉎 𢉏 𢉐 𢉑 𢉒 𢉓 𢉔 𢉕 𢉖 𢉗 𢉘 𢉙 𢉚 𢉛 𢉜 𢉝 𢉞 𢉟 𢉠 𢉡 𢉢 𢉣 𢉤 𢉥 𢉦 𢉧 𢉨 𢉩 𢉪 𢉫 𢉬 𢉭 𢉮 𢉯 𢉰 𢉱 𢉲 𢉳 𢉴 𢉵 𢉶 𢉷 𢉸 𢉹 𢉺 𢉻 𢉼 𢉽 𢉾 𢉿 𢊀 𢊁 𢊂 𢊃 𢊄 𢊅 𢊆 𢊇 𢊈 𢊉 𢊊 𢊋 𢊌 𢊍 𢊎 𢊏 𢊐 𢊑 𢊒 𢊓 𢊔 𢊕 𢊖 𢊗 𢊘 𢊙 𢊚 𢊛 𢊜 𢊝 𢊞 𢊟 𢊠 𢊡 𢊢 𢊣 𢊤 𢊥 𢊦 𢊧 𢊨 𢊩 𢊪 𢊫 𢊬 𢊭 𢊮 𢊯 𢊰 𢊱 𢊲 𢊳 𢊴 𢊵 𢊶 𢊷 𢊸 𢊹 𢊺 𢊻 𢊼 𢊽 𢊾 𢊿 𢋀 𢋁 𢋂 𢋃 𢋄 𢋅 𢋆 𢋇 𢋈 𢋉 𢋊 𢋋 𢋌 𢋍 𢋎 𢋏 𢋐 𢋑 𢋒 𢋓 𢋔 𢋕 𢋖 𢋗 𢋘 𢋙 𢋚 𢋛 𢋜 𢋝 𢋞 𢋟 𢋠 𢋡 𢋢 𢋣 𢋤 𢋥 𢋦 𢋧 𢋨 𢋩 𢋪 𢋫 𢋬 𢋭 𢋮 𢋯 𢋰 𢋱 𢋲 𢋳 𢋴 𢋵 𢋶 𢋷 𢋸 𢋹 𢋺 𢋻 𢋼 𢋽 𢋾 𢋿</t>
        </is>
      </c>
      <c r="P553" s="37" t="inlineStr">
        <is>
          <t>𢈀 𢈁 𢈂 𢈃 𢈄 𢈅 𢈆 𢈇 𢈈 𢈉 𢈊 𢈋 𢈌 𢈍 𢈎 𢈏 𢈐 𢈑 𢈒 𢈓 𢈔 𢈕 𢈖 𢈗 𢈘 𢈙 𢈚 𢈛 𢈜 𢈝 𢈞 𢈟 𢈠 𢈡 𢈢 𢈣 𢈤 𢈥 𢈦 𢈧 𢈨 𢈩 𢈪 𢈫 𢈬 𢈭 𢈮 𢈯 𢈰 𢈱 𢈲 𢈳 𢈴 𢈵 𢈶 𢈷 𢈸 𢈹 𢈺 𢈻 𢈼 𢈽 𢈾 𢈿 𢉀 𢉁 𢉂 𢉃 𢉄 𢉅 𢉆 𢉇 𢉈 𢉉 𢉊 𢉋 𢉌 𢉍 𢉎 𢉏 𢉐 𢉑 𢉒 𢉓 𢉔 𢉕 𢉖 𢉗 𢉘 𢉙 𢉚 𢉛 𢉜 𢉝 𢉞 𢉟 𢉠 𢉡 𢉢 𢉣 𢉤 𢉥 𢉦 𢉧 𢉨 𢉩 𢉪 𢉫 𢉬 𢉭 𢉮 𢉯 𢉰 𢉱 𢉲 𢉳 𢉴 𢉵 𢉶 𢉷 𢉸 𢉹 𢉺 𢉻 𢉼 𢉽 𢉾 𢉿 𢊀 𢊁 𢊂 𢊃 𢊄 𢊅 𢊆 𢊇 𢊈 𢊉 𢊊 𢊋 𢊌 𢊍 𢊎 𢊏 𢊐 𢊑 𢊒 𢊓 𢊔 𢊕 𢊖 𢊗 𢊘 𢊙 𢊚 𢊛 𢊜 𢊝 𢊞 𢊟 𢊠 𢊡 𢊢 𢊣 𢊤 𢊥 𢊦 𢊧 𢊨 𢊩 𢊪 𢊫 𢊬 𢊭 𢊮 𢊯 𢊰 𢊱 𢊲 𢊳 𢊴 𢊵 𢊶 𢊷 𢊸 𢊹 𢊺 𢊻 𢊼 𢊽 𢊾 𢊿 𢋀 𢋁 𢋂 𢋃 𢋄 𢋅 𢋆 𢋇 𢋈 𢋉 𢋊 𢋋 𢋌 𢋍 𢋎 𢋏 𢋐 𢋑 𢋒 𢋓 𢋔 𢋕 𢋖 𢋗 𢋘 𢋙 𢋚 𢋛 𢋜 𢋝 𢋞 𢋟 𢋠 𢋡 𢋢 𢋣 𢋤 𢋥 𢋦 𢋧 𢋨 𢋩 𢋪 𢋫 𢋬 𢋭 𢋮 𢋯 𢋰 𢋱 𢋲 𢋳 𢋴 𢋵 𢋶 𢋷 𢋸 𢋹 𢋺 𢋻 𢋼 𢋽 𢋾 𢋿</t>
        </is>
      </c>
      <c r="Q553" s="38" t="inlineStr">
        <is>
          <t>𢈀 𢈁 𢈂 𢈃 𢈄 𢈅 𢈆 𢈇 𢈈 𢈉 𢈊 𢈋 𢈌 𢈍 𢈎 𢈏 𢈐 𢈑 𢈒 𢈓 𢈔 𢈕 𢈖 𢈗 𢈘 𢈙 𢈚 𢈛 𢈜 𢈝 𢈞 𢈟 𢈠 𢈡 𢈢 𢈣 𢈤 𢈥 𢈦 𢈧 𢈨 𢈩 𢈪 𢈫 𢈬 𢈭 𢈮 𢈯 𢈰 𢈱 𢈲 𢈳 𢈴 𢈵 𢈶 𢈷 𢈸 𢈹 𢈺 𢈻 𢈼 𢈽 𢈾 𢈿 𢉀 𢉁 𢉂 𢉃 𢉄 𢉅 𢉆 𢉇 𢉈 𢉉 𢉊 𢉋 𢉌 𢉍 𢉎 𢉏 𢉐 𢉑 𢉒 𢉓 𢉔 𢉕 𢉖 𢉗 𢉘 𢉙 𢉚 𢉛 𢉜 𢉝 𢉞 𢉟 𢉠 𢉡 𢉢 𢉣 𢉤 𢉥 𢉦 𢉧 𢉨 𢉩 𢉪 𢉫 𢉬 𢉭 𢉮 𢉯 𢉰 𢉱 𢉲 𢉳 𢉴 𢉵 𢉶 𢉷 𢉸 𢉹 𢉺 𢉻 𢉼 𢉽 𢉾 𢉿 𢊀 𢊁 𢊂 𢊃 𢊄 𢊅 𢊆 𢊇 𢊈 𢊉 𢊊 𢊋 𢊌 𢊍 𢊎 𢊏 𢊐 𢊑 𢊒 𢊓 𢊔 𢊕 𢊖 𢊗 𢊘 𢊙 𢊚 𢊛 𢊜 𢊝 𢊞 𢊟 𢊠 𢊡 𢊢 𢊣 𢊤 𢊥 𢊦 𢊧 𢊨 𢊩 𢊪 𢊫 𢊬 𢊭 𢊮 𢊯 𢊰 𢊱 𢊲 𢊳 𢊴 𢊵 𢊶 𢊷 𢊸 𢊹 𢊺 𢊻 𢊼 𢊽 𢊾 𢊿 𢋀 𢋁 𢋂 𢋃 𢋄 𢋅 𢋆 𢋇 𢋈 𢋉 𢋊 𢋋 𢋌 𢋍 𢋎 𢋏 𢋐 𢋑 𢋒 𢋓 𢋔 𢋕 𢋖 𢋗 𢋘 𢋙 𢋚 𢋛 𢋜 𢋝 𢋞 𢋟 𢋠 𢋡 𢋢 𢋣 𢋤 𢋥 𢋦 𢋧 𢋨 𢋩 𢋪 𢋫 𢋬 𢋭 𢋮 𢋯 𢋰 𢋱 𢋲 𢋳 𢋴 𢋵 𢋶 𢋷 𢋸 𢋹 𢋺 𢋻 𢋼 𢋽 𢋾 𢋿</t>
        </is>
      </c>
      <c r="R553" s="43" t="inlineStr">
        <is>
          <t>𢈘</t>
        </is>
      </c>
      <c r="S553" s="40" t="n"/>
      <c r="V553" s="14">
        <f>(LEN(O553)+1)/2</f>
        <v/>
      </c>
      <c r="W553" s="14">
        <f>ROUNDDOWN((LEN(P553)+1)/2,0)</f>
        <v/>
      </c>
      <c r="X553" s="14">
        <f>ROUNDDOWN((LEN(Q553)+1)/2,0)</f>
        <v/>
      </c>
      <c r="Y553" s="14">
        <f>ROUNDDOWN((LEN(R553)+1)/2,0)</f>
        <v/>
      </c>
      <c r="Z553" s="14">
        <f>ROUNDDOWN((LEN(S553)+1)/2,0)</f>
        <v/>
      </c>
      <c r="AA553" s="56" t="n">
        <v>46150.55874609023</v>
      </c>
    </row>
    <row r="554" ht="102" customHeight="1">
      <c r="B554" s="46" t="inlineStr">
        <is>
          <t>U+22400-U+224FF</t>
        </is>
      </c>
      <c r="C554" s="46" t="inlineStr">
        <is>
          <t>CJK Unified Ideographs Extension B</t>
        </is>
      </c>
      <c r="D554" s="54">
        <f>HEX2DEC(MID(B554,3,FIND("-",E554)-3))</f>
        <v/>
      </c>
      <c r="E554" s="46" t="inlineStr">
        <is>
          <t>U+20000-U+2A6DF</t>
        </is>
      </c>
      <c r="F554" s="12" t="n">
        <v>4</v>
      </c>
      <c r="J554" s="19">
        <f>ROUNDDOWN(W554,0)/$V554</f>
        <v/>
      </c>
      <c r="K554" s="19">
        <f>ROUNDDOWN(X554,0)/$V554</f>
        <v/>
      </c>
      <c r="L554" s="19">
        <f>ROUNDDOWN(Y554,0)/$V554</f>
        <v/>
      </c>
      <c r="M554" s="19">
        <f>ROUNDDOWN(Z554,0)/$V554</f>
        <v/>
      </c>
      <c r="O554" s="36" t="inlineStr">
        <is>
          <t>𢌀 𢌁 𢌂 𢌃 𢌄 𢌅 𢌆 𢌇 𢌈 𢌉 𢌊 𢌋 𢌌 𢌍 𢌎 𢌏 𢌐 𢌑 𢌒 𢌓 𢌔 𢌕 𢌖 𢌗 𢌘 𢌙 𢌚 𢌛 𢌜 𢌝 𢌞 𢌟 𢌠 𢌡 𢌢 𢌣 𢌤 𢌥 𢌦 𢌧 𢌨 𢌩 𢌪 𢌫 𢌬 𢌭 𢌮 𢌯 𢌰 𢌱 𢌲 𢌳 𢌴 𢌵 𢌶 𢌷 𢌸 𢌹 𢌺 𢌻 𢌼 𢌽 𢌾 𢌿 𢍀 𢍁 𢍂 𢍃 𢍄 𢍅 𢍆 𢍇 𢍈 𢍉 𢍊 𢍋 𢍌 𢍍 𢍎 𢍏 𢍐 𢍑 𢍒 𢍓 𢍔 𢍕 𢍖 𢍗 𢍘 𢍙 𢍚 𢍛 𢍜 𢍝 𢍞 𢍟 𢍠 𢍡 𢍢 𢍣 𢍤 𢍥 𢍦 𢍧 𢍨 𢍩 𢍪 𢍫 𢍬 𢍭 𢍮 𢍯 𢍰 𢍱 𢍲 𢍳 𢍴 𢍵 𢍶 𢍷 𢍸 𢍹 𢍺 𢍻 𢍼 𢍽 𢍾 𢍿 𢎀 𢎁 𢎂 𢎃 𢎄 𢎅 𢎆 𢎇 𢎈 𢎉 𢎊 𢎋 𢎌 𢎍 𢎎 𢎏 𢎐 𢎑 𢎒 𢎓 𢎔 𢎕 𢎖 𢎗 𢎘 𢎙 𢎚 𢎛 𢎜 𢎝 𢎞 𢎟 𢎠 𢎡 𢎢 𢎣 𢎤 𢎥 𢎦 𢎧 𢎨 𢎩 𢎪 𢎫 𢎬 𢎭 𢎮 𢎯 𢎰 𢎱 𢎲 𢎳 𢎴 𢎵 𢎶 𢎷 𢎸 𢎹 𢎺 𢎻 𢎼 𢎽 𢎾 𢎿 𢏀 𢏁 𢏂 𢏃 𢏄 𢏅 𢏆 𢏇 𢏈 𢏉 𢏊 𢏋 𢏌 𢏍 𢏎 𢏏 𢏐 𢏑 𢏒 𢏓 𢏔 𢏕 𢏖 𢏗 𢏘 𢏙 𢏚 𢏛 𢏜 𢏝 𢏞 𢏟 𢏠 𢏡 𢏢 𢏣 𢏤 𢏥 𢏦 𢏧 𢏨 𢏩 𢏪 𢏫 𢏬 𢏭 𢏮 𢏯 𢏰 𢏱 𢏲 𢏳 𢏴 𢏵 𢏶 𢏷 𢏸 𢏹 𢏺 𢏻 𢏼 𢏽 𢏾 𢏿</t>
        </is>
      </c>
      <c r="P554" s="37" t="inlineStr">
        <is>
          <t>𢌀 𢌁 𢌂 𢌃 𢌄 𢌅 𢌆 𢌇 𢌈 𢌉 𢌊 𢌋 𢌌 𢌍 𢌎 𢌏 𢌐 𢌑 𢌒 𢌓 𢌔 𢌕 𢌖 𢌗 𢌘 𢌙 𢌚 𢌛 𢌜 𢌝 𢌞 𢌟 𢌠 𢌡 𢌢 𢌣 𢌤 𢌥 𢌦 𢌧 𢌨 𢌩 𢌪 𢌫 𢌬 𢌭 𢌮 𢌯 𢌰 𢌱 𢌲 𢌳 𢌴 𢌵 𢌶 𢌷 𢌸 𢌹 𢌺 𢌻 𢌼 𢌽 𢌾 𢌿 𢍀 𢍁 𢍂 𢍃 𢍄 𢍅 𢍆 𢍇 𢍈 𢍉 𢍊 𢍋 𢍌 𢍍 𢍎 𢍏 𢍐 𢍑 𢍒 𢍓 𢍔 𢍕 𢍖 𢍗 𢍘 𢍙 𢍚 𢍛 𢍜 𢍝 𢍞 𢍟 𢍠 𢍡 𢍢 𢍣 𢍤 𢍥 𢍦 𢍧 𢍨 𢍩 𢍪 𢍫 𢍬 𢍭 𢍮 𢍯 𢍰 𢍱 𢍲 𢍳 𢍴 𢍵 𢍶 𢍷 𢍸 𢍹 𢍺 𢍻 𢍼 𢍽 𢍾 𢍿 𢎀 𢎁 𢎂 𢎃 𢎄 𢎅 𢎆 𢎇 𢎈 𢎉 𢎊 𢎋 𢎌 𢎍 𢎎 𢎏 𢎐 𢎑 𢎒 𢎓 𢎔 𢎕 𢎖 𢎗 𢎘 𢎙 𢎚 𢎛 𢎜 𢎝 𢎞 𢎟 𢎠 𢎡 𢎢 𢎣 𢎤 𢎥 𢎦 𢎧 𢎨 𢎩 𢎪 𢎫 𢎬 𢎭 𢎮 𢎯 𢎰 𢎱 𢎲 𢎳 𢎴 𢎵 𢎶 𢎷 𢎸 𢎹 𢎺 𢎻 𢎼 𢎽 𢎾 𢎿 𢏀 𢏁 𢏂 𢏃 𢏄 𢏅 𢏆 𢏇 𢏈 𢏉 𢏊 𢏋 𢏌 𢏍 𢏎 𢏏 𢏐 𢏑 𢏒 𢏓 𢏔 𢏕 𢏖 𢏗 𢏘 𢏙 𢏚 𢏛 𢏜 𢏝 𢏞 𢏟 𢏠 𢏡 𢏢 𢏣 𢏤 𢏥 𢏦 𢏧 𢏨 𢏩 𢏪 𢏫 𢏬 𢏭 𢏮 𢏯 𢏰 𢏱 𢏲 𢏳 𢏴 𢏵 𢏶 𢏷 𢏸 𢏹 𢏺 𢏻 𢏼 𢏽 𢏾 𢏿</t>
        </is>
      </c>
      <c r="Q554" s="38" t="inlineStr">
        <is>
          <t>𢌀 𢌁 𢌂 𢌃 𢌄 𢌅 𢌆 𢌇 𢌈 𢌉 𢌊 𢌋 𢌌 𢌍 𢌎 𢌏 𢌐 𢌑 𢌒 𢌓 𢌔 𢌕 𢌖 𢌗 𢌘 𢌙 𢌚 𢌛 𢌜 𢌝 𢌞 𢌟 𢌠 𢌡 𢌢 𢌣 𢌤 𢌥 𢌦 𢌧 𢌨 𢌩 𢌪 𢌫 𢌬 𢌭 𢌮 𢌯 𢌰 𢌱 𢌲 𢌳 𢌴 𢌵 𢌶 𢌷 𢌸 𢌹 𢌺 𢌻 𢌼 𢌽 𢌾 𢌿 𢍀 𢍁 𢍂 𢍃 𢍄 𢍅 𢍆 𢍇 𢍈 𢍉 𢍊 𢍋 𢍌 𢍍 𢍎 𢍏 𢍐 𢍑 𢍒 𢍓 𢍔 𢍕 𢍖 𢍗 𢍘 𢍙 𢍚 𢍛 𢍜 𢍝 𢍞 𢍟 𢍠 𢍡 𢍢 𢍣 𢍤 𢍥 𢍦 𢍧 𢍨 𢍩 𢍪 𢍫 𢍬 𢍭 𢍮 𢍯 𢍰 𢍱 𢍲 𢍳 𢍴 𢍵 𢍶 𢍷 𢍸 𢍹 𢍺 𢍻 𢍼 𢍽 𢍾 𢍿 𢎀 𢎁 𢎂 𢎃 𢎄 𢎅 𢎆 𢎇 𢎈 𢎉 𢎊 𢎋 𢎌 𢎍 𢎎 𢎏 𢎐 𢎑 𢎒 𢎓 𢎔 𢎕 𢎖 𢎗 𢎘 𢎙 𢎚 𢎛 𢎜 𢎝 𢎞 𢎟 𢎠 𢎡 𢎢 𢎣 𢎤 𢎥 𢎦 𢎧 𢎨 𢎩 𢎪 𢎫 𢎬 𢎭 𢎮 𢎯 𢎰 𢎱 𢎲 𢎳 𢎴 𢎵 𢎶 𢎷 𢎸 𢎹 𢎺 𢎻 𢎼 𢎽 𢎾 𢎿 𢏀 𢏁 𢏂 𢏃 𢏄 𢏅 𢏆 𢏇 𢏈 𢏉 𢏊 𢏋 𢏌 𢏍 𢏎 𢏏 𢏐 𢏑 𢏒 𢏓 𢏔 𢏕 𢏖 𢏗 𢏘 𢏙 𢏚 𢏛 𢏜 𢏝 𢏞 𢏟 𢏠 𢏡 𢏢 𢏣 𢏤 𢏥 𢏦 𢏧 𢏨 𢏩 𢏪 𢏫 𢏬 𢏭 𢏮 𢏯 𢏰 𢏱 𢏲 𢏳 𢏴 𢏵 𢏶 𢏷 𢏸 𢏹 𢏺 𢏻 𢏼 𢏽 𢏾 𢏿</t>
        </is>
      </c>
      <c r="R554" s="43" t="inlineStr">
        <is>
          <t>𢌞 𢎙</t>
        </is>
      </c>
      <c r="S554" s="40" t="n"/>
      <c r="V554" s="14">
        <f>(LEN(O554)+1)/2</f>
        <v/>
      </c>
      <c r="W554" s="14">
        <f>ROUNDDOWN((LEN(P554)+1)/2,0)</f>
        <v/>
      </c>
      <c r="X554" s="14">
        <f>ROUNDDOWN((LEN(Q554)+1)/2,0)</f>
        <v/>
      </c>
      <c r="Y554" s="14">
        <f>ROUNDDOWN((LEN(R554)+1)/2,0)</f>
        <v/>
      </c>
      <c r="Z554" s="14">
        <f>ROUNDDOWN((LEN(S554)+1)/2,0)</f>
        <v/>
      </c>
      <c r="AA554" s="56" t="n">
        <v>46150.55874716845</v>
      </c>
    </row>
    <row r="555" ht="102" customHeight="1">
      <c r="B555" s="46" t="inlineStr">
        <is>
          <t>U+22500-U+225FF</t>
        </is>
      </c>
      <c r="C555" s="46" t="inlineStr">
        <is>
          <t>CJK Unified Ideographs Extension B</t>
        </is>
      </c>
      <c r="D555" s="54">
        <f>HEX2DEC(MID(B555,3,FIND("-",E555)-3))</f>
        <v/>
      </c>
      <c r="E555" s="46" t="inlineStr">
        <is>
          <t>U+20000-U+2A6DF</t>
        </is>
      </c>
      <c r="F555" s="12" t="n">
        <v>4</v>
      </c>
      <c r="J555" s="19">
        <f>ROUNDDOWN(W555,0)/$V555</f>
        <v/>
      </c>
      <c r="K555" s="19">
        <f>ROUNDDOWN(X555,0)/$V555</f>
        <v/>
      </c>
      <c r="L555" s="19">
        <f>ROUNDDOWN(Y555,0)/$V555</f>
        <v/>
      </c>
      <c r="M555" s="19">
        <f>ROUNDDOWN(Z555,0)/$V555</f>
        <v/>
      </c>
      <c r="O555" s="36" t="inlineStr">
        <is>
          <t>𢐀 𢐁 𢐂 𢐃 𢐄 𢐅 𢐆 𢐇 𢐈 𢐉 𢐊 𢐋 𢐌 𢐍 𢐎 𢐏 𢐐 𢐑 𢐒 𢐓 𢐔 𢐕 𢐖 𢐗 𢐘 𢐙 𢐚 𢐛 𢐜 𢐝 𢐞 𢐟 𢐠 𢐡 𢐢 𢐣 𢐤 𢐥 𢐦 𢐧 𢐨 𢐩 𢐪 𢐫 𢐬 𢐭 𢐮 𢐯 𢐰 𢐱 𢐲 𢐳 𢐴 𢐵 𢐶 𢐷 𢐸 𢐹 𢐺 𢐻 𢐼 𢐽 𢐾 𢐿 𢑀 𢑁 𢑂 𢑃 𢑄 𢑅 𢑆 𢑇 𢑈 𢑉 𢑊 𢑋 𢑌 𢑍 𢑎 𢑏 𢑐 𢑑 𢑒 𢑓 𢑔 𢑕 𢑖 𢑗 𢑘 𢑙 𢑚 𢑛 𢑜 𢑝 𢑞 𢑟 𢑠 𢑡 𢑢 𢑣 𢑤 𢑥 𢑦 𢑧 𢑨 𢑩 𢑪 𢑫 𢑬 𢑭 𢑮 𢑯 𢑰 𢑱 𢑲 𢑳 𢑴 𢑵 𢑶 𢑷 𢑸 𢑹 𢑺 𢑻 𢑼 𢑽 𢑾 𢑿 𢒀 𢒁 𢒂 𢒃 𢒄 𢒅 𢒆 𢒇 𢒈 𢒉 𢒊 𢒋 𢒌 𢒍 𢒎 𢒏 𢒐 𢒑 𢒒 𢒓 𢒔 𢒕 𢒖 𢒗 𢒘 𢒙 𢒚 𢒛 𢒜 𢒝 𢒞 𢒟 𢒠 𢒡 𢒢 𢒣 𢒤 𢒥 𢒦 𢒧 𢒨 𢒩 𢒪 𢒫 𢒬 𢒭 𢒮 𢒯 𢒰 𢒱 𢒲 𢒳 𢒴 𢒵 𢒶 𢒷 𢒸 𢒹 𢒺 𢒻 𢒼 𢒽 𢒾 𢒿 𢓀 𢓁 𢓂 𢓃 𢓄 𢓅 𢓆 𢓇 𢓈 𢓉 𢓊 𢓋 𢓌 𢓍 𢓎 𢓏 𢓐 𢓑 𢓒 𢓓 𢓔 𢓕 𢓖 𢓗 𢓘 𢓙 𢓚 𢓛 𢓜 𢓝 𢓞 𢓟 𢓠 𢓡 𢓢 𢓣 𢓤 𢓥 𢓦 𢓧 𢓨 𢓩 𢓪 𢓫 𢓬 𢓭 𢓮 𢓯 𢓰 𢓱 𢓲 𢓳 𢓴 𢓵 𢓶 𢓷 𢓸 𢓹 𢓺 𢓻 𢓼 𢓽 𢓾 𢓿</t>
        </is>
      </c>
      <c r="P555" s="37" t="inlineStr">
        <is>
          <t>𢐀 𢐁 𢐂 𢐃 𢐄 𢐅 𢐆 𢐇 𢐈 𢐉 𢐊 𢐋 𢐌 𢐍 𢐎 𢐏 𢐐 𢐑 𢐒 𢐓 𢐔 𢐕 𢐖 𢐗 𢐘 𢐙 𢐚 𢐛 𢐜 𢐝 𢐞 𢐟 𢐠 𢐡 𢐢 𢐣 𢐤 𢐥 𢐦 𢐧 𢐨 𢐩 𢐪 𢐫 𢐬 𢐭 𢐮 𢐯 𢐰 𢐱 𢐲 𢐳 𢐴 𢐵 𢐶 𢐷 𢐸 𢐹 𢐺 𢐻 𢐼 𢐽 𢐾 𢐿 𢑀 𢑁 𢑂 𢑃 𢑄 𢑅 𢑆 𢑇 𢑈 𢑉 𢑊 𢑋 𢑌 𢑍 𢑎 𢑏 𢑐 𢑑 𢑒 𢑓 𢑔 𢑕 𢑖 𢑗 𢑘 𢑙 𢑚 𢑛 𢑜 𢑝 𢑞 𢑟 𢑠 𢑡 𢑢 𢑣 𢑤 𢑥 𢑦 𢑧 𢑨 𢑩 𢑪 𢑫 𢑬 𢑭 𢑮 𢑯 𢑰 𢑱 𢑲 𢑳 𢑴 𢑵 𢑶 𢑷 𢑸 𢑹 𢑺 𢑻 𢑼 𢑽 𢑾 𢑿 𢒀 𢒁 𢒂 𢒃 𢒄 𢒅 𢒆 𢒇 𢒈 𢒉 𢒊 𢒋 𢒌 𢒍 𢒎 𢒏 𢒐 𢒑 𢒒 𢒓 𢒔 𢒕 𢒖 𢒗 𢒘 𢒙 𢒚 𢒛 𢒜 𢒝 𢒞 𢒟 𢒠 𢒡 𢒢 𢒣 𢒤 𢒥 𢒦 𢒧 𢒨 𢒩 𢒪 𢒫 𢒬 𢒭 𢒮 𢒯 𢒰 𢒱 𢒲 𢒳 𢒴 𢒵 𢒶 𢒷 𢒸 𢒹 𢒺 𢒻 𢒼 𢒽 𢒾 𢒿 𢓀 𢓁 𢓂 𢓃 𢓄 𢓅 𢓆 𢓇 𢓈 𢓉 𢓊 𢓋 𢓌 𢓍 𢓎 𢓏 𢓐 𢓑 𢓒 𢓓 𢓔 𢓕 𢓖 𢓗 𢓘 𢓙 𢓚 𢓛 𢓜 𢓝 𢓞 𢓟 𢓠 𢓡 𢓢 𢓣 𢓤 𢓥 𢓦 𢓧 𢓨 𢓩 𢓪 𢓫 𢓬 𢓭 𢓮 𢓯 𢓰 𢓱 𢓲 𢓳 𢓴 𢓵 𢓶 𢓷 𢓸 𢓹 𢓺 𢓻 𢓼 𢓽 𢓾 𢓿</t>
        </is>
      </c>
      <c r="Q555" s="38" t="inlineStr">
        <is>
          <t>𢐀 𢐁 𢐂 𢐃 𢐄 𢐅 𢐆 𢐇 𢐈 𢐉 𢐊 𢐋 𢐌 𢐍 𢐎 𢐏 𢐐 𢐑 𢐒 𢐓 𢐔 𢐕 𢐖 𢐗 𢐘 𢐙 𢐚 𢐛 𢐜 𢐝 𢐞 𢐟 𢐠 𢐡 𢐢 𢐣 𢐤 𢐥 𢐦 𢐧 𢐨 𢐩 𢐪 𢐫 𢐬 𢐭 𢐮 𢐯 𢐰 𢐱 𢐲 𢐳 𢐴 𢐵 𢐶 𢐷 𢐸 𢐹 𢐺 𢐻 𢐼 𢐽 𢐾 𢐿 𢑀 𢑁 𢑂 𢑃 𢑄 𢑅 𢑆 𢑇 𢑈 𢑉 𢑊 𢑋 𢑌 𢑍 𢑎 𢑏 𢑐 𢑑 𢑒 𢑓 𢑔 𢑕 𢑖 𢑗 𢑘 𢑙 𢑚 𢑛 𢑜 𢑝 𢑞 𢑟 𢑠 𢑡 𢑢 𢑣 𢑤 𢑥 𢑦 𢑧 𢑨 𢑩 𢑪 𢑫 𢑬 𢑭 𢑮 𢑯 𢑰 𢑱 𢑲 𢑳 𢑴 𢑵 𢑶 𢑷 𢑸 𢑹 𢑺 𢑻 𢑼 𢑽 𢑾 𢑿 𢒀 𢒁 𢒂 𢒃 𢒄 𢒅 𢒆 𢒇 𢒈 𢒉 𢒊 𢒋 𢒌 𢒍 𢒎 𢒏 𢒐 𢒑 𢒒 𢒓 𢒔 𢒕 𢒖 𢒗 𢒘 𢒙 𢒚 𢒛 𢒜 𢒝 𢒞 𢒟 𢒠 𢒡 𢒢 𢒣 𢒤 𢒥 𢒦 𢒧 𢒨 𢒩 𢒪 𢒫 𢒬 𢒭 𢒮 𢒯 𢒰 𢒱 𢒲 𢒳 𢒴 𢒵 𢒶 𢒷 𢒸 𢒹 𢒺 𢒻 𢒼 𢒽 𢒾 𢒿 𢓀 𢓁 𢓂 𢓃 𢓄 𢓅 𢓆 𢓇 𢓈 𢓉 𢓊 𢓋 𢓌 𢓍 𢓎 𢓏 𢓐 𢓑 𢓒 𢓓 𢓔 𢓕 𢓖 𢓗 𢓘 𢓙 𢓚 𢓛 𢓜 𢓝 𢓞 𢓟 𢓠 𢓡 𢓢 𢓣 𢓤 𢓥 𢓦 𢓧 𢓨 𢓩 𢓪 𢓫 𢓬 𢓭 𢓮 𢓯 𢓰 𢓱 𢓲 𢓳 𢓴 𢓵 𢓶 𢓷 𢓸 𢓹 𢓺 𢓻 𢓼 𢓽 𢓾 𢓿</t>
        </is>
      </c>
      <c r="R555" s="43" t="inlineStr">
        <is>
          <t>𢒉 𢓜</t>
        </is>
      </c>
      <c r="S555" s="40" t="n"/>
      <c r="V555" s="14">
        <f>(LEN(O555)+1)/2</f>
        <v/>
      </c>
      <c r="W555" s="14">
        <f>ROUNDDOWN((LEN(P555)+1)/2,0)</f>
        <v/>
      </c>
      <c r="X555" s="14">
        <f>ROUNDDOWN((LEN(Q555)+1)/2,0)</f>
        <v/>
      </c>
      <c r="Y555" s="14">
        <f>ROUNDDOWN((LEN(R555)+1)/2,0)</f>
        <v/>
      </c>
      <c r="Z555" s="14">
        <f>ROUNDDOWN((LEN(S555)+1)/2,0)</f>
        <v/>
      </c>
      <c r="AA555" s="56" t="n">
        <v>46150.5587482455</v>
      </c>
    </row>
    <row r="556" ht="102" customHeight="1">
      <c r="B556" s="46" t="inlineStr">
        <is>
          <t>U+22600-U+226FF</t>
        </is>
      </c>
      <c r="C556" s="46" t="inlineStr">
        <is>
          <t>CJK Unified Ideographs Extension B</t>
        </is>
      </c>
      <c r="D556" s="54">
        <f>HEX2DEC(MID(B556,3,FIND("-",E556)-3))</f>
        <v/>
      </c>
      <c r="E556" s="46" t="inlineStr">
        <is>
          <t>U+20000-U+2A6DF</t>
        </is>
      </c>
      <c r="F556" s="12" t="n">
        <v>4</v>
      </c>
      <c r="J556" s="19">
        <f>ROUNDDOWN(W556,0)/$V556</f>
        <v/>
      </c>
      <c r="K556" s="19">
        <f>ROUNDDOWN(X556,0)/$V556</f>
        <v/>
      </c>
      <c r="L556" s="19">
        <f>ROUNDDOWN(Y556,0)/$V556</f>
        <v/>
      </c>
      <c r="M556" s="19">
        <f>ROUNDDOWN(Z556,0)/$V556</f>
        <v/>
      </c>
      <c r="O556" s="36" t="inlineStr">
        <is>
          <t>𢔀 𢔁 𢔂 𢔃 𢔄 𢔅 𢔆 𢔇 𢔈 𢔉 𢔊 𢔋 𢔌 𢔍 𢔎 𢔏 𢔐 𢔑 𢔒 𢔓 𢔔 𢔕 𢔖 𢔗 𢔘 𢔙 𢔚 𢔛 𢔜 𢔝 𢔞 𢔟 𢔠 𢔡 𢔢 𢔣 𢔤 𢔥 𢔦 𢔧 𢔨 𢔩 𢔪 𢔫 𢔬 𢔭 𢔮 𢔯 𢔰 𢔱 𢔲 𢔳 𢔴 𢔵 𢔶 𢔷 𢔸 𢔹 𢔺 𢔻 𢔼 𢔽 𢔾 𢔿 𢕀 𢕁 𢕂 𢕃 𢕄 𢕅 𢕆 𢕇 𢕈 𢕉 𢕊 𢕋 𢕌 𢕍 𢕎 𢕏 𢕐 𢕑 𢕒 𢕓 𢕔 𢕕 𢕖 𢕗 𢕘 𢕙 𢕚 𢕛 𢕜 𢕝 𢕞 𢕟 𢕠 𢕡 𢕢 𢕣 𢕤 𢕥 𢕦 𢕧 𢕨 𢕩 𢕪 𢕫 𢕬 𢕭 𢕮 𢕯 𢕰 𢕱 𢕲 𢕳 𢕴 𢕵 𢕶 𢕷 𢕸 𢕹 𢕺 𢕻 𢕼 𢕽 𢕾 𢕿 𢖀 𢖁 𢖂 𢖃 𢖄 𢖅 𢖆 𢖇 𢖈 𢖉 𢖊 𢖋 𢖌 𢖍 𢖎 𢖏 𢖐 𢖑 𢖒 𢖓 𢖔 𢖕 𢖖 𢖗 𢖘 𢖙 𢖚 𢖛 𢖜 𢖝 𢖞 𢖟 𢖠 𢖡 𢖢 𢖣 𢖤 𢖥 𢖦 𢖧 𢖨 𢖩 𢖪 𢖫 𢖬 𢖭 𢖮 𢖯 𢖰 𢖱 𢖲 𢖳 𢖴 𢖵 𢖶 𢖷 𢖸 𢖹 𢖺 𢖻 𢖼 𢖽 𢖾 𢖿 𢗀 𢗁 𢗂 𢗃 𢗄 𢗅 𢗆 𢗇 𢗈 𢗉 𢗊 𢗋 𢗌 𢗍 𢗎 𢗏 𢗐 𢗑 𢗒 𢗓 𢗔 𢗕 𢗖 𢗗 𢗘 𢗙 𢗚 𢗛 𢗜 𢗝 𢗞 𢗟 𢗠 𢗡 𢗢 𢗣 𢗤 𢗥 𢗦 𢗧 𢗨 𢗩 𢗪 𢗫 𢗬 𢗭 𢗮 𢗯 𢗰 𢗱 𢗲 𢗳 𢗴 𢗵 𢗶 𢗷 𢗸 𢗹 𢗺 𢗻 𢗼 𢗽 𢗾 𢗿</t>
        </is>
      </c>
      <c r="P556" s="37" t="inlineStr">
        <is>
          <t>𢔀 𢔁 𢔂 𢔃 𢔄 𢔅 𢔆 𢔇 𢔈 𢔉 𢔊 𢔋 𢔌 𢔍 𢔎 𢔏 𢔐 𢔑 𢔒 𢔓 𢔔 𢔕 𢔖 𢔗 𢔘 𢔙 𢔚 𢔛 𢔜 𢔝 𢔞 𢔟 𢔠 𢔡 𢔢 𢔣 𢔤 𢔥 𢔦 𢔧 𢔨 𢔩 𢔪 𢔫 𢔬 𢔭 𢔮 𢔯 𢔰 𢔱 𢔲 𢔳 𢔴 𢔵 𢔶 𢔷 𢔸 𢔹 𢔺 𢔻 𢔼 𢔽 𢔾 𢔿 𢕀 𢕁 𢕂 𢕃 𢕄 𢕅 𢕆 𢕇 𢕈 𢕉 𢕊 𢕋 𢕌 𢕍 𢕎 𢕏 𢕐 𢕑 𢕒 𢕓 𢕔 𢕕 𢕖 𢕗 𢕘 𢕙 𢕚 𢕛 𢕜 𢕝 𢕞 𢕟 𢕠 𢕡 𢕢 𢕣 𢕤 𢕥 𢕦 𢕧 𢕨 𢕩 𢕪 𢕫 𢕬 𢕭 𢕮 𢕯 𢕰 𢕱 𢕲 𢕳 𢕴 𢕵 𢕶 𢕷 𢕸 𢕹 𢕺 𢕻 𢕼 𢕽 𢕾 𢕿 𢖀 𢖁 𢖂 𢖃 𢖄 𢖅 𢖆 𢖇 𢖈 𢖉 𢖊 𢖋 𢖌 𢖍 𢖎 𢖏 𢖐 𢖑 𢖒 𢖓 𢖔 𢖕 𢖖 𢖗 𢖘 𢖙 𢖚 𢖛 𢖜 𢖝 𢖞 𢖟 𢖠 𢖡 𢖢 𢖣 𢖤 𢖥 𢖦 𢖧 𢖨 𢖩 𢖪 𢖫 𢖬 𢖭 𢖮 𢖯 𢖰 𢖱 𢖲 𢖳 𢖴 𢖵 𢖶 𢖷 𢖸 𢖹 𢖺 𢖻 𢖼 𢖽 𢖾 𢖿 𢗀 𢗁 𢗂 𢗃 𢗄 𢗅 𢗆 𢗇 𢗈 𢗉 𢗊 𢗋 𢗌 𢗍 𢗎 𢗏 𢗐 𢗑 𢗒 𢗓 𢗔 𢗕 𢗖 𢗗 𢗘 𢗙 𢗚 𢗛 𢗜 𢗝 𢗞 𢗟 𢗠 𢗡 𢗢 𢗣 𢗤 𢗥 𢗦 𢗧 𢗨 𢗩 𢗪 𢗫 𢗬 𢗭 𢗮 𢗯 𢗰 𢗱 𢗲 𢗳 𢗴 𢗵 𢗶 𢗷 𢗸 𢗹 𢗺 𢗻 𢗼 𢗽 𢗾 𢗿</t>
        </is>
      </c>
      <c r="Q556" s="38" t="inlineStr">
        <is>
          <t>𢔀 𢔁 𢔂 𢔃 𢔄 𢔅 𢔆 𢔇 𢔈 𢔉 𢔊 𢔋 𢔌 𢔍 𢔎 𢔏 𢔐 𢔑 𢔒 𢔓 𢔔 𢔕 𢔖 𢔗 𢔘 𢔙 𢔚 𢔛 𢔜 𢔝 𢔞 𢔟 𢔠 𢔡 𢔢 𢔣 𢔤 𢔥 𢔦 𢔧 𢔨 𢔩 𢔪 𢔫 𢔬 𢔭 𢔮 𢔯 𢔰 𢔱 𢔲 𢔳 𢔴 𢔵 𢔶 𢔷 𢔸 𢔹 𢔺 𢔻 𢔼 𢔽 𢔾 𢔿 𢕀 𢕁 𢕂 𢕃 𢕄 𢕅 𢕆 𢕇 𢕈 𢕉 𢕊 𢕋 𢕌 𢕍 𢕎 𢕏 𢕐 𢕑 𢕒 𢕓 𢕔 𢕕 𢕖 𢕗 𢕘 𢕙 𢕚 𢕛 𢕜 𢕝 𢕞 𢕟 𢕠 𢕡 𢕢 𢕣 𢕤 𢕥 𢕦 𢕧 𢕨 𢕩 𢕪 𢕫 𢕬 𢕭 𢕮 𢕯 𢕰 𢕱 𢕲 𢕳 𢕴 𢕵 𢕶 𢕷 𢕸 𢕹 𢕺 𢕻 𢕼 𢕽 𢕾 𢕿 𢖀 𢖁 𢖂 𢖃 𢖄 𢖅 𢖆 𢖇 𢖈 𢖉 𢖊 𢖋 𢖌 𢖍 𢖎 𢖏 𢖐 𢖑 𢖒 𢖓 𢖔 𢖕 𢖖 𢖗 𢖘 𢖙 𢖚 𢖛 𢖜 𢖝 𢖞 𢖟 𢖠 𢖡 𢖢 𢖣 𢖤 𢖥 𢖦 𢖧 𢖨 𢖩 𢖪 𢖫 𢖬 𢖭 𢖮 𢖯 𢖰 𢖱 𢖲 𢖳 𢖴 𢖵 𢖶 𢖷 𢖸 𢖹 𢖺 𢖻 𢖼 𢖽 𢖾 𢖿 𢗀 𢗁 𢗂 𢗃 𢗄 𢗅 𢗆 𢗇 𢗈 𢗉 𢗊 𢗋 𢗌 𢗍 𢗎 𢗏 𢗐 𢗑 𢗒 𢗓 𢗔 𢗕 𢗖 𢗗 𢗘 𢗙 𢗚 𢗛 𢗜 𢗝 𢗞 𢗟 𢗠 𢗡 𢗢 𢗣 𢗤 𢗥 𢗦 𢗧 𢗨 𢗩 𢗪 𢗫 𢗬 𢗭 𢗮 𢗯 𢗰 𢗱 𢗲 𢗳 𢗴 𢗵 𢗶 𢗷 𢗸 𢗹 𢗺 𢗻 𢗼 𢗽 𢗾 𢗿</t>
        </is>
      </c>
      <c r="R556" s="43" t="inlineStr">
        <is>
          <t>𢔛</t>
        </is>
      </c>
      <c r="S556" s="40" t="n"/>
      <c r="V556" s="14">
        <f>(LEN(O556)+1)/2</f>
        <v/>
      </c>
      <c r="W556" s="14">
        <f>ROUNDDOWN((LEN(P556)+1)/2,0)</f>
        <v/>
      </c>
      <c r="X556" s="14">
        <f>ROUNDDOWN((LEN(Q556)+1)/2,0)</f>
        <v/>
      </c>
      <c r="Y556" s="14">
        <f>ROUNDDOWN((LEN(R556)+1)/2,0)</f>
        <v/>
      </c>
      <c r="Z556" s="14">
        <f>ROUNDDOWN((LEN(S556)+1)/2,0)</f>
        <v/>
      </c>
      <c r="AA556" s="56" t="n">
        <v>46150.55874930957</v>
      </c>
    </row>
    <row r="557" ht="102" customHeight="1">
      <c r="B557" s="46" t="inlineStr">
        <is>
          <t>U+22700-U+227FF</t>
        </is>
      </c>
      <c r="C557" s="46" t="inlineStr">
        <is>
          <t>CJK Unified Ideographs Extension B</t>
        </is>
      </c>
      <c r="D557" s="54">
        <f>HEX2DEC(MID(B557,3,FIND("-",E557)-3))</f>
        <v/>
      </c>
      <c r="E557" s="46" t="inlineStr">
        <is>
          <t>U+20000-U+2A6DF</t>
        </is>
      </c>
      <c r="F557" s="12" t="n">
        <v>4</v>
      </c>
      <c r="J557" s="19">
        <f>ROUNDDOWN(W557,0)/$V557</f>
        <v/>
      </c>
      <c r="K557" s="19">
        <f>ROUNDDOWN(X557,0)/$V557</f>
        <v/>
      </c>
      <c r="L557" s="19">
        <f>ROUNDDOWN(Y557,0)/$V557</f>
        <v/>
      </c>
      <c r="M557" s="19">
        <f>ROUNDDOWN(Z557,0)/$V557</f>
        <v/>
      </c>
      <c r="O557" s="36" t="inlineStr">
        <is>
          <t>𢘀 𢘁 𢘂 𢘃 𢘄 𢘅 𢘆 𢘇 𢘈 𢘉 𢘊 𢘋 𢘌 𢘍 𢘎 𢘏 𢘐 𢘑 𢘒 𢘓 𢘔 𢘕 𢘖 𢘗 𢘘 𢘙 𢘚 𢘛 𢘜 𢘝 𢘞 𢘟 𢘠 𢘡 𢘢 𢘣 𢘤 𢘥 𢘦 𢘧 𢘨 𢘩 𢘪 𢘫 𢘬 𢘭 𢘮 𢘯 𢘰 𢘱 𢘲 𢘳 𢘴 𢘵 𢘶 𢘷 𢘸 𢘹 𢘺 𢘻 𢘼 𢘽 𢘾 𢘿 𢙀 𢙁 𢙂 𢙃 𢙄 𢙅 𢙆 𢙇 𢙈 𢙉 𢙊 𢙋 𢙌 𢙍 𢙎 𢙏 𢙐 𢙑 𢙒 𢙓 𢙔 𢙕 𢙖 𢙗 𢙘 𢙙 𢙚 𢙛 𢙜 𢙝 𢙞 𢙟 𢙠 𢙡 𢙢 𢙣 𢙤 𢙥 𢙦 𢙧 𢙨 𢙩 𢙪 𢙫 𢙬 𢙭 𢙮 𢙯 𢙰 𢙱 𢙲 𢙳 𢙴 𢙵 𢙶 𢙷 𢙸 𢙹 𢙺 𢙻 𢙼 𢙽 𢙾 𢙿 𢚀 𢚁 𢚂 𢚃 𢚄 𢚅 𢚆 𢚇 𢚈 𢚉 𢚊 𢚋 𢚌 𢚍 𢚎 𢚏 𢚐 𢚑 𢚒 𢚓 𢚔 𢚕 𢚖 𢚗 𢚘 𢚙 𢚚 𢚛 𢚜 𢚝 𢚞 𢚟 𢚠 𢚡 𢚢 𢚣 𢚤 𢚥 𢚦 𢚧 𢚨 𢚩 𢚪 𢚫 𢚬 𢚭 𢚮 𢚯 𢚰 𢚱 𢚲 𢚳 𢚴 𢚵 𢚶 𢚷 𢚸 𢚹 𢚺 𢚻 𢚼 𢚽 𢚾 𢚿 𢛀 𢛁 𢛂 𢛃 𢛄 𢛅 𢛆 𢛇 𢛈 𢛉 𢛊 𢛋 𢛌 𢛍 𢛎 𢛏 𢛐 𢛑 𢛒 𢛓 𢛔 𢛕 𢛖 𢛗 𢛘 𢛙 𢛚 𢛛 𢛜 𢛝 𢛞 𢛟 𢛠 𢛡 𢛢 𢛣 𢛤 𢛥 𢛦 𢛧 𢛨 𢛩 𢛪 𢛫 𢛬 𢛭 𢛮 𢛯 𢛰 𢛱 𢛲 𢛳 𢛴 𢛵 𢛶 𢛷 𢛸 𢛹 𢛺 𢛻 𢛼 𢛽 𢛾 𢛿</t>
        </is>
      </c>
      <c r="P557" s="37" t="inlineStr">
        <is>
          <t>𢘀 𢘁 𢘂 𢘃 𢘄 𢘅 𢘆 𢘇 𢘈 𢘉 𢘊 𢘋 𢘌 𢘍 𢘎 𢘏 𢘐 𢘑 𢘒 𢘓 𢘔 𢘕 𢘖 𢘗 𢘘 𢘙 𢘚 𢘛 𢘜 𢘝 𢘞 𢘟 𢘠 𢘡 𢘢 𢘣 𢘤 𢘥 𢘦 𢘧 𢘨 𢘩 𢘪 𢘫 𢘬 𢘭 𢘮 𢘯 𢘰 𢘱 𢘲 𢘳 𢘴 𢘵 𢘶 𢘷 𢘸 𢘹 𢘺 𢘻 𢘼 𢘽 𢘾 𢘿 𢙀 𢙁 𢙂 𢙃 𢙄 𢙅 𢙆 𢙇 𢙈 𢙉 𢙊 𢙋 𢙌 𢙍 𢙎 𢙏 𢙐 𢙑 𢙒 𢙓 𢙔 𢙕 𢙖 𢙗 𢙘 𢙙 𢙚 𢙛 𢙜 𢙝 𢙞 𢙟 𢙠 𢙡 𢙢 𢙣 𢙤 𢙥 𢙦 𢙧 𢙨 𢙩 𢙪 𢙫 𢙬 𢙭 𢙮 𢙯 𢙰 𢙱 𢙲 𢙳 𢙴 𢙵 𢙶 𢙷 𢙸 𢙹 𢙺 𢙻 𢙼 𢙽 𢙾 𢙿 𢚀 𢚁 𢚂 𢚃 𢚄 𢚅 𢚆 𢚇 𢚈 𢚉 𢚊 𢚋 𢚌 𢚍 𢚎 𢚏 𢚐 𢚑 𢚒 𢚓 𢚔 𢚕 𢚖 𢚗 𢚘 𢚙 𢚚 𢚛 𢚜 𢚝 𢚞 𢚟 𢚠 𢚡 𢚢 𢚣 𢚤 𢚥 𢚦 𢚧 𢚨 𢚩 𢚪 𢚫 𢚬 𢚭 𢚮 𢚯 𢚰 𢚱 𢚲 𢚳 𢚴 𢚵 𢚶 𢚷 𢚸 𢚹 𢚺 𢚻 𢚼 𢚽 𢚾 𢚿 𢛀 𢛁 𢛂 𢛃 𢛄 𢛅 𢛆 𢛇 𢛈 𢛉 𢛊 𢛋 𢛌 𢛍 𢛎 𢛏 𢛐 𢛑 𢛒 𢛓 𢛔 𢛕 𢛖 𢛗 𢛘 𢛙 𢛚 𢛛 𢛜 𢛝 𢛞 𢛟 𢛠 𢛡 𢛢 𢛣 𢛤 𢛥 𢛦 𢛧 𢛨 𢛩 𢛪 𢛫 𢛬 𢛭 𢛮 𢛯 𢛰 𢛱 𢛲 𢛳 𢛴 𢛵 𢛶 𢛷 𢛸 𢛹 𢛺 𢛻 𢛼 𢛽 𢛾 𢛿</t>
        </is>
      </c>
      <c r="Q557" s="38" t="inlineStr">
        <is>
          <t>𢘀 𢘁 𢘂 𢘃 𢘄 𢘅 𢘆 𢘇 𢘈 𢘉 𢘊 𢘋 𢘌 𢘍 𢘎 𢘏 𢘐 𢘑 𢘒 𢘓 𢘔 𢘕 𢘖 𢘗 𢘘 𢘙 𢘚 𢘛 𢘜 𢘝 𢘞 𢘟 𢘠 𢘡 𢘢 𢘣 𢘤 𢘥 𢘦 𢘧 𢘨 𢘩 𢘪 𢘫 𢘬 𢘭 𢘮 𢘯 𢘰 𢘱 𢘲 𢘳 𢘴 𢘵 𢘶 𢘷 𢘸 𢘹 𢘺 𢘻 𢘼 𢘽 𢘾 𢘿 𢙀 𢙁 𢙂 𢙃 𢙄 𢙅 𢙆 𢙇 𢙈 𢙉 𢙊 𢙋 𢙌 𢙍 𢙎 𢙏 𢙐 𢙑 𢙒 𢙓 𢙔 𢙕 𢙖 𢙗 𢙘 𢙙 𢙚 𢙛 𢙜 𢙝 𢙞 𢙟 𢙠 𢙡 𢙢 𢙣 𢙤 𢙥 𢙦 𢙧 𢙨 𢙩 𢙪 𢙫 𢙬 𢙭 𢙮 𢙯 𢙰 𢙱 𢙲 𢙳 𢙴 𢙵 𢙶 𢙷 𢙸 𢙹 𢙺 𢙻 𢙼 𢙽 𢙾 𢙿 𢚀 𢚁 𢚂 𢚃 𢚄 𢚅 𢚆 𢚇 𢚈 𢚉 𢚊 𢚋 𢚌 𢚍 𢚎 𢚏 𢚐 𢚑 𢚒 𢚓 𢚔 𢚕 𢚖 𢚗 𢚘 𢚙 𢚚 𢚛 𢚜 𢚝 𢚞 𢚟 𢚠 𢚡 𢚢 𢚣 𢚤 𢚥 𢚦 𢚧 𢚨 𢚩 𢚪 𢚫 𢚬 𢚭 𢚮 𢚯 𢚰 𢚱 𢚲 𢚳 𢚴 𢚵 𢚶 𢚷 𢚸 𢚹 𢚺 𢚻 𢚼 𢚽 𢚾 𢚿 𢛀 𢛁 𢛂 𢛃 𢛄 𢛅 𢛆 𢛇 𢛈 𢛉 𢛊 𢛋 𢛌 𢛍 𢛎 𢛏 𢛐 𢛑 𢛒 𢛓 𢛔 𢛕 𢛖 𢛗 𢛘 𢛙 𢛚 𢛛 𢛜 𢛝 𢛞 𢛟 𢛠 𢛡 𢛢 𢛣 𢛤 𢛥 𢛦 𢛧 𢛨 𢛩 𢛪 𢛫 𢛬 𢛭 𢛮 𢛯 𢛰 𢛱 𢛲 𢛳 𢛴 𢛵 𢛶 𢛷 𢛸 𢛹 𢛺 𢛻 𢛼 𢛽 𢛾 𢛿</t>
        </is>
      </c>
      <c r="R557" s="43" t="inlineStr">
        <is>
          <t>𢛳</t>
        </is>
      </c>
      <c r="S557" s="40" t="n"/>
      <c r="V557" s="14">
        <f>(LEN(O557)+1)/2</f>
        <v/>
      </c>
      <c r="W557" s="14">
        <f>ROUNDDOWN((LEN(P557)+1)/2,0)</f>
        <v/>
      </c>
      <c r="X557" s="14">
        <f>ROUNDDOWN((LEN(Q557)+1)/2,0)</f>
        <v/>
      </c>
      <c r="Y557" s="14">
        <f>ROUNDDOWN((LEN(R557)+1)/2,0)</f>
        <v/>
      </c>
      <c r="Z557" s="14">
        <f>ROUNDDOWN((LEN(S557)+1)/2,0)</f>
        <v/>
      </c>
      <c r="AA557" s="56" t="n">
        <v>46150.55875039963</v>
      </c>
    </row>
    <row r="558" ht="102" customHeight="1">
      <c r="B558" s="46" t="inlineStr">
        <is>
          <t>U+22800-U+228FF</t>
        </is>
      </c>
      <c r="C558" s="46" t="inlineStr">
        <is>
          <t>CJK Unified Ideographs Extension B</t>
        </is>
      </c>
      <c r="D558" s="54">
        <f>HEX2DEC(MID(B558,3,FIND("-",E558)-3))</f>
        <v/>
      </c>
      <c r="E558" s="46" t="inlineStr">
        <is>
          <t>U+20000-U+2A6DF</t>
        </is>
      </c>
      <c r="F558" s="12" t="n">
        <v>4</v>
      </c>
      <c r="J558" s="19">
        <f>ROUNDDOWN(W558,0)/$V558</f>
        <v/>
      </c>
      <c r="K558" s="19">
        <f>ROUNDDOWN(X558,0)/$V558</f>
        <v/>
      </c>
      <c r="L558" s="19">
        <f>ROUNDDOWN(Y558,0)/$V558</f>
        <v/>
      </c>
      <c r="M558" s="19">
        <f>ROUNDDOWN(Z558,0)/$V558</f>
        <v/>
      </c>
      <c r="O558" s="36" t="inlineStr">
        <is>
          <t>𢜀 𢜁 𢜂 𢜃 𢜄 𢜅 𢜆 𢜇 𢜈 𢜉 𢜊 𢜋 𢜌 𢜍 𢜎 𢜏 𢜐 𢜑 𢜒 𢜓 𢜔 𢜕 𢜖 𢜗 𢜘 𢜙 𢜚 𢜛 𢜜 𢜝 𢜞 𢜟 𢜠 𢜡 𢜢 𢜣 𢜤 𢜥 𢜦 𢜧 𢜨 𢜩 𢜪 𢜫 𢜬 𢜭 𢜮 𢜯 𢜰 𢜱 𢜲 𢜳 𢜴 𢜵 𢜶 𢜷 𢜸 𢜹 𢜺 𢜻 𢜼 𢜽 𢜾 𢜿 𢝀 𢝁 𢝂 𢝃 𢝄 𢝅 𢝆 𢝇 𢝈 𢝉 𢝊 𢝋 𢝌 𢝍 𢝎 𢝏 𢝐 𢝑 𢝒 𢝓 𢝔 𢝕 𢝖 𢝗 𢝘 𢝙 𢝚 𢝛 𢝜 𢝝 𢝞 𢝟 𢝠 𢝡 𢝢 𢝣 𢝤 𢝥 𢝦 𢝧 𢝨 𢝩 𢝪 𢝫 𢝬 𢝭 𢝮 𢝯 𢝰 𢝱 𢝲 𢝳 𢝴 𢝵 𢝶 𢝷 𢝸 𢝹 𢝺 𢝻 𢝼 𢝽 𢝾 𢝿 𢞀 𢞁 𢞂 𢞃 𢞄 𢞅 𢞆 𢞇 𢞈 𢞉 𢞊 𢞋 𢞌 𢞍 𢞎 𢞏 𢞐 𢞑 𢞒 𢞓 𢞔 𢞕 𢞖 𢞗 𢞘 𢞙 𢞚 𢞛 𢞜 𢞝 𢞞 𢞟 𢞠 𢞡 𢞢 𢞣 𢞤 𢞥 𢞦 𢞧 𢞨 𢞩 𢞪 𢞫 𢞬 𢞭 𢞮 𢞯 𢞰 𢞱 𢞲 𢞳 𢞴 𢞵 𢞶 𢞷 𢞸 𢞹 𢞺 𢞻 𢞼 𢞽 𢞾 𢞿 𢟀 𢟁 𢟂 𢟃 𢟄 𢟅 𢟆 𢟇 𢟈 𢟉 𢟊 𢟋 𢟌 𢟍 𢟎 𢟏 𢟐 𢟑 𢟒 𢟓 𢟔 𢟕 𢟖 𢟗 𢟘 𢟙 𢟚 𢟛 𢟜 𢟝 𢟞 𢟟 𢟠 𢟡 𢟢 𢟣 𢟤 𢟥 𢟦 𢟧 𢟨 𢟩 𢟪 𢟫 𢟬 𢟭 𢟮 𢟯 𢟰 𢟱 𢟲 𢟳 𢟴 𢟵 𢟶 𢟷 𢟸 𢟹 𢟺 𢟻 𢟼 𢟽 𢟾 𢟿</t>
        </is>
      </c>
      <c r="P558" s="37" t="inlineStr">
        <is>
          <t>𢜀 𢜁 𢜂 𢜃 𢜄 𢜅 𢜆 𢜇 𢜈 𢜉 𢜊 𢜋 𢜌 𢜍 𢜎 𢜏 𢜐 𢜑 𢜒 𢜓 𢜔 𢜕 𢜖 𢜗 𢜘 𢜙 𢜚 𢜛 𢜜 𢜝 𢜞 𢜟 𢜠 𢜡 𢜢 𢜣 𢜤 𢜥 𢜦 𢜧 𢜨 𢜩 𢜪 𢜫 𢜬 𢜭 𢜮 𢜯 𢜰 𢜱 𢜲 𢜳 𢜴 𢜵 𢜶 𢜷 𢜸 𢜹 𢜺 𢜻 𢜼 𢜽 𢜾 𢜿 𢝀 𢝁 𢝂 𢝃 𢝄 𢝅 𢝆 𢝇 𢝈 𢝉 𢝊 𢝋 𢝌 𢝍 𢝎 𢝏 𢝐 𢝑 𢝒 𢝓 𢝔 𢝕 𢝖 𢝗 𢝘 𢝙 𢝚 𢝛 𢝜 𢝝 𢝞 𢝟 𢝠 𢝡 𢝢 𢝣 𢝤 𢝥 𢝦 𢝧 𢝨 𢝩 𢝪 𢝫 𢝬 𢝭 𢝮 𢝯 𢝰 𢝱 𢝲 𢝳 𢝴 𢝵 𢝶 𢝷 𢝸 𢝹 𢝺 𢝻 𢝼 𢝽 𢝾 𢝿 𢞀 𢞁 𢞂 𢞃 𢞄 𢞅 𢞆 𢞇 𢞈 𢞉 𢞊 𢞋 𢞌 𢞍 𢞎 𢞏 𢞐 𢞑 𢞒 𢞓 𢞔 𢞕 𢞖 𢞗 𢞘 𢞙 𢞚 𢞛 𢞜 𢞝 𢞞 𢞟 𢞠 𢞡 𢞢 𢞣 𢞤 𢞥 𢞦 𢞧 𢞨 𢞩 𢞪 𢞫 𢞬 𢞭 𢞮 𢞯 𢞰 𢞱 𢞲 𢞳 𢞴 𢞵 𢞶 𢞷 𢞸 𢞹 𢞺 𢞻 𢞼 𢞽 𢞾 𢞿 𢟀 𢟁 𢟂 𢟃 𢟄 𢟅 𢟆 𢟇 𢟈 𢟉 𢟊 𢟋 𢟌 𢟍 𢟎 𢟏 𢟐 𢟑 𢟒 𢟓 𢟔 𢟕 𢟖 𢟗 𢟘 𢟙 𢟚 𢟛 𢟜 𢟝 𢟞 𢟟 𢟠 𢟡 𢟢 𢟣 𢟤 𢟥 𢟦 𢟧 𢟨 𢟩 𢟪 𢟫 𢟬 𢟭 𢟮 𢟯 𢟰 𢟱 𢟲 𢟳 𢟴 𢟵 𢟶 𢟷 𢟸 𢟹 𢟺 𢟻 𢟼 𢟽 𢟾 𢟿</t>
        </is>
      </c>
      <c r="Q558" s="38" t="inlineStr">
        <is>
          <t>𢜀 𢜁 𢜂 𢜃 𢜄 𢜅 𢜆 𢜇 𢜈 𢜉 𢜊 𢜋 𢜌 𢜍 𢜎 𢜏 𢜐 𢜑 𢜒 𢜓 𢜔 𢜕 𢜖 𢜗 𢜘 𢜙 𢜚 𢜛 𢜜 𢜝 𢜞 𢜟 𢜠 𢜡 𢜢 𢜣 𢜤 𢜥 𢜦 𢜧 𢜨 𢜩 𢜪 𢜫 𢜬 𢜭 𢜮 𢜯 𢜰 𢜱 𢜲 𢜳 𢜴 𢜵 𢜶 𢜷 𢜸 𢜹 𢜺 𢜻 𢜼 𢜽 𢜾 𢜿 𢝀 𢝁 𢝂 𢝃 𢝄 𢝅 𢝆 𢝇 𢝈 𢝉 𢝊 𢝋 𢝌 𢝍 𢝎 𢝏 𢝐 𢝑 𢝒 𢝓 𢝔 𢝕 𢝖 𢝗 𢝘 𢝙 𢝚 𢝛 𢝜 𢝝 𢝞 𢝟 𢝠 𢝡 𢝢 𢝣 𢝤 𢝥 𢝦 𢝧 𢝨 𢝩 𢝪 𢝫 𢝬 𢝭 𢝮 𢝯 𢝰 𢝱 𢝲 𢝳 𢝴 𢝵 𢝶 𢝷 𢝸 𢝹 𢝺 𢝻 𢝼 𢝽 𢝾 𢝿 𢞀 𢞁 𢞂 𢞃 𢞄 𢞅 𢞆 𢞇 𢞈 𢞉 𢞊 𢞋 𢞌 𢞍 𢞎 𢞏 𢞐 𢞑 𢞒 𢞓 𢞔 𢞕 𢞖 𢞗 𢞘 𢞙 𢞚 𢞛 𢞜 𢞝 𢞞 𢞟 𢞠 𢞡 𢞢 𢞣 𢞤 𢞥 𢞦 𢞧 𢞨 𢞩 𢞪 𢞫 𢞬 𢞭 𢞮 𢞯 𢞰 𢞱 𢞲 𢞳 𢞴 𢞵 𢞶 𢞷 𢞸 𢞹 𢞺 𢞻 𢞼 𢞽 𢞾 𢞿 𢟀 𢟁 𢟂 𢟃 𢟄 𢟅 𢟆 𢟇 𢟈 𢟉 𢟊 𢟋 𢟌 𢟍 𢟎 𢟏 𢟐 𢟑 𢟒 𢟓 𢟔 𢟕 𢟖 𢟗 𢟘 𢟙 𢟚 𢟛 𢟜 𢟝 𢟞 𢟟 𢟠 𢟡 𢟢 𢟣 𢟤 𢟥 𢟦 𢟧 𢟨 𢟩 𢟪 𢟫 𢟬 𢟭 𢟮 𢟯 𢟰 𢟱 𢟲 𢟳 𢟴 𢟵 𢟶 𢟷 𢟸 𢟹 𢟺 𢟻 𢟼 𢟽 𢟾 𢟿</t>
        </is>
      </c>
      <c r="R558" s="43" t="inlineStr">
        <is>
          <t>𢝵 𢞵</t>
        </is>
      </c>
      <c r="S558" s="40" t="n"/>
      <c r="V558" s="14">
        <f>(LEN(O558)+1)/2</f>
        <v/>
      </c>
      <c r="W558" s="14">
        <f>ROUNDDOWN((LEN(P558)+1)/2,0)</f>
        <v/>
      </c>
      <c r="X558" s="14">
        <f>ROUNDDOWN((LEN(Q558)+1)/2,0)</f>
        <v/>
      </c>
      <c r="Y558" s="14">
        <f>ROUNDDOWN((LEN(R558)+1)/2,0)</f>
        <v/>
      </c>
      <c r="Z558" s="14">
        <f>ROUNDDOWN((LEN(S558)+1)/2,0)</f>
        <v/>
      </c>
      <c r="AA558" s="56" t="n">
        <v>46150.55875148322</v>
      </c>
    </row>
    <row r="559" ht="102" customHeight="1">
      <c r="B559" s="46" t="inlineStr">
        <is>
          <t>U+22900-U+229FF</t>
        </is>
      </c>
      <c r="C559" s="46" t="inlineStr">
        <is>
          <t>CJK Unified Ideographs Extension B</t>
        </is>
      </c>
      <c r="D559" s="54">
        <f>HEX2DEC(MID(B559,3,FIND("-",E559)-3))</f>
        <v/>
      </c>
      <c r="E559" s="46" t="inlineStr">
        <is>
          <t>U+20000-U+2A6DF</t>
        </is>
      </c>
      <c r="F559" s="12" t="n">
        <v>4</v>
      </c>
      <c r="J559" s="19">
        <f>ROUNDDOWN(W559,0)/$V559</f>
        <v/>
      </c>
      <c r="K559" s="19">
        <f>ROUNDDOWN(X559,0)/$V559</f>
        <v/>
      </c>
      <c r="L559" s="19">
        <f>ROUNDDOWN(Y559,0)/$V559</f>
        <v/>
      </c>
      <c r="M559" s="19">
        <f>ROUNDDOWN(Z559,0)/$V559</f>
        <v/>
      </c>
      <c r="O559" s="36" t="inlineStr">
        <is>
          <t>𢠀 𢠁 𢠂 𢠃 𢠄 𢠅 𢠆 𢠇 𢠈 𢠉 𢠊 𢠋 𢠌 𢠍 𢠎 𢠏 𢠐 𢠑 𢠒 𢠓 𢠔 𢠕 𢠖 𢠗 𢠘 𢠙 𢠚 𢠛 𢠜 𢠝 𢠞 𢠟 𢠠 𢠡 𢠢 𢠣 𢠤 𢠥 𢠦 𢠧 𢠨 𢠩 𢠪 𢠫 𢠬 𢠭 𢠮 𢠯 𢠰 𢠱 𢠲 𢠳 𢠴 𢠵 𢠶 𢠷 𢠸 𢠹 𢠺 𢠻 𢠼 𢠽 𢠾 𢠿 𢡀 𢡁 𢡂 𢡃 𢡄 𢡅 𢡆 𢡇 𢡈 𢡉 𢡊 𢡋 𢡌 𢡍 𢡎 𢡏 𢡐 𢡑 𢡒 𢡓 𢡔 𢡕 𢡖 𢡗 𢡘 𢡙 𢡚 𢡛 𢡜 𢡝 𢡞 𢡟 𢡠 𢡡 𢡢 𢡣 𢡤 𢡥 𢡦 𢡧 𢡨 𢡩 𢡪 𢡫 𢡬 𢡭 𢡮 𢡯 𢡰 𢡱 𢡲 𢡳 𢡴 𢡵 𢡶 𢡷 𢡸 𢡹 𢡺 𢡻 𢡼 𢡽 𢡾 𢡿 𢢀 𢢁 𢢂 𢢃 𢢄 𢢅 𢢆 𢢇 𢢈 𢢉 𢢊 𢢋 𢢌 𢢍 𢢎 𢢏 𢢐 𢢑 𢢒 𢢓 𢢔 𢢕 𢢖 𢢗 𢢘 𢢙 𢢚 𢢛 𢢜 𢢝 𢢞 𢢟 𢢠 𢢡 𢢢 𢢣 𢢤 𢢥 𢢦 𢢧 𢢨 𢢩 𢢪 𢢫 𢢬 𢢭 𢢮 𢢯 𢢰 𢢱 𢢲 𢢳 𢢴 𢢵 𢢶 𢢷 𢢸 𢢹 𢢺 𢢻 𢢼 𢢽 𢢾 𢢿 𢣀 𢣁 𢣂 𢣃 𢣄 𢣅 𢣆 𢣇 𢣈 𢣉 𢣊 𢣋 𢣌 𢣍 𢣎 𢣏 𢣐 𢣑 𢣒 𢣓 𢣔 𢣕 𢣖 𢣗 𢣘 𢣙 𢣚 𢣛 𢣜 𢣝 𢣞 𢣟 𢣠 𢣡 𢣢 𢣣 𢣤 𢣥 𢣦 𢣧 𢣨 𢣩 𢣪 𢣫 𢣬 𢣭 𢣮 𢣯 𢣰 𢣱 𢣲 𢣳 𢣴 𢣵 𢣶 𢣷 𢣸 𢣹 𢣺 𢣻 𢣼 𢣽 𢣾 𢣿</t>
        </is>
      </c>
      <c r="P559" s="37" t="inlineStr">
        <is>
          <t>𢠀 𢠁 𢠂 𢠃 𢠄 𢠅 𢠆 𢠇 𢠈 𢠉 𢠊 𢠋 𢠌 𢠍 𢠎 𢠏 𢠐 𢠑 𢠒 𢠓 𢠔 𢠕 𢠖 𢠗 𢠘 𢠙 𢠚 𢠛 𢠜 𢠝 𢠞 𢠟 𢠠 𢠡 𢠢 𢠣 𢠤 𢠥 𢠦 𢠧 𢠨 𢠩 𢠪 𢠫 𢠬 𢠭 𢠮 𢠯 𢠰 𢠱 𢠲 𢠳 𢠴 𢠵 𢠶 𢠷 𢠸 𢠹 𢠺 𢠻 𢠼 𢠽 𢠾 𢠿 𢡀 𢡁 𢡂 𢡃 𢡄 𢡅 𢡆 𢡇 𢡈 𢡉 𢡊 𢡋 𢡌 𢡍 𢡎 𢡏 𢡐 𢡑 𢡒 𢡓 𢡔 𢡕 𢡖 𢡗 𢡘 𢡙 𢡚 𢡛 𢡜 𢡝 𢡞 𢡟 𢡠 𢡡 𢡢 𢡣 𢡤 𢡥 𢡦 𢡧 𢡨 𢡩 𢡪 𢡫 𢡬 𢡭 𢡮 𢡯 𢡰 𢡱 𢡲 𢡳 𢡴 𢡵 𢡶 𢡷 𢡸 𢡹 𢡺 𢡻 𢡼 𢡽 𢡾 𢡿 𢢀 𢢁 𢢂 𢢃 𢢄 𢢅 𢢆 𢢇 𢢈 𢢉 𢢊 𢢋 𢢌 𢢍 𢢎 𢢏 𢢐 𢢑 𢢒 𢢓 𢢔 𢢕 𢢖 𢢗 𢢘 𢢙 𢢚 𢢛 𢢜 𢢝 𢢞 𢢟 𢢠 𢢡 𢢢 𢢣 𢢤 𢢥 𢢦 𢢧 𢢨 𢢩 𢢪 𢢫 𢢬 𢢭 𢢮 𢢯 𢢰 𢢱 𢢲 𢢳 𢢴 𢢵 𢢶 𢢷 𢢸 𢢹 𢢺 𢢻 𢢼 𢢽 𢢾 𢢿 𢣀 𢣁 𢣂 𢣃 𢣄 𢣅 𢣆 𢣇 𢣈 𢣉 𢣊 𢣋 𢣌 𢣍 𢣎 𢣏 𢣐 𢣑 𢣒 𢣓 𢣔 𢣕 𢣖 𢣗 𢣘 𢣙 𢣚 𢣛 𢣜 𢣝 𢣞 𢣟 𢣠 𢣡 𢣢 𢣣 𢣤 𢣥 𢣦 𢣧 𢣨 𢣩 𢣪 𢣫 𢣬 𢣭 𢣮 𢣯 𢣰 𢣱 𢣲 𢣳 𢣴 𢣵 𢣶 𢣷 𢣸 𢣹 𢣺 𢣻 𢣼 𢣽 𢣾 𢣿</t>
        </is>
      </c>
      <c r="Q559" s="38" t="inlineStr">
        <is>
          <t>𢠀 𢠁 𢠂 𢠃 𢠄 𢠅 𢠆 𢠇 𢠈 𢠉 𢠊 𢠋 𢠌 𢠍 𢠎 𢠏 𢠐 𢠑 𢠒 𢠓 𢠔 𢠕 𢠖 𢠗 𢠘 𢠙 𢠚 𢠛 𢠜 𢠝 𢠞 𢠟 𢠠 𢠡 𢠢 𢠣 𢠤 𢠥 𢠦 𢠧 𢠨 𢠩 𢠪 𢠫 𢠬 𢠭 𢠮 𢠯 𢠰 𢠱 𢠲 𢠳 𢠴 𢠵 𢠶 𢠷 𢠸 𢠹 𢠺 𢠻 𢠼 𢠽 𢠾 𢠿 𢡀 𢡁 𢡂 𢡃 𢡄 𢡅 𢡆 𢡇 𢡈 𢡉 𢡊 𢡋 𢡌 𢡍 𢡎 𢡏 𢡐 𢡑 𢡒 𢡓 𢡔 𢡕 𢡖 𢡗 𢡘 𢡙 𢡚 𢡛 𢡜 𢡝 𢡞 𢡟 𢡠 𢡡 𢡢 𢡣 𢡤 𢡥 𢡦 𢡧 𢡨 𢡩 𢡪 𢡫 𢡬 𢡭 𢡮 𢡯 𢡰 𢡱 𢡲 𢡳 𢡴 𢡵 𢡶 𢡷 𢡸 𢡹 𢡺 𢡻 𢡼 𢡽 𢡾 𢡿 𢢀 𢢁 𢢂 𢢃 𢢄 𢢅 𢢆 𢢇 𢢈 𢢉 𢢊 𢢋 𢢌 𢢍 𢢎 𢢏 𢢐 𢢑 𢢒 𢢓 𢢔 𢢕 𢢖 𢢗 𢢘 𢢙 𢢚 𢢛 𢢜 𢢝 𢢞 𢢟 𢢠 𢢡 𢢢 𢢣 𢢤 𢢥 𢢦 𢢧 𢢨 𢢩 𢢪 𢢫 𢢬 𢢭 𢢮 𢢯 𢢰 𢢱 𢢲 𢢳 𢢴 𢢵 𢢶 𢢷 𢢸 𢢹 𢢺 𢢻 𢢼 𢢽 𢢾 𢢿 𢣀 𢣁 𢣂 𢣃 𢣄 𢣅 𢣆 𢣇 𢣈 𢣉 𢣊 𢣋 𢣌 𢣍 𢣎 𢣏 𢣐 𢣑 𢣒 𢣓 𢣔 𢣕 𢣖 𢣗 𢣘 𢣙 𢣚 𢣛 𢣜 𢣝 𢣞 𢣟 𢣠 𢣡 𢣢 𢣣 𢣤 𢣥 𢣦 𢣧 𢣨 𢣩 𢣪 𢣫 𢣬 𢣭 𢣮 𢣯 𢣰 𢣱 𢣲 𢣳 𢣴 𢣵 𢣶 𢣷 𢣸 𢣹 𢣺 𢣻 𢣼 𢣽 𢣾 𢣿</t>
        </is>
      </c>
      <c r="R559" s="43" t="inlineStr">
        <is>
          <t>𢡛 𢢫</t>
        </is>
      </c>
      <c r="S559" s="40" t="n"/>
      <c r="V559" s="14">
        <f>(LEN(O559)+1)/2</f>
        <v/>
      </c>
      <c r="W559" s="14">
        <f>ROUNDDOWN((LEN(P559)+1)/2,0)</f>
        <v/>
      </c>
      <c r="X559" s="14">
        <f>ROUNDDOWN((LEN(Q559)+1)/2,0)</f>
        <v/>
      </c>
      <c r="Y559" s="14">
        <f>ROUNDDOWN((LEN(R559)+1)/2,0)</f>
        <v/>
      </c>
      <c r="Z559" s="14">
        <f>ROUNDDOWN((LEN(S559)+1)/2,0)</f>
        <v/>
      </c>
      <c r="AA559" s="56" t="n">
        <v>46150.55875257091</v>
      </c>
    </row>
    <row r="560" ht="102" customHeight="1">
      <c r="B560" s="46" t="inlineStr">
        <is>
          <t>U+22A00-U+22AFF</t>
        </is>
      </c>
      <c r="C560" s="46" t="inlineStr">
        <is>
          <t>CJK Unified Ideographs Extension B</t>
        </is>
      </c>
      <c r="D560" s="54">
        <f>HEX2DEC(MID(B560,3,FIND("-",E560)-3))</f>
        <v/>
      </c>
      <c r="E560" s="46" t="inlineStr">
        <is>
          <t>U+20000-U+2A6DF</t>
        </is>
      </c>
      <c r="F560" s="12" t="n">
        <v>4</v>
      </c>
      <c r="J560" s="19">
        <f>ROUNDDOWN(W560,0)/$V560</f>
        <v/>
      </c>
      <c r="K560" s="19">
        <f>ROUNDDOWN(X560,0)/$V560</f>
        <v/>
      </c>
      <c r="L560" s="19">
        <f>ROUNDDOWN(Y560,0)/$V560</f>
        <v/>
      </c>
      <c r="M560" s="19">
        <f>ROUNDDOWN(Z560,0)/$V560</f>
        <v/>
      </c>
      <c r="O560" s="36" t="inlineStr">
        <is>
          <t>𢤀 𢤁 𢤂 𢤃 𢤄 𢤅 𢤆 𢤇 𢤈 𢤉 𢤊 𢤋 𢤌 𢤍 𢤎 𢤏 𢤐 𢤑 𢤒 𢤓 𢤔 𢤕 𢤖 𢤗 𢤘 𢤙 𢤚 𢤛 𢤜 𢤝 𢤞 𢤟 𢤠 𢤡 𢤢 𢤣 𢤤 𢤥 𢤦 𢤧 𢤨 𢤩 𢤪 𢤫 𢤬 𢤭 𢤮 𢤯 𢤰 𢤱 𢤲 𢤳 𢤴 𢤵 𢤶 𢤷 𢤸 𢤹 𢤺 𢤻 𢤼 𢤽 𢤾 𢤿 𢥀 𢥁 𢥂 𢥃 𢥄 𢥅 𢥆 𢥇 𢥈 𢥉 𢥊 𢥋 𢥌 𢥍 𢥎 𢥏 𢥐 𢥑 𢥒 𢥓 𢥔 𢥕 𢥖 𢥗 𢥘 𢥙 𢥚 𢥛 𢥜 𢥝 𢥞 𢥟 𢥠 𢥡 𢥢 𢥣 𢥤 𢥥 𢥦 𢥧 𢥨 𢥩 𢥪 𢥫 𢥬 𢥭 𢥮 𢥯 𢥰 𢥱 𢥲 𢥳 𢥴 𢥵 𢥶 𢥷 𢥸 𢥹 𢥺 𢥻 𢥼 𢥽 𢥾 𢥿 𢦀 𢦁 𢦂 𢦃 𢦄 𢦅 𢦆 𢦇 𢦈 𢦉 𢦊 𢦋 𢦌 𢦍 𢦎 𢦏 𢦐 𢦑 𢦒 𢦓 𢦔 𢦕 𢦖 𢦗 𢦘 𢦙 𢦚 𢦛 𢦜 𢦝 𢦞 𢦟 𢦠 𢦡 𢦢 𢦣 𢦤 𢦥 𢦦 𢦧 𢦨 𢦩 𢦪 𢦫 𢦬 𢦭 𢦮 𢦯 𢦰 𢦱 𢦲 𢦳 𢦴 𢦵 𢦶 𢦷 𢦸 𢦹 𢦺 𢦻 𢦼 𢦽 𢦾 𢦿 𢧀 𢧁 𢧂 𢧃 𢧄 𢧅 𢧆 𢧇 𢧈 𢧉 𢧊 𢧋 𢧌 𢧍 𢧎 𢧏 𢧐 𢧑 𢧒 𢧓 𢧔 𢧕 𢧖 𢧗 𢧘 𢧙 𢧚 𢧛 𢧜 𢧝 𢧞 𢧟 𢧠 𢧡 𢧢 𢧣 𢧤 𢧥 𢧦 𢧧 𢧨 𢧩 𢧪 𢧫 𢧬 𢧭 𢧮 𢧯 𢧰 𢧱 𢧲 𢧳 𢧴 𢧵 𢧶 𢧷 𢧸 𢧹 𢧺 𢧻 𢧼 𢧽 𢧾 𢧿</t>
        </is>
      </c>
      <c r="P560" s="37" t="inlineStr">
        <is>
          <t>𢤀 𢤁 𢤂 𢤃 𢤄 𢤅 𢤆 𢤇 𢤈 𢤉 𢤊 𢤋 𢤌 𢤍 𢤎 𢤏 𢤐 𢤑 𢤒 𢤓 𢤔 𢤕 𢤖 𢤗 𢤘 𢤙 𢤚 𢤛 𢤜 𢤝 𢤞 𢤟 𢤠 𢤡 𢤢 𢤣 𢤤 𢤥 𢤦 𢤧 𢤨 𢤩 𢤪 𢤫 𢤬 𢤭 𢤮 𢤯 𢤰 𢤱 𢤲 𢤳 𢤴 𢤵 𢤶 𢤷 𢤸 𢤹 𢤺 𢤻 𢤼 𢤽 𢤾 𢤿 𢥀 𢥁 𢥂 𢥃 𢥄 𢥅 𢥆 𢥇 𢥈 𢥉 𢥊 𢥋 𢥌 𢥍 𢥎 𢥏 𢥐 𢥑 𢥒 𢥓 𢥔 𢥕 𢥖 𢥗 𢥘 𢥙 𢥚 𢥛 𢥜 𢥝 𢥞 𢥟 𢥠 𢥡 𢥢 𢥣 𢥤 𢥥 𢥦 𢥧 𢥨 𢥩 𢥪 𢥫 𢥬 𢥭 𢥮 𢥯 𢥰 𢥱 𢥲 𢥳 𢥴 𢥵 𢥶 𢥷 𢥸 𢥹 𢥺 𢥻 𢥼 𢥽 𢥾 𢥿 𢦀 𢦁 𢦂 𢦃 𢦄 𢦅 𢦆 𢦇 𢦈 𢦉 𢦊 𢦋 𢦌 𢦍 𢦎 𢦏 𢦐 𢦑 𢦒 𢦓 𢦔 𢦕 𢦖 𢦗 𢦘 𢦙 𢦚 𢦛 𢦜 𢦝 𢦞 𢦟 𢦠 𢦡 𢦢 𢦣 𢦤 𢦥 𢦦 𢦧 𢦨 𢦩 𢦪 𢦫 𢦬 𢦭 𢦮 𢦯 𢦰 𢦱 𢦲 𢦳 𢦴 𢦵 𢦶 𢦷 𢦸 𢦹 𢦺 𢦻 𢦼 𢦽 𢦾 𢦿 𢧀 𢧁 𢧂 𢧃 𢧄 𢧅 𢧆 𢧇 𢧈 𢧉 𢧊 𢧋 𢧌 𢧍 𢧎 𢧏 𢧐 𢧑 𢧒 𢧓 𢧔 𢧕 𢧖 𢧗 𢧘 𢧙 𢧚 𢧛 𢧜 𢧝 𢧞 𢧟 𢧠 𢧡 𢧢 𢧣 𢧤 𢧥 𢧦 𢧧 𢧨 𢧩 𢧪 𢧫 𢧬 𢧭 𢧮 𢧯 𢧰 𢧱 𢧲 𢧳 𢧴 𢧵 𢧶 𢧷 𢧸 𢧹 𢧺 𢧻 𢧼 𢧽 𢧾 𢧿</t>
        </is>
      </c>
      <c r="Q560" s="38" t="inlineStr">
        <is>
          <t>𢤀 𢤁 𢤂 𢤃 𢤄 𢤅 𢤆 𢤇 𢤈 𢤉 𢤊 𢤋 𢤌 𢤍 𢤎 𢤏 𢤐 𢤑 𢤒 𢤓 𢤔 𢤕 𢤖 𢤗 𢤘 𢤙 𢤚 𢤛 𢤜 𢤝 𢤞 𢤟 𢤠 𢤡 𢤢 𢤣 𢤤 𢤥 𢤦 𢤧 𢤨 𢤩 𢤪 𢤫 𢤬 𢤭 𢤮 𢤯 𢤰 𢤱 𢤲 𢤳 𢤴 𢤵 𢤶 𢤷 𢤸 𢤹 𢤺 𢤻 𢤼 𢤽 𢤾 𢤿 𢥀 𢥁 𢥂 𢥃 𢥄 𢥅 𢥆 𢥇 𢥈 𢥉 𢥊 𢥋 𢥌 𢥍 𢥎 𢥏 𢥐 𢥑 𢥒 𢥓 𢥔 𢥕 𢥖 𢥗 𢥘 𢥙 𢥚 𢥛 𢥜 𢥝 𢥞 𢥟 𢥠 𢥡 𢥢 𢥣 𢥤 𢥥 𢥦 𢥧 𢥨 𢥩 𢥪 𢥫 𢥬 𢥭 𢥮 𢥯 𢥰 𢥱 𢥲 𢥳 𢥴 𢥵 𢥶 𢥷 𢥸 𢥹 𢥺 𢥻 𢥼 𢥽 𢥾 𢥿 𢦀 𢦁 𢦂 𢦃 𢦄 𢦅 𢦆 𢦇 𢦈 𢦉 𢦊 𢦋 𢦌 𢦍 𢦎 𢦏 𢦐 𢦑 𢦒 𢦓 𢦔 𢦕 𢦖 𢦗 𢦘 𢦙 𢦚 𢦛 𢦜 𢦝 𢦞 𢦟 𢦠 𢦡 𢦢 𢦣 𢦤 𢦥 𢦦 𢦧 𢦨 𢦩 𢦪 𢦫 𢦬 𢦭 𢦮 𢦯 𢦰 𢦱 𢦲 𢦳 𢦴 𢦵 𢦶 𢦷 𢦸 𢦹 𢦺 𢦻 𢦼 𢦽 𢦾 𢦿 𢧀 𢧁 𢧂 𢧃 𢧄 𢧅 𢧆 𢧇 𢧈 𢧉 𢧊 𢧋 𢧌 𢧍 𢧎 𢧏 𢧐 𢧑 𢧒 𢧓 𢧔 𢧕 𢧖 𢧗 𢧘 𢧙 𢧚 𢧛 𢧜 𢧝 𢧞 𢧟 𢧠 𢧡 𢧢 𢧣 𢧤 𢧥 𢧦 𢧧 𢧨 𢧩 𢧪 𢧫 𢧬 𢧭 𢧮 𢧯 𢧰 𢧱 𢧲 𢧳 𢧴 𢧵 𢧶 𢧷 𢧸 𢧹 𢧺 𢧻 𢧼 𢧽 𢧾 𢧿</t>
        </is>
      </c>
      <c r="R560" s="43" t="inlineStr">
        <is>
          <t>𢦏</t>
        </is>
      </c>
      <c r="S560" s="40" t="n"/>
      <c r="V560" s="14">
        <f>(LEN(O560)+1)/2</f>
        <v/>
      </c>
      <c r="W560" s="14">
        <f>ROUNDDOWN((LEN(P560)+1)/2,0)</f>
        <v/>
      </c>
      <c r="X560" s="14">
        <f>ROUNDDOWN((LEN(Q560)+1)/2,0)</f>
        <v/>
      </c>
      <c r="Y560" s="14">
        <f>ROUNDDOWN((LEN(R560)+1)/2,0)</f>
        <v/>
      </c>
      <c r="Z560" s="14">
        <f>ROUNDDOWN((LEN(S560)+1)/2,0)</f>
        <v/>
      </c>
      <c r="AA560" s="56" t="n">
        <v>46150.55875363669</v>
      </c>
    </row>
    <row r="561" ht="102" customHeight="1">
      <c r="B561" s="46" t="inlineStr">
        <is>
          <t>U+22B00-U+22BFF</t>
        </is>
      </c>
      <c r="C561" s="46" t="inlineStr">
        <is>
          <t>CJK Unified Ideographs Extension B</t>
        </is>
      </c>
      <c r="D561" s="54">
        <f>HEX2DEC(MID(B561,3,FIND("-",E561)-3))</f>
        <v/>
      </c>
      <c r="E561" s="46" t="inlineStr">
        <is>
          <t>U+20000-U+2A6DF</t>
        </is>
      </c>
      <c r="F561" s="12" t="n">
        <v>4</v>
      </c>
      <c r="J561" s="19">
        <f>ROUNDDOWN(W561,0)/$V561</f>
        <v/>
      </c>
      <c r="K561" s="19">
        <f>ROUNDDOWN(X561,0)/$V561</f>
        <v/>
      </c>
      <c r="L561" s="19">
        <f>ROUNDDOWN(Y561,0)/$V561</f>
        <v/>
      </c>
      <c r="M561" s="19">
        <f>ROUNDDOWN(Z561,0)/$V561</f>
        <v/>
      </c>
      <c r="O561" s="36" t="inlineStr">
        <is>
          <t>𢨀 𢨁 𢨂 𢨃 𢨄 𢨅 𢨆 𢨇 𢨈 𢨉 𢨊 𢨋 𢨌 𢨍 𢨎 𢨏 𢨐 𢨑 𢨒 𢨓 𢨔 𢨕 𢨖 𢨗 𢨘 𢨙 𢨚 𢨛 𢨜 𢨝 𢨞 𢨟 𢨠 𢨡 𢨢 𢨣 𢨤 𢨥 𢨦 𢨧 𢨨 𢨩 𢨪 𢨫 𢨬 𢨭 𢨮 𢨯 𢨰 𢨱 𢨲 𢨳 𢨴 𢨵 𢨶 𢨷 𢨸 𢨹 𢨺 𢨻 𢨼 𢨽 𢨾 𢨿 𢩀 𢩁 𢩂 𢩃 𢩄 𢩅 𢩆 𢩇 𢩈 𢩉 𢩊 𢩋 𢩌 𢩍 𢩎 𢩏 𢩐 𢩑 𢩒 𢩓 𢩔 𢩕 𢩖 𢩗 𢩘 𢩙 𢩚 𢩛 𢩜 𢩝 𢩞 𢩟 𢩠 𢩡 𢩢 𢩣 𢩤 𢩥 𢩦 𢩧 𢩨 𢩩 𢩪 𢩫 𢩬 𢩭 𢩮 𢩯 𢩰 𢩱 𢩲 𢩳 𢩴 𢩵 𢩶 𢩷 𢩸 𢩹 𢩺 𢩻 𢩼 𢩽 𢩾 𢩿 𢪀 𢪁 𢪂 𢪃 𢪄 𢪅 𢪆 𢪇 𢪈 𢪉 𢪊 𢪋 𢪌 𢪍 𢪎 𢪏 𢪐 𢪑 𢪒 𢪓 𢪔 𢪕 𢪖 𢪗 𢪘 𢪙 𢪚 𢪛 𢪜 𢪝 𢪞 𢪟 𢪠 𢪡 𢪢 𢪣 𢪤 𢪥 𢪦 𢪧 𢪨 𢪩 𢪪 𢪫 𢪬 𢪭 𢪮 𢪯 𢪰 𢪱 𢪲 𢪳 𢪴 𢪵 𢪶 𢪷 𢪸 𢪹 𢪺 𢪻 𢪼 𢪽 𢪾 𢪿 𢫀 𢫁 𢫂 𢫃 𢫄 𢫅 𢫆 𢫇 𢫈 𢫉 𢫊 𢫋 𢫌 𢫍 𢫎 𢫏 𢫐 𢫑 𢫒 𢫓 𢫔 𢫕 𢫖 𢫗 𢫘 𢫙 𢫚 𢫛 𢫜 𢫝 𢫞 𢫟 𢫠 𢫡 𢫢 𢫣 𢫤 𢫥 𢫦 𢫧 𢫨 𢫩 𢫪 𢫫 𢫬 𢫭 𢫮 𢫯 𢫰 𢫱 𢫲 𢫳 𢫴 𢫵 𢫶 𢫷 𢫸 𢫹 𢫺 𢫻 𢫼 𢫽 𢫾 𢫿</t>
        </is>
      </c>
      <c r="P561" s="37" t="inlineStr">
        <is>
          <t>𢨀 𢨁 𢨂 𢨃 𢨄 𢨅 𢨆 𢨇 𢨈 𢨉 𢨊 𢨋 𢨌 𢨍 𢨎 𢨏 𢨐 𢨑 𢨒 𢨓 𢨔 𢨕 𢨖 𢨗 𢨘 𢨙 𢨚 𢨛 𢨜 𢨝 𢨞 𢨟 𢨠 𢨡 𢨢 𢨣 𢨤 𢨥 𢨦 𢨧 𢨨 𢨩 𢨪 𢨫 𢨬 𢨭 𢨮 𢨯 𢨰 𢨱 𢨲 𢨳 𢨴 𢨵 𢨶 𢨷 𢨸 𢨹 𢨺 𢨻 𢨼 𢨽 𢨾 𢨿 𢩀 𢩁 𢩂 𢩃 𢩄 𢩅 𢩆 𢩇 𢩈 𢩉 𢩊 𢩋 𢩌 𢩍 𢩎 𢩏 𢩐 𢩑 𢩒 𢩓 𢩔 𢩕 𢩖 𢩗 𢩘 𢩙 𢩚 𢩛 𢩜 𢩝 𢩞 𢩟 𢩠 𢩡 𢩢 𢩣 𢩤 𢩥 𢩦 𢩧 𢩨 𢩩 𢩪 𢩫 𢩬 𢩭 𢩮 𢩯 𢩰 𢩱 𢩲 𢩳 𢩴 𢩵 𢩶 𢩷 𢩸 𢩹 𢩺 𢩻 𢩼 𢩽 𢩾 𢩿 𢪀 𢪁 𢪂 𢪃 𢪄 𢪅 𢪆 𢪇 𢪈 𢪉 𢪊 𢪋 𢪌 𢪍 𢪎 𢪏 𢪐 𢪑 𢪒 𢪓 𢪔 𢪕 𢪖 𢪗 𢪘 𢪙 𢪚 𢪛 𢪜 𢪝 𢪞 𢪟 𢪠 𢪡 𢪢 𢪣 𢪤 𢪥 𢪦 𢪧 𢪨 𢪩 𢪪 𢪫 𢪬 𢪭 𢪮 𢪯 𢪰 𢪱 𢪲 𢪳 𢪴 𢪵 𢪶 𢪷 𢪸 𢪹 𢪺 𢪻 𢪼 𢪽 𢪾 𢪿 𢫀 𢫁 𢫂 𢫃 𢫄 𢫅 𢫆 𢫇 𢫈 𢫉 𢫊 𢫋 𢫌 𢫍 𢫎 𢫏 𢫐 𢫑 𢫒 𢫓 𢫔 𢫕 𢫖 𢫗 𢫘 𢫙 𢫚 𢫛 𢫜 𢫝 𢫞 𢫟 𢫠 𢫡 𢫢 𢫣 𢫤 𢫥 𢫦 𢫧 𢫨 𢫩 𢫪 𢫫 𢫬 𢫭 𢫮 𢫯 𢫰 𢫱 𢫲 𢫳 𢫴 𢫵 𢫶 𢫷 𢫸 𢫹 𢫺 𢫻 𢫼 𢫽 𢫾 𢫿</t>
        </is>
      </c>
      <c r="Q561" s="38" t="inlineStr">
        <is>
          <t>𢨀 𢨁 𢨂 𢨃 𢨄 𢨅 𢨆 𢨇 𢨈 𢨉 𢨊 𢨋 𢨌 𢨍 𢨎 𢨏 𢨐 𢨑 𢨒 𢨓 𢨔 𢨕 𢨖 𢨗 𢨘 𢨙 𢨚 𢨛 𢨜 𢨝 𢨞 𢨟 𢨠 𢨡 𢨢 𢨣 𢨤 𢨥 𢨦 𢨧 𢨨 𢨩 𢨪 𢨫 𢨬 𢨭 𢨮 𢨯 𢨰 𢨱 𢨲 𢨳 𢨴 𢨵 𢨶 𢨷 𢨸 𢨹 𢨺 𢨻 𢨼 𢨽 𢨾 𢨿 𢩀 𢩁 𢩂 𢩃 𢩄 𢩅 𢩆 𢩇 𢩈 𢩉 𢩊 𢩋 𢩌 𢩍 𢩎 𢩏 𢩐 𢩑 𢩒 𢩓 𢩔 𢩕 𢩖 𢩗 𢩘 𢩙 𢩚 𢩛 𢩜 𢩝 𢩞 𢩟 𢩠 𢩡 𢩢 𢩣 𢩤 𢩥 𢩦 𢩧 𢩨 𢩩 𢩪 𢩫 𢩬 𢩭 𢩮 𢩯 𢩰 𢩱 𢩲 𢩳 𢩴 𢩵 𢩶 𢩷 𢩸 𢩹 𢩺 𢩻 𢩼 𢩽 𢩾 𢩿 𢪀 𢪁 𢪂 𢪃 𢪄 𢪅 𢪆 𢪇 𢪈 𢪉 𢪊 𢪋 𢪌 𢪍 𢪎 𢪏 𢪐 𢪑 𢪒 𢪓 𢪔 𢪕 𢪖 𢪗 𢪘 𢪙 𢪚 𢪛 𢪜 𢪝 𢪞 𢪟 𢪠 𢪡 𢪢 𢪣 𢪤 𢪥 𢪦 𢪧 𢪨 𢪩 𢪪 𢪫 𢪬 𢪭 𢪮 𢪯 𢪰 𢪱 𢪲 𢪳 𢪴 𢪵 𢪶 𢪷 𢪸 𢪹 𢪺 𢪻 𢪼 𢪽 𢪾 𢪿 𢫀 𢫁 𢫂 𢫃 𢫄 𢫅 𢫆 𢫇 𢫈 𢫉 𢫊 𢫋 𢫌 𢫍 𢫎 𢫏 𢫐 𢫑 𢫒 𢫓 𢫔 𢫕 𢫖 𢫗 𢫘 𢫙 𢫚 𢫛 𢫜 𢫝 𢫞 𢫟 𢫠 𢫡 𢫢 𢫣 𢫤 𢫥 𢫦 𢫧 𢫨 𢫩 𢫪 𢫫 𢫬 𢫭 𢫮 𢫯 𢫰 𢫱 𢫲 𢫳 𢫴 𢫵 𢫶 𢫷 𢫸 𢫹 𢫺 𢫻 𢫼 𢫽 𢫾 𢫿</t>
        </is>
      </c>
      <c r="R561" s="43" t="inlineStr">
        <is>
          <t>𢪱 𢪸 𢫏 𢫕 𢫦 𢫬</t>
        </is>
      </c>
      <c r="S561" s="40" t="n"/>
      <c r="V561" s="14">
        <f>(LEN(O561)+1)/2</f>
        <v/>
      </c>
      <c r="W561" s="14">
        <f>ROUNDDOWN((LEN(P561)+1)/2,0)</f>
        <v/>
      </c>
      <c r="X561" s="14">
        <f>ROUNDDOWN((LEN(Q561)+1)/2,0)</f>
        <v/>
      </c>
      <c r="Y561" s="14">
        <f>ROUNDDOWN((LEN(R561)+1)/2,0)</f>
        <v/>
      </c>
      <c r="Z561" s="14">
        <f>ROUNDDOWN((LEN(S561)+1)/2,0)</f>
        <v/>
      </c>
      <c r="AA561" s="56" t="n">
        <v>46150.55875474028</v>
      </c>
    </row>
    <row r="562" ht="102" customHeight="1">
      <c r="B562" s="46" t="inlineStr">
        <is>
          <t>U+22C00-U+22CFF</t>
        </is>
      </c>
      <c r="C562" s="46" t="inlineStr">
        <is>
          <t>CJK Unified Ideographs Extension B</t>
        </is>
      </c>
      <c r="D562" s="54">
        <f>HEX2DEC(MID(B562,3,FIND("-",E562)-3))</f>
        <v/>
      </c>
      <c r="E562" s="46" t="inlineStr">
        <is>
          <t>U+20000-U+2A6DF</t>
        </is>
      </c>
      <c r="F562" s="12" t="n">
        <v>4</v>
      </c>
      <c r="J562" s="19">
        <f>ROUNDDOWN(W562,0)/$V562</f>
        <v/>
      </c>
      <c r="K562" s="19">
        <f>ROUNDDOWN(X562,0)/$V562</f>
        <v/>
      </c>
      <c r="L562" s="19">
        <f>ROUNDDOWN(Y562,0)/$V562</f>
        <v/>
      </c>
      <c r="M562" s="19">
        <f>ROUNDDOWN(Z562,0)/$V562</f>
        <v/>
      </c>
      <c r="O562" s="36" t="inlineStr">
        <is>
          <t>𢬀 𢬁 𢬂 𢬃 𢬄 𢬅 𢬆 𢬇 𢬈 𢬉 𢬊 𢬋 𢬌 𢬍 𢬎 𢬏 𢬐 𢬑 𢬒 𢬓 𢬔 𢬕 𢬖 𢬗 𢬘 𢬙 𢬚 𢬛 𢬜 𢬝 𢬞 𢬟 𢬠 𢬡 𢬢 𢬣 𢬤 𢬥 𢬦 𢬧 𢬨 𢬩 𢬪 𢬫 𢬬 𢬭 𢬮 𢬯 𢬰 𢬱 𢬲 𢬳 𢬴 𢬵 𢬶 𢬷 𢬸 𢬹 𢬺 𢬻 𢬼 𢬽 𢬾 𢬿 𢭀 𢭁 𢭂 𢭃 𢭄 𢭅 𢭆 𢭇 𢭈 𢭉 𢭊 𢭋 𢭌 𢭍 𢭎 𢭏 𢭐 𢭑 𢭒 𢭓 𢭔 𢭕 𢭖 𢭗 𢭘 𢭙 𢭚 𢭛 𢭜 𢭝 𢭞 𢭟 𢭠 𢭡 𢭢 𢭣 𢭤 𢭥 𢭦 𢭧 𢭨 𢭩 𢭪 𢭫 𢭬 𢭭 𢭮 𢭯 𢭰 𢭱 𢭲 𢭳 𢭴 𢭵 𢭶 𢭷 𢭸 𢭹 𢭺 𢭻 𢭼 𢭽 𢭾 𢭿 𢮀 𢮁 𢮂 𢮃 𢮄 𢮅 𢮆 𢮇 𢮈 𢮉 𢮊 𢮋 𢮌 𢮍 𢮎 𢮏 𢮐 𢮑 𢮒 𢮓 𢮔 𢮕 𢮖 𢮗 𢮘 𢮙 𢮚 𢮛 𢮜 𢮝 𢮞 𢮟 𢮠 𢮡 𢮢 𢮣 𢮤 𢮥 𢮦 𢮧 𢮨 𢮩 𢮪 𢮫 𢮬 𢮭 𢮮 𢮯 𢮰 𢮱 𢮲 𢮳 𢮴 𢮵 𢮶 𢮷 𢮸 𢮹 𢮺 𢮻 𢮼 𢮽 𢮾 𢮿 𢯀 𢯁 𢯂 𢯃 𢯄 𢯅 𢯆 𢯇 𢯈 𢯉 𢯊 𢯋 𢯌 𢯍 𢯎 𢯏 𢯐 𢯑 𢯒 𢯓 𢯔 𢯕 𢯖 𢯗 𢯘 𢯙 𢯚 𢯛 𢯜 𢯝 𢯞 𢯟 𢯠 𢯡 𢯢 𢯣 𢯤 𢯥 𢯦 𢯧 𢯨 𢯩 𢯪 𢯫 𢯬 𢯭 𢯮 𢯯 𢯰 𢯱 𢯲 𢯳 𢯴 𢯵 𢯶 𢯷 𢯸 𢯹 𢯺 𢯻 𢯼 𢯽 𢯾 𢯿</t>
        </is>
      </c>
      <c r="P562" s="37" t="inlineStr">
        <is>
          <t>𢬀 𢬁 𢬂 𢬃 𢬄 𢬅 𢬆 𢬇 𢬈 𢬉 𢬊 𢬋 𢬌 𢬍 𢬎 𢬏 𢬐 𢬑 𢬒 𢬓 𢬔 𢬕 𢬖 𢬗 𢬘 𢬙 𢬚 𢬛 𢬜 𢬝 𢬞 𢬟 𢬠 𢬡 𢬢 𢬣 𢬤 𢬥 𢬦 𢬧 𢬨 𢬩 𢬪 𢬫 𢬬 𢬭 𢬮 𢬯 𢬰 𢬱 𢬲 𢬳 𢬴 𢬵 𢬶 𢬷 𢬸 𢬹 𢬺 𢬻 𢬼 𢬽 𢬾 𢬿 𢭀 𢭁 𢭂 𢭃 𢭄 𢭅 𢭆 𢭇 𢭈 𢭉 𢭊 𢭋 𢭌 𢭍 𢭎 𢭏 𢭐 𢭑 𢭒 𢭓 𢭔 𢭕 𢭖 𢭗 𢭘 𢭙 𢭚 𢭛 𢭜 𢭝 𢭞 𢭟 𢭠 𢭡 𢭢 𢭣 𢭤 𢭥 𢭦 𢭧 𢭨 𢭩 𢭪 𢭫 𢭬 𢭭 𢭮 𢭯 𢭰 𢭱 𢭲 𢭳 𢭴 𢭵 𢭶 𢭷 𢭸 𢭹 𢭺 𢭻 𢭼 𢭽 𢭾 𢭿 𢮀 𢮁 𢮂 𢮃 𢮄 𢮅 𢮆 𢮇 𢮈 𢮉 𢮊 𢮋 𢮌 𢮍 𢮎 𢮏 𢮐 𢮑 𢮒 𢮓 𢮔 𢮕 𢮖 𢮗 𢮘 𢮙 𢮚 𢮛 𢮜 𢮝 𢮞 𢮟 𢮠 𢮡 𢮢 𢮣 𢮤 𢮥 𢮦 𢮧 𢮨 𢮩 𢮪 𢮫 𢮬 𢮭 𢮮 𢮯 𢮰 𢮱 𢮲 𢮳 𢮴 𢮵 𢮶 𢮷 𢮸 𢮹 𢮺 𢮻 𢮼 𢮽 𢮾 𢮿 𢯀 𢯁 𢯂 𢯃 𢯄 𢯅 𢯆 𢯇 𢯈 𢯉 𢯊 𢯋 𢯌 𢯍 𢯎 𢯏 𢯐 𢯑 𢯒 𢯓 𢯔 𢯕 𢯖 𢯗 𢯘 𢯙 𢯚 𢯛 𢯜 𢯝 𢯞 𢯟 𢯠 𢯡 𢯢 𢯣 𢯤 𢯥 𢯦 𢯧 𢯨 𢯩 𢯪 𢯫 𢯬 𢯭 𢯮 𢯯 𢯰 𢯱 𢯲 𢯳 𢯴 𢯵 𢯶 𢯷 𢯸 𢯹 𢯺 𢯻 𢯼 𢯽 𢯾 𢯿</t>
        </is>
      </c>
      <c r="Q562" s="38" t="inlineStr">
        <is>
          <t>𢬀 𢬁 𢬂 𢬃 𢬄 𢬅 𢬆 𢬇 𢬈 𢬉 𢬊 𢬋 𢬌 𢬍 𢬎 𢬏 𢬐 𢬑 𢬒 𢬓 𢬔 𢬕 𢬖 𢬗 𢬘 𢬙 𢬚 𢬛 𢬜 𢬝 𢬞 𢬟 𢬠 𢬡 𢬢 𢬣 𢬤 𢬥 𢬦 𢬧 𢬨 𢬩 𢬪 𢬫 𢬬 𢬭 𢬮 𢬯 𢬰 𢬱 𢬲 𢬳 𢬴 𢬵 𢬶 𢬷 𢬸 𢬹 𢬺 𢬻 𢬼 𢬽 𢬾 𢬿 𢭀 𢭁 𢭂 𢭃 𢭄 𢭅 𢭆 𢭇 𢭈 𢭉 𢭊 𢭋 𢭌 𢭍 𢭎 𢭏 𢭐 𢭑 𢭒 𢭓 𢭔 𢭕 𢭖 𢭗 𢭘 𢭙 𢭚 𢭛 𢭜 𢭝 𢭞 𢭟 𢭠 𢭡 𢭢 𢭣 𢭤 𢭥 𢭦 𢭧 𢭨 𢭩 𢭪 𢭫 𢭬 𢭭 𢭮 𢭯 𢭰 𢭱 𢭲 𢭳 𢭴 𢭵 𢭶 𢭷 𢭸 𢭹 𢭺 𢭻 𢭼 𢭽 𢭾 𢭿 𢮀 𢮁 𢮂 𢮃 𢮄 𢮅 𢮆 𢮇 𢮈 𢮉 𢮊 𢮋 𢮌 𢮍 𢮎 𢮏 𢮐 𢮑 𢮒 𢮓 𢮔 𢮕 𢮖 𢮗 𢮘 𢮙 𢮚 𢮛 𢮜 𢮝 𢮞 𢮟 𢮠 𢮡 𢮢 𢮣 𢮤 𢮥 𢮦 𢮧 𢮨 𢮩 𢮪 𢮫 𢮬 𢮭 𢮮 𢮯 𢮰 𢮱 𢮲 𢮳 𢮴 𢮵 𢮶 𢮷 𢮸 𢮹 𢮺 𢮻 𢮼 𢮽 𢮾 𢮿 𢯀 𢯁 𢯂 𢯃 𢯄 𢯅 𢯆 𢯇 𢯈 𢯉 𢯊 𢯋 𢯌 𢯍 𢯎 𢯏 𢯐 𢯑 𢯒 𢯓 𢯔 𢯕 𢯖 𢯗 𢯘 𢯙 𢯚 𢯛 𢯜 𢯝 𢯞 𢯟 𢯠 𢯡 𢯢 𢯣 𢯤 𢯥 𢯦 𢯧 𢯨 𢯩 𢯪 𢯫 𢯬 𢯭 𢯮 𢯯 𢯰 𢯱 𢯲 𢯳 𢯴 𢯵 𢯶 𢯷 𢯸 𢯹 𢯺 𢯻 𢯼 𢯽 𢯾 𢯿</t>
        </is>
      </c>
      <c r="R562" s="43" t="inlineStr">
        <is>
          <t>𢭆 𢭏 𢮦 𢯊 𢯭</t>
        </is>
      </c>
      <c r="S562" s="40" t="n"/>
      <c r="V562" s="14">
        <f>(LEN(O562)+1)/2</f>
        <v/>
      </c>
      <c r="W562" s="14">
        <f>ROUNDDOWN((LEN(P562)+1)/2,0)</f>
        <v/>
      </c>
      <c r="X562" s="14">
        <f>ROUNDDOWN((LEN(Q562)+1)/2,0)</f>
        <v/>
      </c>
      <c r="Y562" s="14">
        <f>ROUNDDOWN((LEN(R562)+1)/2,0)</f>
        <v/>
      </c>
      <c r="Z562" s="14">
        <f>ROUNDDOWN((LEN(S562)+1)/2,0)</f>
        <v/>
      </c>
      <c r="AA562" s="56" t="n">
        <v>46150.55875586451</v>
      </c>
    </row>
    <row r="563" ht="102" customHeight="1">
      <c r="B563" s="46" t="inlineStr">
        <is>
          <t>U+22D00-U+22DFF</t>
        </is>
      </c>
      <c r="C563" s="46" t="inlineStr">
        <is>
          <t>CJK Unified Ideographs Extension B</t>
        </is>
      </c>
      <c r="D563" s="54">
        <f>HEX2DEC(MID(B563,3,FIND("-",E563)-3))</f>
        <v/>
      </c>
      <c r="E563" s="46" t="inlineStr">
        <is>
          <t>U+20000-U+2A6DF</t>
        </is>
      </c>
      <c r="F563" s="12" t="n">
        <v>4</v>
      </c>
      <c r="J563" s="19">
        <f>ROUNDDOWN(W563,0)/$V563</f>
        <v/>
      </c>
      <c r="K563" s="19">
        <f>ROUNDDOWN(X563,0)/$V563</f>
        <v/>
      </c>
      <c r="L563" s="19">
        <f>ROUNDDOWN(Y563,0)/$V563</f>
        <v/>
      </c>
      <c r="M563" s="19">
        <f>ROUNDDOWN(Z563,0)/$V563</f>
        <v/>
      </c>
      <c r="O563" s="36" t="inlineStr">
        <is>
          <t>𢰀 𢰁 𢰂 𢰃 𢰄 𢰅 𢰆 𢰇 𢰈 𢰉 𢰊 𢰋 𢰌 𢰍 𢰎 𢰏 𢰐 𢰑 𢰒 𢰓 𢰔 𢰕 𢰖 𢰗 𢰘 𢰙 𢰚 𢰛 𢰜 𢰝 𢰞 𢰟 𢰠 𢰡 𢰢 𢰣 𢰤 𢰥 𢰦 𢰧 𢰨 𢰩 𢰪 𢰫 𢰬 𢰭 𢰮 𢰯 𢰰 𢰱 𢰲 𢰳 𢰴 𢰵 𢰶 𢰷 𢰸 𢰹 𢰺 𢰻 𢰼 𢰽 𢰾 𢰿 𢱀 𢱁 𢱂 𢱃 𢱄 𢱅 𢱆 𢱇 𢱈 𢱉 𢱊 𢱋 𢱌 𢱍 𢱎 𢱏 𢱐 𢱑 𢱒 𢱓 𢱔 𢱕 𢱖 𢱗 𢱘 𢱙 𢱚 𢱛 𢱜 𢱝 𢱞 𢱟 𢱠 𢱡 𢱢 𢱣 𢱤 𢱥 𢱦 𢱧 𢱨 𢱩 𢱪 𢱫 𢱬 𢱭 𢱮 𢱯 𢱰 𢱱 𢱲 𢱳 𢱴 𢱵 𢱶 𢱷 𢱸 𢱹 𢱺 𢱻 𢱼 𢱽 𢱾 𢱿 𢲀 𢲁 𢲂 𢲃 𢲄 𢲅 𢲆 𢲇 𢲈 𢲉 𢲊 𢲋 𢲌 𢲍 𢲎 𢲏 𢲐 𢲑 𢲒 𢲓 𢲔 𢲕 𢲖 𢲗 𢲘 𢲙 𢲚 𢲛 𢲜 𢲝 𢲞 𢲟 𢲠 𢲡 𢲢 𢲣 𢲤 𢲥 𢲦 𢲧 𢲨 𢲩 𢲪 𢲫 𢲬 𢲭 𢲮 𢲯 𢲰 𢲱 𢲲 𢲳 𢲴 𢲵 𢲶 𢲷 𢲸 𢲹 𢲺 𢲻 𢲼 𢲽 𢲾 𢲿 𢳀 𢳁 𢳂 𢳃 𢳄 𢳅 𢳆 𢳇 𢳈 𢳉 𢳊 𢳋 𢳌 𢳍 𢳎 𢳏 𢳐 𢳑 𢳒 𢳓 𢳔 𢳕 𢳖 𢳗 𢳘 𢳙 𢳚 𢳛 𢳜 𢳝 𢳞 𢳟 𢳠 𢳡 𢳢 𢳣 𢳤 𢳥 𢳦 𢳧 𢳨 𢳩 𢳪 𢳫 𢳬 𢳭 𢳮 𢳯 𢳰 𢳱 𢳲 𢳳 𢳴 𢳵 𢳶 𢳷 𢳸 𢳹 𢳺 𢳻 𢳼 𢳽 𢳾 𢳿</t>
        </is>
      </c>
      <c r="P563" s="37" t="inlineStr">
        <is>
          <t>𢰀 𢰁 𢰂 𢰃 𢰄 𢰅 𢰆 𢰇 𢰈 𢰉 𢰊 𢰋 𢰌 𢰍 𢰎 𢰏 𢰐 𢰑 𢰒 𢰓 𢰔 𢰕 𢰖 𢰗 𢰘 𢰙 𢰚 𢰛 𢰜 𢰝 𢰞 𢰟 𢰠 𢰡 𢰢 𢰣 𢰤 𢰥 𢰦 𢰧 𢰨 𢰩 𢰪 𢰫 𢰬 𢰭 𢰮 𢰯 𢰰 𢰱 𢰲 𢰳 𢰴 𢰵 𢰶 𢰷 𢰸 𢰹 𢰺 𢰻 𢰼 𢰽 𢰾 𢰿 𢱀 𢱁 𢱂 𢱃 𢱄 𢱅 𢱆 𢱇 𢱈 𢱉 𢱊 𢱋 𢱌 𢱍 𢱎 𢱏 𢱐 𢱑 𢱒 𢱓 𢱔 𢱕 𢱖 𢱗 𢱘 𢱙 𢱚 𢱛 𢱜 𢱝 𢱞 𢱟 𢱠 𢱡 𢱢 𢱣 𢱤 𢱥 𢱦 𢱧 𢱨 𢱩 𢱪 𢱫 𢱬 𢱭 𢱮 𢱯 𢱰 𢱱 𢱲 𢱳 𢱴 𢱵 𢱶 𢱷 𢱸 𢱹 𢱺 𢱻 𢱼 𢱽 𢱾 𢱿 𢲀 𢲁 𢲂 𢲃 𢲄 𢲅 𢲆 𢲇 𢲈 𢲉 𢲊 𢲋 𢲌 𢲍 𢲎 𢲏 𢲐 𢲑 𢲒 𢲓 𢲔 𢲕 𢲖 𢲗 𢲘 𢲙 𢲚 𢲛 𢲜 𢲝 𢲞 𢲟 𢲠 𢲡 𢲢 𢲣 𢲤 𢲥 𢲦 𢲧 𢲨 𢲩 𢲪 𢲫 𢲬 𢲭 𢲮 𢲯 𢲰 𢲱 𢲲 𢲳 𢲴 𢲵 𢲶 𢲷 𢲸 𢲹 𢲺 𢲻 𢲼 𢲽 𢲾 𢲿 𢳀 𢳁 𢳂 𢳃 𢳄 𢳅 𢳆 𢳇 𢳈 𢳉 𢳊 𢳋 𢳌 𢳍 𢳎 𢳏 𢳐 𢳑 𢳒 𢳓 𢳔 𢳕 𢳖 𢳗 𢳘 𢳙 𢳚 𢳛 𢳜 𢳝 𢳞 𢳟 𢳠 𢳡 𢳢 𢳣 𢳤 𢳥 𢳦 𢳧 𢳨 𢳩 𢳪 𢳫 𢳬 𢳭 𢳮 𢳯 𢳰 𢳱 𢳲 𢳳 𢳴 𢳵 𢳶 𢳷 𢳸 𢳹 𢳺 𢳻 𢳼 𢳽 𢳾 𢳿</t>
        </is>
      </c>
      <c r="Q563" s="38" t="inlineStr">
        <is>
          <t>𢰀 𢰁 𢰂 𢰃 𢰄 𢰅 𢰆 𢰇 𢰈 𢰉 𢰊 𢰋 𢰌 𢰍 𢰎 𢰏 𢰐 𢰑 𢰒 𢰓 𢰔 𢰕 𢰖 𢰗 𢰘 𢰙 𢰚 𢰛 𢰜 𢰝 𢰞 𢰟 𢰠 𢰡 𢰢 𢰣 𢰤 𢰥 𢰦 𢰧 𢰨 𢰩 𢰪 𢰫 𢰬 𢰭 𢰮 𢰯 𢰰 𢰱 𢰲 𢰳 𢰴 𢰵 𢰶 𢰷 𢰸 𢰹 𢰺 𢰻 𢰼 𢰽 𢰾 𢰿 𢱀 𢱁 𢱂 𢱃 𢱄 𢱅 𢱆 𢱇 𢱈 𢱉 𢱊 𢱋 𢱌 𢱍 𢱎 𢱏 𢱐 𢱑 𢱒 𢱓 𢱔 𢱕 𢱖 𢱗 𢱘 𢱙 𢱚 𢱛 𢱜 𢱝 𢱞 𢱟 𢱠 𢱡 𢱢 𢱣 𢱤 𢱥 𢱦 𢱧 𢱨 𢱩 𢱪 𢱫 𢱬 𢱭 𢱮 𢱯 𢱰 𢱱 𢱲 𢱳 𢱴 𢱵 𢱶 𢱷 𢱸 𢱹 𢱺 𢱻 𢱼 𢱽 𢱾 𢱿 𢲀 𢲁 𢲂 𢲃 𢲄 𢲅 𢲆 𢲇 𢲈 𢲉 𢲊 𢲋 𢲌 𢲍 𢲎 𢲏 𢲐 𢲑 𢲒 𢲓 𢲔 𢲕 𢲖 𢲗 𢲘 𢲙 𢲚 𢲛 𢲜 𢲝 𢲞 𢲟 𢲠 𢲡 𢲢 𢲣 𢲤 𢲥 𢲦 𢲧 𢲨 𢲩 𢲪 𢲫 𢲬 𢲭 𢲮 𢲯 𢲰 𢲱 𢲲 𢲳 𢲴 𢲵 𢲶 𢲷 𢲸 𢲹 𢲺 𢲻 𢲼 𢲽 𢲾 𢲿 𢳀 𢳁 𢳂 𢳃 𢳄 𢳅 𢳆 𢳇 𢳈 𢳉 𢳊 𢳋 𢳌 𢳍 𢳎 𢳏 𢳐 𢳑 𢳒 𢳓 𢳔 𢳕 𢳖 𢳗 𢳘 𢳙 𢳚 𢳛 𢳜 𢳝 𢳞 𢳟 𢳠 𢳡 𢳢 𢳣 𢳤 𢳥 𢳦 𢳧 𢳨 𢳩 𢳪 𢳫 𢳬 𢳭 𢳮 𢳯 𢳰 𢳱 𢳲 𢳳 𢳴 𢳵 𢳶 𢳷 𢳸 𢳹 𢳺 𢳻 𢳼 𢳽 𢳾 𢳿</t>
        </is>
      </c>
      <c r="R563" s="43" t="inlineStr">
        <is>
          <t>𢰝 𢰤 𢱉 𢱋 𢱑 𢱕 𢱢 𢱤 𢲴 𢳂 𢳆 𢳪</t>
        </is>
      </c>
      <c r="S563" s="40" t="n"/>
      <c r="V563" s="14">
        <f>(LEN(O563)+1)/2</f>
        <v/>
      </c>
      <c r="W563" s="14">
        <f>ROUNDDOWN((LEN(P563)+1)/2,0)</f>
        <v/>
      </c>
      <c r="X563" s="14">
        <f>ROUNDDOWN((LEN(Q563)+1)/2,0)</f>
        <v/>
      </c>
      <c r="Y563" s="14">
        <f>ROUNDDOWN((LEN(R563)+1)/2,0)</f>
        <v/>
      </c>
      <c r="Z563" s="14">
        <f>ROUNDDOWN((LEN(S563)+1)/2,0)</f>
        <v/>
      </c>
      <c r="AA563" s="56" t="n">
        <v>46150.55875700978</v>
      </c>
    </row>
    <row r="564" ht="102" customHeight="1">
      <c r="B564" s="46" t="inlineStr">
        <is>
          <t>U+22E00-U+22EFF</t>
        </is>
      </c>
      <c r="C564" s="46" t="inlineStr">
        <is>
          <t>CJK Unified Ideographs Extension B</t>
        </is>
      </c>
      <c r="D564" s="54">
        <f>HEX2DEC(MID(B564,3,FIND("-",E564)-3))</f>
        <v/>
      </c>
      <c r="E564" s="46" t="inlineStr">
        <is>
          <t>U+20000-U+2A6DF</t>
        </is>
      </c>
      <c r="F564" s="12" t="n">
        <v>4</v>
      </c>
      <c r="J564" s="19">
        <f>ROUNDDOWN(W564,0)/$V564</f>
        <v/>
      </c>
      <c r="K564" s="19">
        <f>ROUNDDOWN(X564,0)/$V564</f>
        <v/>
      </c>
      <c r="L564" s="19">
        <f>ROUNDDOWN(Y564,0)/$V564</f>
        <v/>
      </c>
      <c r="M564" s="19">
        <f>ROUNDDOWN(Z564,0)/$V564</f>
        <v/>
      </c>
      <c r="O564" s="36" t="inlineStr">
        <is>
          <t>𢴀 𢴁 𢴂 𢴃 𢴄 𢴅 𢴆 𢴇 𢴈 𢴉 𢴊 𢴋 𢴌 𢴍 𢴎 𢴏 𢴐 𢴑 𢴒 𢴓 𢴔 𢴕 𢴖 𢴗 𢴘 𢴙 𢴚 𢴛 𢴜 𢴝 𢴞 𢴟 𢴠 𢴡 𢴢 𢴣 𢴤 𢴥 𢴦 𢴧 𢴨 𢴩 𢴪 𢴫 𢴬 𢴭 𢴮 𢴯 𢴰 𢴱 𢴲 𢴳 𢴴 𢴵 𢴶 𢴷 𢴸 𢴹 𢴺 𢴻 𢴼 𢴽 𢴾 𢴿 𢵀 𢵁 𢵂 𢵃 𢵄 𢵅 𢵆 𢵇 𢵈 𢵉 𢵊 𢵋 𢵌 𢵍 𢵎 𢵏 𢵐 𢵑 𢵒 𢵓 𢵔 𢵕 𢵖 𢵗 𢵘 𢵙 𢵚 𢵛 𢵜 𢵝 𢵞 𢵟 𢵠 𢵡 𢵢 𢵣 𢵤 𢵥 𢵦 𢵧 𢵨 𢵩 𢵪 𢵫 𢵬 𢵭 𢵮 𢵯 𢵰 𢵱 𢵲 𢵳 𢵴 𢵵 𢵶 𢵷 𢵸 𢵹 𢵺 𢵻 𢵼 𢵽 𢵾 𢵿 𢶀 𢶁 𢶂 𢶃 𢶄 𢶅 𢶆 𢶇 𢶈 𢶉 𢶊 𢶋 𢶌 𢶍 𢶎 𢶏 𢶐 𢶑 𢶒 𢶓 𢶔 𢶕 𢶖 𢶗 𢶘 𢶙 𢶚 𢶛 𢶜 𢶝 𢶞 𢶟 𢶠 𢶡 𢶢 𢶣 𢶤 𢶥 𢶦 𢶧 𢶨 𢶩 𢶪 𢶫 𢶬 𢶭 𢶮 𢶯 𢶰 𢶱 𢶲 𢶳 𢶴 𢶵 𢶶 𢶷 𢶸 𢶹 𢶺 𢶻 𢶼 𢶽 𢶾 𢶿 𢷀 𢷁 𢷂 𢷃 𢷄 𢷅 𢷆 𢷇 𢷈 𢷉 𢷊 𢷋 𢷌 𢷍 𢷎 𢷏 𢷐 𢷑 𢷒 𢷓 𢷔 𢷕 𢷖 𢷗 𢷘 𢷙 𢷚 𢷛 𢷜 𢷝 𢷞 𢷟 𢷠 𢷡 𢷢 𢷣 𢷤 𢷥 𢷦 𢷧 𢷨 𢷩 𢷪 𢷫 𢷬 𢷭 𢷮 𢷯 𢷰 𢷱 𢷲 𢷳 𢷴 𢷵 𢷶 𢷷 𢷸 𢷹 𢷺 𢷻 𢷼 𢷽 𢷾 𢷿</t>
        </is>
      </c>
      <c r="P564" s="37" t="inlineStr">
        <is>
          <t>𢴀 𢴁 𢴂 𢴃 𢴄 𢴅 𢴆 𢴇 𢴈 𢴉 𢴊 𢴋 𢴌 𢴍 𢴎 𢴏 𢴐 𢴑 𢴒 𢴓 𢴔 𢴕 𢴖 𢴗 𢴘 𢴙 𢴚 𢴛 𢴜 𢴝 𢴞 𢴟 𢴠 𢴡 𢴢 𢴣 𢴤 𢴥 𢴦 𢴧 𢴨 𢴩 𢴪 𢴫 𢴬 𢴭 𢴮 𢴯 𢴰 𢴱 𢴲 𢴳 𢴴 𢴵 𢴶 𢴷 𢴸 𢴹 𢴺 𢴻 𢴼 𢴽 𢴾 𢴿 𢵀 𢵁 𢵂 𢵃 𢵄 𢵅 𢵆 𢵇 𢵈 𢵉 𢵊 𢵋 𢵌 𢵍 𢵎 𢵏 𢵐 𢵑 𢵒 𢵓 𢵔 𢵕 𢵖 𢵗 𢵘 𢵙 𢵚 𢵛 𢵜 𢵝 𢵞 𢵟 𢵠 𢵡 𢵢 𢵣 𢵤 𢵥 𢵦 𢵧 𢵨 𢵩 𢵪 𢵫 𢵬 𢵭 𢵮 𢵯 𢵰 𢵱 𢵲 𢵳 𢵴 𢵵 𢵶 𢵷 𢵸 𢵹 𢵺 𢵻 𢵼 𢵽 𢵾 𢵿 𢶀 𢶁 𢶂 𢶃 𢶄 𢶅 𢶆 𢶇 𢶈 𢶉 𢶊 𢶋 𢶌 𢶍 𢶎 𢶏 𢶐 𢶑 𢶒 𢶓 𢶔 𢶕 𢶖 𢶗 𢶘 𢶙 𢶚 𢶛 𢶜 𢶝 𢶞 𢶟 𢶠 𢶡 𢶢 𢶣 𢶤 𢶥 𢶦 𢶧 𢶨 𢶩 𢶪 𢶫 𢶬 𢶭 𢶮 𢶯 𢶰 𢶱 𢶲 𢶳 𢶴 𢶵 𢶶 𢶷 𢶸 𢶹 𢶺 𢶻 𢶼 𢶽 𢶾 𢶿 𢷀 𢷁 𢷂 𢷃 𢷄 𢷅 𢷆 𢷇 𢷈 𢷉 𢷊 𢷋 𢷌 𢷍 𢷎 𢷏 𢷐 𢷑 𢷒 𢷓 𢷔 𢷕 𢷖 𢷗 𢷘 𢷙 𢷚 𢷛 𢷜 𢷝 𢷞 𢷟 𢷠 𢷡 𢷢 𢷣 𢷤 𢷥 𢷦 𢷧 𢷨 𢷩 𢷪 𢷫 𢷬 𢷭 𢷮 𢷯 𢷰 𢷱 𢷲 𢷳 𢷴 𢷵 𢷶 𢷷 𢷸 𢷹 𢷺 𢷻 𢷼 𢷽 𢷾 𢷿</t>
        </is>
      </c>
      <c r="Q564" s="38" t="inlineStr">
        <is>
          <t>𢴀 𢴁 𢴂 𢴃 𢴄 𢴅 𢴆 𢴇 𢴈 𢴉 𢴊 𢴋 𢴌 𢴍 𢴎 𢴏 𢴐 𢴑 𢴒 𢴓 𢴔 𢴕 𢴖 𢴗 𢴘 𢴙 𢴚 𢴛 𢴜 𢴝 𢴞 𢴟 𢴠 𢴡 𢴢 𢴣 𢴤 𢴥 𢴦 𢴧 𢴨 𢴩 𢴪 𢴫 𢴬 𢴭 𢴮 𢴯 𢴰 𢴱 𢴲 𢴳 𢴴 𢴵 𢴶 𢴷 𢴸 𢴹 𢴺 𢴻 𢴼 𢴽 𢴾 𢴿 𢵀 𢵁 𢵂 𢵃 𢵄 𢵅 𢵆 𢵇 𢵈 𢵉 𢵊 𢵋 𢵌 𢵍 𢵎 𢵏 𢵐 𢵑 𢵒 𢵓 𢵔 𢵕 𢵖 𢵗 𢵘 𢵙 𢵚 𢵛 𢵜 𢵝 𢵞 𢵟 𢵠 𢵡 𢵢 𢵣 𢵤 𢵥 𢵦 𢵧 𢵨 𢵩 𢵪 𢵫 𢵬 𢵭 𢵮 𢵯 𢵰 𢵱 𢵲 𢵳 𢵴 𢵵 𢵶 𢵷 𢵸 𢵹 𢵺 𢵻 𢵼 𢵽 𢵾 𢵿 𢶀 𢶁 𢶂 𢶃 𢶄 𢶅 𢶆 𢶇 𢶈 𢶉 𢶊 𢶋 𢶌 𢶍 𢶎 𢶏 𢶐 𢶑 𢶒 𢶓 𢶔 𢶕 𢶖 𢶗 𢶘 𢶙 𢶚 𢶛 𢶜 𢶝 𢶞 𢶟 𢶠 𢶡 𢶢 𢶣 𢶤 𢶥 𢶦 𢶧 𢶨 𢶩 𢶪 𢶫 𢶬 𢶭 𢶮 𢶯 𢶰 𢶱 𢶲 𢶳 𢶴 𢶵 𢶶 𢶷 𢶸 𢶹 𢶺 𢶻 𢶼 𢶽 𢶾 𢶿 𢷀 𢷁 𢷂 𢷃 𢷄 𢷅 𢷆 𢷇 𢷈 𢷉 𢷊 𢷋 𢷌 𢷍 𢷎 𢷏 𢷐 𢷑 𢷒 𢷓 𢷔 𢷕 𢷖 𢷗 𢷘 𢷙 𢷚 𢷛 𢷜 𢷝 𢷞 𢷟 𢷠 𢷡 𢷢 𢷣 𢷤 𢷥 𢷦 𢷧 𢷨 𢷩 𢷪 𢷫 𢷬 𢷭 𢷮 𢷯 𢷰 𢷱 𢷲 𢷳 𢷴 𢷵 𢷶 𢷷 𢷸 𢷹 𢷺 𢷻 𢷼 𢷽 𢷾 𢷿</t>
        </is>
      </c>
      <c r="R564" s="43" t="inlineStr">
        <is>
          <t>𢴈 𢶀 𢷡</t>
        </is>
      </c>
      <c r="S564" s="40" t="n"/>
      <c r="V564" s="14">
        <f>(LEN(O564)+1)/2</f>
        <v/>
      </c>
      <c r="W564" s="14">
        <f>ROUNDDOWN((LEN(P564)+1)/2,0)</f>
        <v/>
      </c>
      <c r="X564" s="14">
        <f>ROUNDDOWN((LEN(Q564)+1)/2,0)</f>
        <v/>
      </c>
      <c r="Y564" s="14">
        <f>ROUNDDOWN((LEN(R564)+1)/2,0)</f>
        <v/>
      </c>
      <c r="Z564" s="14">
        <f>ROUNDDOWN((LEN(S564)+1)/2,0)</f>
        <v/>
      </c>
      <c r="AA564" s="56" t="n">
        <v>46150.5587582299</v>
      </c>
    </row>
    <row r="565" ht="102" customHeight="1">
      <c r="B565" s="46" t="inlineStr">
        <is>
          <t>U+22F00-U+22FFF</t>
        </is>
      </c>
      <c r="C565" s="46" t="inlineStr">
        <is>
          <t>CJK Unified Ideographs Extension B</t>
        </is>
      </c>
      <c r="D565" s="54">
        <f>HEX2DEC(MID(B565,3,FIND("-",E565)-3))</f>
        <v/>
      </c>
      <c r="E565" s="46" t="inlineStr">
        <is>
          <t>U+20000-U+2A6DF</t>
        </is>
      </c>
      <c r="F565" s="12" t="n">
        <v>4</v>
      </c>
      <c r="J565" s="19">
        <f>ROUNDDOWN(W565,0)/$V565</f>
        <v/>
      </c>
      <c r="K565" s="19">
        <f>ROUNDDOWN(X565,0)/$V565</f>
        <v/>
      </c>
      <c r="L565" s="19">
        <f>ROUNDDOWN(Y565,0)/$V565</f>
        <v/>
      </c>
      <c r="M565" s="19">
        <f>ROUNDDOWN(Z565,0)/$V565</f>
        <v/>
      </c>
      <c r="O565" s="36" t="inlineStr">
        <is>
          <t>𢸀 𢸁 𢸂 𢸃 𢸄 𢸅 𢸆 𢸇 𢸈 𢸉 𢸊 𢸋 𢸌 𢸍 𢸎 𢸏 𢸐 𢸑 𢸒 𢸓 𢸔 𢸕 𢸖 𢸗 𢸘 𢸙 𢸚 𢸛 𢸜 𢸝 𢸞 𢸟 𢸠 𢸡 𢸢 𢸣 𢸤 𢸥 𢸦 𢸧 𢸨 𢸩 𢸪 𢸫 𢸬 𢸭 𢸮 𢸯 𢸰 𢸱 𢸲 𢸳 𢸴 𢸵 𢸶 𢸷 𢸸 𢸹 𢸺 𢸻 𢸼 𢸽 𢸾 𢸿 𢹀 𢹁 𢹂 𢹃 𢹄 𢹅 𢹆 𢹇 𢹈 𢹉 𢹊 𢹋 𢹌 𢹍 𢹎 𢹏 𢹐 𢹑 𢹒 𢹓 𢹔 𢹕 𢹖 𢹗 𢹘 𢹙 𢹚 𢹛 𢹜 𢹝 𢹞 𢹟 𢹠 𢹡 𢹢 𢹣 𢹤 𢹥 𢹦 𢹧 𢹨 𢹩 𢹪 𢹫 𢹬 𢹭 𢹮 𢹯 𢹰 𢹱 𢹲 𢹳 𢹴 𢹵 𢹶 𢹷 𢹸 𢹹 𢹺 𢹻 𢹼 𢹽 𢹾 𢹿 𢺀 𢺁 𢺂 𢺃 𢺄 𢺅 𢺆 𢺇 𢺈 𢺉 𢺊 𢺋 𢺌 𢺍 𢺎 𢺏 𢺐 𢺑 𢺒 𢺓 𢺔 𢺕 𢺖 𢺗 𢺘 𢺙 𢺚 𢺛 𢺜 𢺝 𢺞 𢺟 𢺠 𢺡 𢺢 𢺣 𢺤 𢺥 𢺦 𢺧 𢺨 𢺩 𢺪 𢺫 𢺬 𢺭 𢺮 𢺯 𢺰 𢺱 𢺲 𢺳 𢺴 𢺵 𢺶 𢺷 𢺸 𢺹 𢺺 𢺻 𢺼 𢺽 𢺾 𢺿 𢻀 𢻁 𢻂 𢻃 𢻄 𢻅 𢻆 𢻇 𢻈 𢻉 𢻊 𢻋 𢻌 𢻍 𢻎 𢻏 𢻐 𢻑 𢻒 𢻓 𢻔 𢻕 𢻖 𢻗 𢻘 𢻙 𢻚 𢻛 𢻜 𢻝 𢻞 𢻟 𢻠 𢻡 𢻢 𢻣 𢻤 𢻥 𢻦 𢻧 𢻨 𢻩 𢻪 𢻫 𢻬 𢻭 𢻮 𢻯 𢻰 𢻱 𢻲 𢻳 𢻴 𢻵 𢻶 𢻷 𢻸 𢻹 𢻺 𢻻 𢻼 𢻽 𢻾 𢻿</t>
        </is>
      </c>
      <c r="P565" s="37" t="inlineStr">
        <is>
          <t>𢸀 𢸁 𢸂 𢸃 𢸄 𢸅 𢸆 𢸇 𢸈 𢸉 𢸊 𢸋 𢸌 𢸍 𢸎 𢸏 𢸐 𢸑 𢸒 𢸓 𢸔 𢸕 𢸖 𢸗 𢸘 𢸙 𢸚 𢸛 𢸜 𢸝 𢸞 𢸟 𢸠 𢸡 𢸢 𢸣 𢸤 𢸥 𢸦 𢸧 𢸨 𢸩 𢸪 𢸫 𢸬 𢸭 𢸮 𢸯 𢸰 𢸱 𢸲 𢸳 𢸴 𢸵 𢸶 𢸷 𢸸 𢸹 𢸺 𢸻 𢸼 𢸽 𢸾 𢸿 𢹀 𢹁 𢹂 𢹃 𢹄 𢹅 𢹆 𢹇 𢹈 𢹉 𢹊 𢹋 𢹌 𢹍 𢹎 𢹏 𢹐 𢹑 𢹒 𢹓 𢹔 𢹕 𢹖 𢹗 𢹘 𢹙 𢹚 𢹛 𢹜 𢹝 𢹞 𢹟 𢹠 𢹡 𢹢 𢹣 𢹤 𢹥 𢹦 𢹧 𢹨 𢹩 𢹪 𢹫 𢹬 𢹭 𢹮 𢹯 𢹰 𢹱 𢹲 𢹳 𢹴 𢹵 𢹶 𢹷 𢹸 𢹹 𢹺 𢹻 𢹼 𢹽 𢹾 𢹿 𢺀 𢺁 𢺂 𢺃 𢺄 𢺅 𢺆 𢺇 𢺈 𢺉 𢺊 𢺋 𢺌 𢺍 𢺎 𢺏 𢺐 𢺑 𢺒 𢺓 𢺔 𢺕 𢺖 𢺗 𢺘 𢺙 𢺚 𢺛 𢺜 𢺝 𢺞 𢺟 𢺠 𢺡 𢺢 𢺣 𢺤 𢺥 𢺦 𢺧 𢺨 𢺩 𢺪 𢺫 𢺬 𢺭 𢺮 𢺯 𢺰 𢺱 𢺲 𢺳 𢺴 𢺵 𢺶 𢺷 𢺸 𢺹 𢺺 𢺻 𢺼 𢺽 𢺾 𢺿 𢻀 𢻁 𢻂 𢻃 𢻄 𢻅 𢻆 𢻇 𢻈 𢻉 𢻊 𢻋 𢻌 𢻍 𢻎 𢻏 𢻐 𢻑 𢻒 𢻓 𢻔 𢻕 𢻖 𢻗 𢻘 𢻙 𢻚 𢻛 𢻜 𢻝 𢻞 𢻟 𢻠 𢻡 𢻢 𢻣 𢻤 𢻥 𢻦 𢻧 𢻨 𢻩 𢻪 𢻫 𢻬 𢻭 𢻮 𢻯 𢻰 𢻱 𢻲 𢻳 𢻴 𢻵 𢻶 𢻷 𢻸 𢻹 𢻺 𢻻 𢻼 𢻽 𢻾 𢻿</t>
        </is>
      </c>
      <c r="Q565" s="38" t="inlineStr">
        <is>
          <t>𢸀 𢸁 𢸂 𢸃 𢸄 𢸅 𢸆 𢸇 𢸈 𢸉 𢸊 𢸋 𢸌 𢸍 𢸎 𢸏 𢸐 𢸑 𢸒 𢸓 𢸔 𢸕 𢸖 𢸗 𢸘 𢸙 𢸚 𢸛 𢸜 𢸝 𢸞 𢸟 𢸠 𢸡 𢸢 𢸣 𢸤 𢸥 𢸦 𢸧 𢸨 𢸩 𢸪 𢸫 𢸬 𢸭 𢸮 𢸯 𢸰 𢸱 𢸲 𢸳 𢸴 𢸵 𢸶 𢸷 𢸸 𢸹 𢸺 𢸻 𢸼 𢸽 𢸾 𢸿 𢹀 𢹁 𢹂 𢹃 𢹄 𢹅 𢹆 𢹇 𢹈 𢹉 𢹊 𢹋 𢹌 𢹍 𢹎 𢹏 𢹐 𢹑 𢹒 𢹓 𢹔 𢹕 𢹖 𢹗 𢹘 𢹙 𢹚 𢹛 𢹜 𢹝 𢹞 𢹟 𢹠 𢹡 𢹢 𢹣 𢹤 𢹥 𢹦 𢹧 𢹨 𢹩 𢹪 𢹫 𢹬 𢹭 𢹮 𢹯 𢹰 𢹱 𢹲 𢹳 𢹴 𢹵 𢹶 𢹷 𢹸 𢹹 𢹺 𢹻 𢹼 𢹽 𢹾 𢹿 𢺀 𢺁 𢺂 𢺃 𢺄 𢺅 𢺆 𢺇 𢺈 𢺉 𢺊 𢺋 𢺌 𢺍 𢺎 𢺏 𢺐 𢺑 𢺒 𢺓 𢺔 𢺕 𢺖 𢺗 𢺘 𢺙 𢺚 𢺛 𢺜 𢺝 𢺞 𢺟 𢺠 𢺡 𢺢 𢺣 𢺤 𢺥 𢺦 𢺧 𢺨 𢺩 𢺪 𢺫 𢺬 𢺭 𢺮 𢺯 𢺰 𢺱 𢺲 𢺳 𢺴 𢺵 𢺶 𢺷 𢺸 𢺹 𢺺 𢺻 𢺼 𢺽 𢺾 𢺿 𢻀 𢻁 𢻂 𢻃 𢻄 𢻅 𢻆 𢻇 𢻈 𢻉 𢻊 𢻋 𢻌 𢻍 𢻎 𢻏 𢻐 𢻑 𢻒 𢻓 𢻔 𢻕 𢻖 𢻗 𢻘 𢻙 𢻚 𢻛 𢻜 𢻝 𢻞 𢻟 𢻠 𢻡 𢻢 𢻣 𢻤 𢻥 𢻦 𢻧 𢻨 𢻩 𢻪 𢻫 𢻬 𢻭 𢻮 𢻯 𢻰 𢻱 𢻲 𢻳 𢻴 𢻵 𢻶 𢻷 𢻸 𢻹 𢻺 𢻻 𢻼 𢻽 𢻾 𢻿</t>
        </is>
      </c>
      <c r="R565" s="43" t="inlineStr">
        <is>
          <t>𢺳</t>
        </is>
      </c>
      <c r="S565" s="40" t="n"/>
      <c r="V565" s="14">
        <f>(LEN(O565)+1)/2</f>
        <v/>
      </c>
      <c r="W565" s="14">
        <f>ROUNDDOWN((LEN(P565)+1)/2,0)</f>
        <v/>
      </c>
      <c r="X565" s="14">
        <f>ROUNDDOWN((LEN(Q565)+1)/2,0)</f>
        <v/>
      </c>
      <c r="Y565" s="14">
        <f>ROUNDDOWN((LEN(R565)+1)/2,0)</f>
        <v/>
      </c>
      <c r="Z565" s="14">
        <f>ROUNDDOWN((LEN(S565)+1)/2,0)</f>
        <v/>
      </c>
      <c r="AA565" s="56" t="n">
        <v>46150.5587593056</v>
      </c>
    </row>
    <row r="566" ht="102" customHeight="1">
      <c r="B566" s="46" t="inlineStr">
        <is>
          <t>U+23000-U+230FF</t>
        </is>
      </c>
      <c r="C566" s="46" t="inlineStr">
        <is>
          <t>CJK Unified Ideographs Extension B</t>
        </is>
      </c>
      <c r="D566" s="54">
        <f>HEX2DEC(MID(B566,3,FIND("-",E566)-3))</f>
        <v/>
      </c>
      <c r="E566" s="46" t="inlineStr">
        <is>
          <t>U+20000-U+2A6DF</t>
        </is>
      </c>
      <c r="F566" s="12" t="n">
        <v>4</v>
      </c>
      <c r="J566" s="19">
        <f>ROUNDDOWN(W566,0)/$V566</f>
        <v/>
      </c>
      <c r="K566" s="19">
        <f>ROUNDDOWN(X566,0)/$V566</f>
        <v/>
      </c>
      <c r="L566" s="19">
        <f>ROUNDDOWN(Y566,0)/$V566</f>
        <v/>
      </c>
      <c r="M566" s="19">
        <f>ROUNDDOWN(Z566,0)/$V566</f>
        <v/>
      </c>
      <c r="O566" s="36" t="inlineStr">
        <is>
          <t>𢼀 𢼁 𢼂 𢼃 𢼄 𢼅 𢼆 𢼇 𢼈 𢼉 𢼊 𢼋 𢼌 𢼍 𢼎 𢼏 𢼐 𢼑 𢼒 𢼓 𢼔 𢼕 𢼖 𢼗 𢼘 𢼙 𢼚 𢼛 𢼜 𢼝 𢼞 𢼟 𢼠 𢼡 𢼢 𢼣 𢼤 𢼥 𢼦 𢼧 𢼨 𢼩 𢼪 𢼫 𢼬 𢼭 𢼮 𢼯 𢼰 𢼱 𢼲 𢼳 𢼴 𢼵 𢼶 𢼷 𢼸 𢼹 𢼺 𢼻 𢼼 𢼽 𢼾 𢼿 𢽀 𢽁 𢽂 𢽃 𢽄 𢽅 𢽆 𢽇 𢽈 𢽉 𢽊 𢽋 𢽌 𢽍 𢽎 𢽏 𢽐 𢽑 𢽒 𢽓 𢽔 𢽕 𢽖 𢽗 𢽘 𢽙 𢽚 𢽛 𢽜 𢽝 𢽞 𢽟 𢽠 𢽡 𢽢 𢽣 𢽤 𢽥 𢽦 𢽧 𢽨 𢽩 𢽪 𢽫 𢽬 𢽭 𢽮 𢽯 𢽰 𢽱 𢽲 𢽳 𢽴 𢽵 𢽶 𢽷 𢽸 𢽹 𢽺 𢽻 𢽼 𢽽 𢽾 𢽿 𢾀 𢾁 𢾂 𢾃 𢾄 𢾅 𢾆 𢾇 𢾈 𢾉 𢾊 𢾋 𢾌 𢾍 𢾎 𢾏 𢾐 𢾑 𢾒 𢾓 𢾔 𢾕 𢾖 𢾗 𢾘 𢾙 𢾚 𢾛 𢾜 𢾝 𢾞 𢾟 𢾠 𢾡 𢾢 𢾣 𢾤 𢾥 𢾦 𢾧 𢾨 𢾩 𢾪 𢾫 𢾬 𢾭 𢾮 𢾯 𢾰 𢾱 𢾲 𢾳 𢾴 𢾵 𢾶 𢾷 𢾸 𢾹 𢾺 𢾻 𢾼 𢾽 𢾾 𢾿 𢿀 𢿁 𢿂 𢿃 𢿄 𢿅 𢿆 𢿇 𢿈 𢿉 𢿊 𢿋 𢿌 𢿍 𢿎 𢿏 𢿐 𢿑 𢿒 𢿓 𢿔 𢿕 𢿖 𢿗 𢿘 𢿙 𢿚 𢿛 𢿜 𢿝 𢿞 𢿟 𢿠 𢿡 𢿢 𢿣 𢿤 𢿥 𢿦 𢿧 𢿨 𢿩 𢿪 𢿫 𢿬 𢿭 𢿮 𢿯 𢿰 𢿱 𢿲 𢿳 𢿴 𢿵 𢿶 𢿷 𢿸 𢿹 𢿺 𢿻 𢿼 𢿽 𢿾 𢿿</t>
        </is>
      </c>
      <c r="P566" s="37" t="inlineStr">
        <is>
          <t>𢼀 𢼁 𢼂 𢼃 𢼄 𢼅 𢼆 𢼇 𢼈 𢼉 𢼊 𢼋 𢼌 𢼍 𢼎 𢼏 𢼐 𢼑 𢼒 𢼓 𢼔 𢼕 𢼖 𢼗 𢼘 𢼙 𢼚 𢼛 𢼜 𢼝 𢼞 𢼟 𢼠 𢼡 𢼢 𢼣 𢼤 𢼥 𢼦 𢼧 𢼨 𢼩 𢼪 𢼫 𢼬 𢼭 𢼮 𢼯 𢼰 𢼱 𢼲 𢼳 𢼴 𢼵 𢼶 𢼷 𢼸 𢼹 𢼺 𢼻 𢼼 𢼽 𢼾 𢼿 𢽀 𢽁 𢽂 𢽃 𢽄 𢽅 𢽆 𢽇 𢽈 𢽉 𢽊 𢽋 𢽌 𢽍 𢽎 𢽏 𢽐 𢽑 𢽒 𢽓 𢽔 𢽕 𢽖 𢽗 𢽘 𢽙 𢽚 𢽛 𢽜 𢽝 𢽞 𢽟 𢽠 𢽡 𢽢 𢽣 𢽤 𢽥 𢽦 𢽧 𢽨 𢽩 𢽪 𢽫 𢽬 𢽭 𢽮 𢽯 𢽰 𢽱 𢽲 𢽳 𢽴 𢽵 𢽶 𢽷 𢽸 𢽹 𢽺 𢽻 𢽼 𢽽 𢽾 𢽿 𢾀 𢾁 𢾂 𢾃 𢾄 𢾅 𢾆 𢾇 𢾈 𢾉 𢾊 𢾋 𢾌 𢾍 𢾎 𢾏 𢾐 𢾑 𢾒 𢾓 𢾔 𢾕 𢾖 𢾗 𢾘 𢾙 𢾚 𢾛 𢾜 𢾝 𢾞 𢾟 𢾠 𢾡 𢾢 𢾣 𢾤 𢾥 𢾦 𢾧 𢾨 𢾩 𢾪 𢾫 𢾬 𢾭 𢾮 𢾯 𢾰 𢾱 𢾲 𢾳 𢾴 𢾵 𢾶 𢾷 𢾸 𢾹 𢾺 𢾻 𢾼 𢾽 𢾾 𢾿 𢿀 𢿁 𢿂 𢿃 𢿄 𢿅 𢿆 𢿇 𢿈 𢿉 𢿊 𢿋 𢿌 𢿍 𢿎 𢿏 𢿐 𢿑 𢿒 𢿓 𢿔 𢿕 𢿖 𢿗 𢿘 𢿙 𢿚 𢿛 𢿜 𢿝 𢿞 𢿟 𢿠 𢿡 𢿢 𢿣 𢿤 𢿥 𢿦 𢿧 𢿨 𢿩 𢿪 𢿫 𢿬 𢿭 𢿮 𢿯 𢿰 𢿱 𢿲 𢿳 𢿴 𢿵 𢿶 𢿷 𢿸 𢿹 𢿺 𢿻 𢿼 𢿽 𢿾 𢿿</t>
        </is>
      </c>
      <c r="Q566" s="38" t="inlineStr">
        <is>
          <t>𢼀 𢼁 𢼂 𢼃 𢼄 𢼅 𢼆 𢼇 𢼈 𢼉 𢼊 𢼋 𢼌 𢼍 𢼎 𢼏 𢼐 𢼑 𢼒 𢼓 𢼔 𢼕 𢼖 𢼗 𢼘 𢼙 𢼚 𢼛 𢼜 𢼝 𢼞 𢼟 𢼠 𢼡 𢼢 𢼣 𢼤 𢼥 𢼦 𢼧 𢼨 𢼩 𢼪 𢼫 𢼬 𢼭 𢼮 𢼯 𢼰 𢼱 𢼲 𢼳 𢼴 𢼵 𢼶 𢼷 𢼸 𢼹 𢼺 𢼻 𢼼 𢼽 𢼾 𢼿 𢽀 𢽁 𢽂 𢽃 𢽄 𢽅 𢽆 𢽇 𢽈 𢽉 𢽊 𢽋 𢽌 𢽍 𢽎 𢽏 𢽐 𢽑 𢽒 𢽓 𢽔 𢽕 𢽖 𢽗 𢽘 𢽙 𢽚 𢽛 𢽜 𢽝 𢽞 𢽟 𢽠 𢽡 𢽢 𢽣 𢽤 𢽥 𢽦 𢽧 𢽨 𢽩 𢽪 𢽫 𢽬 𢽭 𢽮 𢽯 𢽰 𢽱 𢽲 𢽳 𢽴 𢽵 𢽶 𢽷 𢽸 𢽹 𢽺 𢽻 𢽼 𢽽 𢽾 𢽿 𢾀 𢾁 𢾂 𢾃 𢾄 𢾅 𢾆 𢾇 𢾈 𢾉 𢾊 𢾋 𢾌 𢾍 𢾎 𢾏 𢾐 𢾑 𢾒 𢾓 𢾔 𢾕 𢾖 𢾗 𢾘 𢾙 𢾚 𢾛 𢾜 𢾝 𢾞 𢾟 𢾠 𢾡 𢾢 𢾣 𢾤 𢾥 𢾦 𢾧 𢾨 𢾩 𢾪 𢾫 𢾬 𢾭 𢾮 𢾯 𢾰 𢾱 𢾲 𢾳 𢾴 𢾵 𢾶 𢾷 𢾸 𢾹 𢾺 𢾻 𢾼 𢾽 𢾾 𢾿 𢿀 𢿁 𢿂 𢿃 𢿄 𢿅 𢿆 𢿇 𢿈 𢿉 𢿊 𢿋 𢿌 𢿍 𢿎 𢿏 𢿐 𢿑 𢿒 𢿓 𢿔 𢿕 𢿖 𢿗 𢿘 𢿙 𢿚 𢿛 𢿜 𢿝 𢿞 𢿟 𢿠 𢿡 𢿢 𢿣 𢿤 𢿥 𢿦 𢿧 𢿨 𢿩 𢿪 𢿫 𢿬 𢿭 𢿮 𢿯 𢿰 𢿱 𢿲 𢿳 𢿴 𢿵 𢿶 𢿷 𢿸 𢿹 𢿺 𢿻 𢿼 𢿽 𢿾 𢿿</t>
        </is>
      </c>
      <c r="R566" s="43" t="inlineStr">
        <is>
          <t>𢼌 𢼛 𢽾</t>
        </is>
      </c>
      <c r="S566" s="40" t="n"/>
      <c r="V566" s="14">
        <f>(LEN(O566)+1)/2</f>
        <v/>
      </c>
      <c r="W566" s="14">
        <f>ROUNDDOWN((LEN(P566)+1)/2,0)</f>
        <v/>
      </c>
      <c r="X566" s="14">
        <f>ROUNDDOWN((LEN(Q566)+1)/2,0)</f>
        <v/>
      </c>
      <c r="Y566" s="14">
        <f>ROUNDDOWN((LEN(R566)+1)/2,0)</f>
        <v/>
      </c>
      <c r="Z566" s="14">
        <f>ROUNDDOWN((LEN(S566)+1)/2,0)</f>
        <v/>
      </c>
      <c r="AA566" s="56" t="n">
        <v>46150.55876040919</v>
      </c>
    </row>
    <row r="567" ht="102" customHeight="1">
      <c r="B567" s="46" t="inlineStr">
        <is>
          <t>U+23100-U+231FF</t>
        </is>
      </c>
      <c r="C567" s="46" t="inlineStr">
        <is>
          <t>CJK Unified Ideographs Extension B</t>
        </is>
      </c>
      <c r="D567" s="54">
        <f>HEX2DEC(MID(B567,3,FIND("-",E567)-3))</f>
        <v/>
      </c>
      <c r="E567" s="46" t="inlineStr">
        <is>
          <t>U+20000-U+2A6DF</t>
        </is>
      </c>
      <c r="F567" s="12" t="n">
        <v>4</v>
      </c>
      <c r="J567" s="19">
        <f>ROUNDDOWN(W567,0)/$V567</f>
        <v/>
      </c>
      <c r="K567" s="19">
        <f>ROUNDDOWN(X567,0)/$V567</f>
        <v/>
      </c>
      <c r="L567" s="19">
        <f>ROUNDDOWN(Y567,0)/$V567</f>
        <v/>
      </c>
      <c r="M567" s="19">
        <f>ROUNDDOWN(Z567,0)/$V567</f>
        <v/>
      </c>
      <c r="O567" s="36" t="inlineStr">
        <is>
          <t>𣀀 𣀁 𣀂 𣀃 𣀄 𣀅 𣀆 𣀇 𣀈 𣀉 𣀊 𣀋 𣀌 𣀍 𣀎 𣀏 𣀐 𣀑 𣀒 𣀓 𣀔 𣀕 𣀖 𣀗 𣀘 𣀙 𣀚 𣀛 𣀜 𣀝 𣀞 𣀟 𣀠 𣀡 𣀢 𣀣 𣀤 𣀥 𣀦 𣀧 𣀨 𣀩 𣀪 𣀫 𣀬 𣀭 𣀮 𣀯 𣀰 𣀱 𣀲 𣀳 𣀴 𣀵 𣀶 𣀷 𣀸 𣀹 𣀺 𣀻 𣀼 𣀽 𣀾 𣀿 𣁀 𣁁 𣁂 𣁃 𣁄 𣁅 𣁆 𣁇 𣁈 𣁉 𣁊 𣁋 𣁌 𣁍 𣁎 𣁏 𣁐 𣁑 𣁒 𣁓 𣁔 𣁕 𣁖 𣁗 𣁘 𣁙 𣁚 𣁛 𣁜 𣁝 𣁞 𣁟 𣁠 𣁡 𣁢 𣁣 𣁤 𣁥 𣁦 𣁧 𣁨 𣁩 𣁪 𣁫 𣁬 𣁭 𣁮 𣁯 𣁰 𣁱 𣁲 𣁳 𣁴 𣁵 𣁶 𣁷 𣁸 𣁹 𣁺 𣁻 𣁼 𣁽 𣁾 𣁿 𣂀 𣂁 𣂂 𣂃 𣂄 𣂅 𣂆 𣂇 𣂈 𣂉 𣂊 𣂋 𣂌 𣂍 𣂎 𣂏 𣂐 𣂑 𣂒 𣂓 𣂔 𣂕 𣂖 𣂗 𣂘 𣂙 𣂚 𣂛 𣂜 𣂝 𣂞 𣂟 𣂠 𣂡 𣂢 𣂣 𣂤 𣂥 𣂦 𣂧 𣂨 𣂩 𣂪 𣂫 𣂬 𣂭 𣂮 𣂯 𣂰 𣂱 𣂲 𣂳 𣂴 𣂵 𣂶 𣂷 𣂸 𣂹 𣂺 𣂻 𣂼 𣂽 𣂾 𣂿 𣃀 𣃁 𣃂 𣃃 𣃄 𣃅 𣃆 𣃇 𣃈 𣃉 𣃊 𣃋 𣃌 𣃍 𣃎 𣃏 𣃐 𣃑 𣃒 𣃓 𣃔 𣃕 𣃖 𣃗 𣃘 𣃙 𣃚 𣃛 𣃜 𣃝 𣃞 𣃟 𣃠 𣃡 𣃢 𣃣 𣃤 𣃥 𣃦 𣃧 𣃨 𣃩 𣃪 𣃫 𣃬 𣃭 𣃮 𣃯 𣃰 𣃱 𣃲 𣃳 𣃴 𣃵 𣃶 𣃷 𣃸 𣃹 𣃺 𣃻 𣃼 𣃽 𣃾 𣃿</t>
        </is>
      </c>
      <c r="P567" s="37" t="inlineStr">
        <is>
          <t>𣀀 𣀁 𣀂 𣀃 𣀄 𣀅 𣀆 𣀇 𣀈 𣀉 𣀊 𣀋 𣀌 𣀍 𣀎 𣀏 𣀐 𣀑 𣀒 𣀓 𣀔 𣀕 𣀖 𣀗 𣀘 𣀙 𣀚 𣀛 𣀜 𣀝 𣀞 𣀟 𣀠 𣀡 𣀢 𣀣 𣀤 𣀥 𣀦 𣀧 𣀨 𣀩 𣀪 𣀫 𣀬 𣀭 𣀮 𣀯 𣀰 𣀱 𣀲 𣀳 𣀴 𣀵 𣀶 𣀷 𣀸 𣀹 𣀺 𣀻 𣀼 𣀽 𣀾 𣀿 𣁀 𣁁 𣁂 𣁃 𣁄 𣁅 𣁆 𣁇 𣁈 𣁉 𣁊 𣁋 𣁌 𣁍 𣁎 𣁏 𣁐 𣁑 𣁒 𣁓 𣁔 𣁕 𣁖 𣁗 𣁘 𣁙 𣁚 𣁛 𣁜 𣁝 𣁞 𣁟 𣁠 𣁡 𣁢 𣁣 𣁤 𣁥 𣁦 𣁧 𣁨 𣁩 𣁪 𣁫 𣁬 𣁭 𣁮 𣁯 𣁰 𣁱 𣁲 𣁳 𣁴 𣁵 𣁶 𣁷 𣁸 𣁹 𣁺 𣁻 𣁼 𣁽 𣁾 𣁿 𣂀 𣂁 𣂂 𣂃 𣂄 𣂅 𣂆 𣂇 𣂈 𣂉 𣂊 𣂋 𣂌 𣂍 𣂎 𣂏 𣂐 𣂑 𣂒 𣂓 𣂔 𣂕 𣂖 𣂗 𣂘 𣂙 𣂚 𣂛 𣂜 𣂝 𣂞 𣂟 𣂠 𣂡 𣂢 𣂣 𣂤 𣂥 𣂦 𣂧 𣂨 𣂩 𣂪 𣂫 𣂬 𣂭 𣂮 𣂯 𣂰 𣂱 𣂲 𣂳 𣂴 𣂵 𣂶 𣂷 𣂸 𣂹 𣂺 𣂻 𣂼 𣂽 𣂾 𣂿 𣃀 𣃁 𣃂 𣃃 𣃄 𣃅 𣃆 𣃇 𣃈 𣃉 𣃊 𣃋 𣃌 𣃍 𣃎 𣃏 𣃐 𣃑 𣃒 𣃓 𣃔 𣃕 𣃖 𣃗 𣃘 𣃙 𣃚 𣃛 𣃜 𣃝 𣃞 𣃟 𣃠 𣃡 𣃢 𣃣 𣃤 𣃥 𣃦 𣃧 𣃨 𣃩 𣃪 𣃫 𣃬 𣃭 𣃮 𣃯 𣃰 𣃱 𣃲 𣃳 𣃴 𣃵 𣃶 𣃷 𣃸 𣃹 𣃺 𣃻 𣃼 𣃽 𣃾 𣃿</t>
        </is>
      </c>
      <c r="Q567" s="38" t="inlineStr">
        <is>
          <t>𣀀 𣀁 𣀂 𣀃 𣀄 𣀅 𣀆 𣀇 𣀈 𣀉 𣀊 𣀋 𣀌 𣀍 𣀎 𣀏 𣀐 𣀑 𣀒 𣀓 𣀔 𣀕 𣀖 𣀗 𣀘 𣀙 𣀚 𣀛 𣀜 𣀝 𣀞 𣀟 𣀠 𣀡 𣀢 𣀣 𣀤 𣀥 𣀦 𣀧 𣀨 𣀩 𣀪 𣀫 𣀬 𣀭 𣀮 𣀯 𣀰 𣀱 𣀲 𣀳 𣀴 𣀵 𣀶 𣀷 𣀸 𣀹 𣀺 𣀻 𣀼 𣀽 𣀾 𣀿 𣁀 𣁁 𣁂 𣁃 𣁄 𣁅 𣁆 𣁇 𣁈 𣁉 𣁊 𣁋 𣁌 𣁍 𣁎 𣁏 𣁐 𣁑 𣁒 𣁓 𣁔 𣁕 𣁖 𣁗 𣁘 𣁙 𣁚 𣁛 𣁜 𣁝 𣁞 𣁟 𣁠 𣁡 𣁢 𣁣 𣁤 𣁥 𣁦 𣁧 𣁨 𣁩 𣁪 𣁫 𣁬 𣁭 𣁮 𣁯 𣁰 𣁱 𣁲 𣁳 𣁴 𣁵 𣁶 𣁷 𣁸 𣁹 𣁺 𣁻 𣁼 𣁽 𣁾 𣁿 𣂀 𣂁 𣂂 𣂃 𣂄 𣂅 𣂆 𣂇 𣂈 𣂉 𣂊 𣂋 𣂌 𣂍 𣂎 𣂏 𣂐 𣂑 𣂒 𣂓 𣂔 𣂕 𣂖 𣂗 𣂘 𣂙 𣂚 𣂛 𣂜 𣂝 𣂞 𣂟 𣂠 𣂡 𣂢 𣂣 𣂤 𣂥 𣂦 𣂧 𣂨 𣂩 𣂪 𣂫 𣂬 𣂭 𣂮 𣂯 𣂰 𣂱 𣂲 𣂳 𣂴 𣂵 𣂶 𣂷 𣂸 𣂹 𣂺 𣂻 𣂼 𣂽 𣂾 𣂿 𣃀 𣃁 𣃂 𣃃 𣃄 𣃅 𣃆 𣃇 𣃈 𣃉 𣃊 𣃋 𣃌 𣃍 𣃎 𣃏 𣃐 𣃑 𣃒 𣃓 𣃔 𣃕 𣃖 𣃗 𣃘 𣃙 𣃚 𣃛 𣃜 𣃝 𣃞 𣃟 𣃠 𣃡 𣃢 𣃣 𣃤 𣃥 𣃦 𣃧 𣃨 𣃩 𣃪 𣃫 𣃬 𣃭 𣃮 𣃯 𣃰 𣃱 𣃲 𣃳 𣃴 𣃵 𣃶 𣃷 𣃸 𣃹 𣃺 𣃻 𣃼 𣃽 𣃾 𣃿</t>
        </is>
      </c>
      <c r="R567" s="43" t="inlineStr">
        <is>
          <t>𣁳 𣁴</t>
        </is>
      </c>
      <c r="S567" s="40" t="n"/>
      <c r="V567" s="14">
        <f>(LEN(O567)+1)/2</f>
        <v/>
      </c>
      <c r="W567" s="14">
        <f>ROUNDDOWN((LEN(P567)+1)/2,0)</f>
        <v/>
      </c>
      <c r="X567" s="14">
        <f>ROUNDDOWN((LEN(Q567)+1)/2,0)</f>
        <v/>
      </c>
      <c r="Y567" s="14">
        <f>ROUNDDOWN((LEN(R567)+1)/2,0)</f>
        <v/>
      </c>
      <c r="Z567" s="14">
        <f>ROUNDDOWN((LEN(S567)+1)/2,0)</f>
        <v/>
      </c>
      <c r="AA567" s="56" t="n">
        <v>46150.5587615024</v>
      </c>
    </row>
    <row r="568" ht="102" customHeight="1">
      <c r="B568" s="46" t="inlineStr">
        <is>
          <t>U+23200-U+232FF</t>
        </is>
      </c>
      <c r="C568" s="46" t="inlineStr">
        <is>
          <t>CJK Unified Ideographs Extension B</t>
        </is>
      </c>
      <c r="D568" s="54">
        <f>HEX2DEC(MID(B568,3,FIND("-",E568)-3))</f>
        <v/>
      </c>
      <c r="E568" s="46" t="inlineStr">
        <is>
          <t>U+20000-U+2A6DF</t>
        </is>
      </c>
      <c r="F568" s="12" t="n">
        <v>4</v>
      </c>
      <c r="J568" s="19">
        <f>ROUNDDOWN(W568,0)/$V568</f>
        <v/>
      </c>
      <c r="K568" s="19">
        <f>ROUNDDOWN(X568,0)/$V568</f>
        <v/>
      </c>
      <c r="L568" s="19">
        <f>ROUNDDOWN(Y568,0)/$V568</f>
        <v/>
      </c>
      <c r="M568" s="19">
        <f>ROUNDDOWN(Z568,0)/$V568</f>
        <v/>
      </c>
      <c r="O568" s="36" t="inlineStr">
        <is>
          <t>𣄀 𣄁 𣄂 𣄃 𣄄 𣄅 𣄆 𣄇 𣄈 𣄉 𣄊 𣄋 𣄌 𣄍 𣄎 𣄏 𣄐 𣄑 𣄒 𣄓 𣄔 𣄕 𣄖 𣄗 𣄘 𣄙 𣄚 𣄛 𣄜 𣄝 𣄞 𣄟 𣄠 𣄡 𣄢 𣄣 𣄤 𣄥 𣄦 𣄧 𣄨 𣄩 𣄪 𣄫 𣄬 𣄭 𣄮 𣄯 𣄰 𣄱 𣄲 𣄳 𣄴 𣄵 𣄶 𣄷 𣄸 𣄹 𣄺 𣄻 𣄼 𣄽 𣄾 𣄿 𣅀 𣅁 𣅂 𣅃 𣅄 𣅅 𣅆 𣅇 𣅈 𣅉 𣅊 𣅋 𣅌 𣅍 𣅎 𣅏 𣅐 𣅑 𣅒 𣅓 𣅔 𣅕 𣅖 𣅗 𣅘 𣅙 𣅚 𣅛 𣅜 𣅝 𣅞 𣅟 𣅠 𣅡 𣅢 𣅣 𣅤 𣅥 𣅦 𣅧 𣅨 𣅩 𣅪 𣅫 𣅬 𣅭 𣅮 𣅯 𣅰 𣅱 𣅲 𣅳 𣅴 𣅵 𣅶 𣅷 𣅸 𣅹 𣅺 𣅻 𣅼 𣅽 𣅾 𣅿 𣆀 𣆁 𣆂 𣆃 𣆄 𣆅 𣆆 𣆇 𣆈 𣆉 𣆊 𣆋 𣆌 𣆍 𣆎 𣆏 𣆐 𣆑 𣆒 𣆓 𣆔 𣆕 𣆖 𣆗 𣆘 𣆙 𣆚 𣆛 𣆜 𣆝 𣆞 𣆟 𣆠 𣆡 𣆢 𣆣 𣆤 𣆥 𣆦 𣆧 𣆨 𣆩 𣆪 𣆫 𣆬 𣆭 𣆮 𣆯 𣆰 𣆱 𣆲 𣆳 𣆴 𣆵 𣆶 𣆷 𣆸 𣆹 𣆺 𣆻 𣆼 𣆽 𣆾 𣆿 𣇀 𣇁 𣇂 𣇃 𣇄 𣇅 𣇆 𣇇 𣇈 𣇉 𣇊 𣇋 𣇌 𣇍 𣇎 𣇏 𣇐 𣇑 𣇒 𣇓 𣇔 𣇕 𣇖 𣇗 𣇘 𣇙 𣇚 𣇛 𣇜 𣇝 𣇞 𣇟 𣇠 𣇡 𣇢 𣇣 𣇤 𣇥 𣇦 𣇧 𣇨 𣇩 𣇪 𣇫 𣇬 𣇭 𣇮 𣇯 𣇰 𣇱 𣇲 𣇳 𣇴 𣇵 𣇶 𣇷 𣇸 𣇹 𣇺 𣇻 𣇼 𣇽 𣇾 𣇿</t>
        </is>
      </c>
      <c r="P568" s="37" t="inlineStr">
        <is>
          <t>𣄀 𣄁 𣄂 𣄃 𣄄 𣄅 𣄆 𣄇 𣄈 𣄉 𣄊 𣄋 𣄌 𣄍 𣄎 𣄏 𣄐 𣄑 𣄒 𣄓 𣄔 𣄕 𣄖 𣄗 𣄘 𣄙 𣄚 𣄛 𣄜 𣄝 𣄞 𣄟 𣄠 𣄡 𣄢 𣄣 𣄤 𣄥 𣄦 𣄧 𣄨 𣄩 𣄪 𣄫 𣄬 𣄭 𣄮 𣄯 𣄰 𣄱 𣄲 𣄳 𣄴 𣄵 𣄶 𣄷 𣄸 𣄹 𣄺 𣄻 𣄼 𣄽 𣄾 𣄿 𣅀 𣅁 𣅂 𣅃 𣅄 𣅅 𣅆 𣅇 𣅈 𣅉 𣅊 𣅋 𣅌 𣅍 𣅎 𣅏 𣅐 𣅑 𣅒 𣅓 𣅔 𣅕 𣅖 𣅗 𣅘 𣅙 𣅚 𣅛 𣅜 𣅝 𣅞 𣅟 𣅠 𣅡 𣅢 𣅣 𣅤 𣅥 𣅦 𣅧 𣅨 𣅩 𣅪 𣅫 𣅬 𣅭 𣅮 𣅯 𣅰 𣅱 𣅲 𣅳 𣅴 𣅵 𣅶 𣅷 𣅸 𣅹 𣅺 𣅻 𣅼 𣅽 𣅾 𣅿 𣆀 𣆁 𣆂 𣆃 𣆄 𣆅 𣆆 𣆇 𣆈 𣆉 𣆊 𣆋 𣆌 𣆍 𣆎 𣆏 𣆐 𣆑 𣆒 𣆓 𣆔 𣆕 𣆖 𣆗 𣆘 𣆙 𣆚 𣆛 𣆜 𣆝 𣆞 𣆟 𣆠 𣆡 𣆢 𣆣 𣆤 𣆥 𣆦 𣆧 𣆨 𣆩 𣆪 𣆫 𣆬 𣆭 𣆮 𣆯 𣆰 𣆱 𣆲 𣆳 𣆴 𣆵 𣆶 𣆷 𣆸 𣆹 𣆺 𣆻 𣆼 𣆽 𣆾 𣆿 𣇀 𣇁 𣇂 𣇃 𣇄 𣇅 𣇆 𣇇 𣇈 𣇉 𣇊 𣇋 𣇌 𣇍 𣇎 𣇏 𣇐 𣇑 𣇒 𣇓 𣇔 𣇕 𣇖 𣇗 𣇘 𣇙 𣇚 𣇛 𣇜 𣇝 𣇞 𣇟 𣇠 𣇡 𣇢 𣇣 𣇤 𣇥 𣇦 𣇧 𣇨 𣇩 𣇪 𣇫 𣇬 𣇭 𣇮 𣇯 𣇰 𣇱 𣇲 𣇳 𣇴 𣇵 𣇶 𣇷 𣇸 𣇹 𣇺 𣇻 𣇼 𣇽 𣇾 𣇿</t>
        </is>
      </c>
      <c r="Q568" s="38" t="inlineStr">
        <is>
          <t>𣄀 𣄁 𣄂 𣄃 𣄄 𣄅 𣄆 𣄇 𣄈 𣄉 𣄊 𣄋 𣄌 𣄍 𣄎 𣄏 𣄐 𣄑 𣄒 𣄓 𣄔 𣄕 𣄖 𣄗 𣄘 𣄙 𣄚 𣄛 𣄜 𣄝 𣄞 𣄟 𣄠 𣄡 𣄢 𣄣 𣄤 𣄥 𣄦 𣄧 𣄨 𣄩 𣄪 𣄫 𣄬 𣄭 𣄮 𣄯 𣄰 𣄱 𣄲 𣄳 𣄴 𣄵 𣄶 𣄷 𣄸 𣄹 𣄺 𣄻 𣄼 𣄽 𣄾 𣄿 𣅀 𣅁 𣅂 𣅃 𣅄 𣅅 𣅆 𣅇 𣅈 𣅉 𣅊 𣅋 𣅌 𣅍 𣅎 𣅏 𣅐 𣅑 𣅒 𣅓 𣅔 𣅕 𣅖 𣅗 𣅘 𣅙 𣅚 𣅛 𣅜 𣅝 𣅞 𣅟 𣅠 𣅡 𣅢 𣅣 𣅤 𣅥 𣅦 𣅧 𣅨 𣅩 𣅪 𣅫 𣅬 𣅭 𣅮 𣅯 𣅰 𣅱 𣅲 𣅳 𣅴 𣅵 𣅶 𣅷 𣅸 𣅹 𣅺 𣅻 𣅼 𣅽 𣅾 𣅿 𣆀 𣆁 𣆂 𣆃 𣆄 𣆅 𣆆 𣆇 𣆈 𣆉 𣆊 𣆋 𣆌 𣆍 𣆎 𣆏 𣆐 𣆑 𣆒 𣆓 𣆔 𣆕 𣆖 𣆗 𣆘 𣆙 𣆚 𣆛 𣆜 𣆝 𣆞 𣆟 𣆠 𣆡 𣆢 𣆣 𣆤 𣆥 𣆦 𣆧 𣆨 𣆩 𣆪 𣆫 𣆬 𣆭 𣆮 𣆯 𣆰 𣆱 𣆲 𣆳 𣆴 𣆵 𣆶 𣆷 𣆸 𣆹 𣆺 𣆻 𣆼 𣆽 𣆾 𣆿 𣇀 𣇁 𣇂 𣇃 𣇄 𣇅 𣇆 𣇇 𣇈 𣇉 𣇊 𣇋 𣇌 𣇍 𣇎 𣇏 𣇐 𣇑 𣇒 𣇓 𣇔 𣇕 𣇖 𣇗 𣇘 𣇙 𣇚 𣇛 𣇜 𣇝 𣇞 𣇟 𣇠 𣇡 𣇢 𣇣 𣇤 𣇥 𣇦 𣇧 𣇨 𣇩 𣇪 𣇫 𣇬 𣇭 𣇮 𣇯 𣇰 𣇱 𣇲 𣇳 𣇴 𣇵 𣇶 𣇷 𣇸 𣇹 𣇺 𣇻 𣇼 𣇽 𣇾 𣇿</t>
        </is>
      </c>
      <c r="R568" s="43" t="inlineStr">
        <is>
          <t>𣆶 𣇃 𣇄 𣇵</t>
        </is>
      </c>
      <c r="S568" s="40" t="n"/>
      <c r="V568" s="14">
        <f>(LEN(O568)+1)/2</f>
        <v/>
      </c>
      <c r="W568" s="14">
        <f>ROUNDDOWN((LEN(P568)+1)/2,0)</f>
        <v/>
      </c>
      <c r="X568" s="14">
        <f>ROUNDDOWN((LEN(Q568)+1)/2,0)</f>
        <v/>
      </c>
      <c r="Y568" s="14">
        <f>ROUNDDOWN((LEN(R568)+1)/2,0)</f>
        <v/>
      </c>
      <c r="Z568" s="14">
        <f>ROUNDDOWN((LEN(S568)+1)/2,0)</f>
        <v/>
      </c>
      <c r="AA568" s="56" t="n">
        <v>46150.55876260505</v>
      </c>
    </row>
    <row r="569" ht="102" customHeight="1">
      <c r="B569" s="46" t="inlineStr">
        <is>
          <t>U+23300-U+233FF</t>
        </is>
      </c>
      <c r="C569" s="46" t="inlineStr">
        <is>
          <t>CJK Unified Ideographs Extension B</t>
        </is>
      </c>
      <c r="D569" s="54">
        <f>HEX2DEC(MID(B569,3,FIND("-",E569)-3))</f>
        <v/>
      </c>
      <c r="E569" s="46" t="inlineStr">
        <is>
          <t>U+20000-U+2A6DF</t>
        </is>
      </c>
      <c r="F569" s="12" t="n">
        <v>4</v>
      </c>
      <c r="J569" s="19">
        <f>ROUNDDOWN(W569,0)/$V569</f>
        <v/>
      </c>
      <c r="K569" s="19">
        <f>ROUNDDOWN(X569,0)/$V569</f>
        <v/>
      </c>
      <c r="L569" s="19">
        <f>ROUNDDOWN(Y569,0)/$V569</f>
        <v/>
      </c>
      <c r="M569" s="19">
        <f>ROUNDDOWN(Z569,0)/$V569</f>
        <v/>
      </c>
      <c r="O569" s="36" t="inlineStr">
        <is>
          <t>𣈀 𣈁 𣈂 𣈃 𣈄 𣈅 𣈆 𣈇 𣈈 𣈉 𣈊 𣈋 𣈌 𣈍 𣈎 𣈏 𣈐 𣈑 𣈒 𣈓 𣈔 𣈕 𣈖 𣈗 𣈘 𣈙 𣈚 𣈛 𣈜 𣈝 𣈞 𣈟 𣈠 𣈡 𣈢 𣈣 𣈤 𣈥 𣈦 𣈧 𣈨 𣈩 𣈪 𣈫 𣈬 𣈭 𣈮 𣈯 𣈰 𣈱 𣈲 𣈳 𣈴 𣈵 𣈶 𣈷 𣈸 𣈹 𣈺 𣈻 𣈼 𣈽 𣈾 𣈿 𣉀 𣉁 𣉂 𣉃 𣉄 𣉅 𣉆 𣉇 𣉈 𣉉 𣉊 𣉋 𣉌 𣉍 𣉎 𣉏 𣉐 𣉑 𣉒 𣉓 𣉔 𣉕 𣉖 𣉗 𣉘 𣉙 𣉚 𣉛 𣉜 𣉝 𣉞 𣉟 𣉠 𣉡 𣉢 𣉣 𣉤 𣉥 𣉦 𣉧 𣉨 𣉩 𣉪 𣉫 𣉬 𣉭 𣉮 𣉯 𣉰 𣉱 𣉲 𣉳 𣉴 𣉵 𣉶 𣉷 𣉸 𣉹 𣉺 𣉻 𣉼 𣉽 𣉾 𣉿 𣊀 𣊁 𣊂 𣊃 𣊄 𣊅 𣊆 𣊇 𣊈 𣊉 𣊊 𣊋 𣊌 𣊍 𣊎 𣊏 𣊐 𣊑 𣊒 𣊓 𣊔 𣊕 𣊖 𣊗 𣊘 𣊙 𣊚 𣊛 𣊜 𣊝 𣊞 𣊟 𣊠 𣊡 𣊢 𣊣 𣊤 𣊥 𣊦 𣊧 𣊨 𣊩 𣊪 𣊫 𣊬 𣊭 𣊮 𣊯 𣊰 𣊱 𣊲 𣊳 𣊴 𣊵 𣊶 𣊷 𣊸 𣊹 𣊺 𣊻 𣊼 𣊽 𣊾 𣊿 𣋀 𣋁 𣋂 𣋃 𣋄 𣋅 𣋆 𣋇 𣋈 𣋉 𣋊 𣋋 𣋌 𣋍 𣋎 𣋏 𣋐 𣋑 𣋒 𣋓 𣋔 𣋕 𣋖 𣋗 𣋘 𣋙 𣋚 𣋛 𣋜 𣋝 𣋞 𣋟 𣋠 𣋡 𣋢 𣋣 𣋤 𣋥 𣋦 𣋧 𣋨 𣋩 𣋪 𣋫 𣋬 𣋭 𣋮 𣋯 𣋰 𣋱 𣋲 𣋳 𣋴 𣋵 𣋶 𣋷 𣋸 𣋹 𣋺 𣋻 𣋼 𣋽 𣋾 𣋿</t>
        </is>
      </c>
      <c r="P569" s="37" t="inlineStr">
        <is>
          <t>𣈀 𣈁 𣈂 𣈃 𣈄 𣈅 𣈆 𣈇 𣈈 𣈉 𣈊 𣈋 𣈌 𣈍 𣈎 𣈏 𣈐 𣈑 𣈒 𣈓 𣈔 𣈕 𣈖 𣈗 𣈘 𣈙 𣈚 𣈛 𣈜 𣈝 𣈞 𣈟 𣈠 𣈡 𣈢 𣈣 𣈤 𣈥 𣈦 𣈧 𣈨 𣈩 𣈪 𣈫 𣈬 𣈭 𣈮 𣈯 𣈰 𣈱 𣈲 𣈳 𣈴 𣈵 𣈶 𣈷 𣈸 𣈹 𣈺 𣈻 𣈼 𣈽 𣈾 𣈿 𣉀 𣉁 𣉂 𣉃 𣉄 𣉅 𣉆 𣉇 𣉈 𣉉 𣉊 𣉋 𣉌 𣉍 𣉎 𣉏 𣉐 𣉑 𣉒 𣉓 𣉔 𣉕 𣉖 𣉗 𣉘 𣉙 𣉚 𣉛 𣉜 𣉝 𣉞 𣉟 𣉠 𣉡 𣉢 𣉣 𣉤 𣉥 𣉦 𣉧 𣉨 𣉩 𣉪 𣉫 𣉬 𣉭 𣉮 𣉯 𣉰 𣉱 𣉲 𣉳 𣉴 𣉵 𣉶 𣉷 𣉸 𣉹 𣉺 𣉻 𣉼 𣉽 𣉾 𣉿 𣊀 𣊁 𣊂 𣊃 𣊄 𣊅 𣊆 𣊇 𣊈 𣊉 𣊊 𣊋 𣊌 𣊍 𣊎 𣊏 𣊐 𣊑 𣊒 𣊓 𣊔 𣊕 𣊖 𣊗 𣊘 𣊙 𣊚 𣊛 𣊜 𣊝 𣊞 𣊟 𣊠 𣊡 𣊢 𣊣 𣊤 𣊥 𣊦 𣊧 𣊨 𣊩 𣊪 𣊫 𣊬 𣊭 𣊮 𣊯 𣊰 𣊱 𣊲 𣊳 𣊴 𣊵 𣊶 𣊷 𣊸 𣊹 𣊺 𣊻 𣊼 𣊽 𣊾 𣊿 𣋀 𣋁 𣋂 𣋃 𣋄 𣋅 𣋆 𣋇 𣋈 𣋉 𣋊 𣋋 𣋌 𣋍 𣋎 𣋏 𣋐 𣋑 𣋒 𣋓 𣋔 𣋕 𣋖 𣋗 𣋘 𣋙 𣋚 𣋛 𣋜 𣋝 𣋞 𣋟 𣋠 𣋡 𣋢 𣋣 𣋤 𣋥 𣋦 𣋧 𣋨 𣋩 𣋪 𣋫 𣋬 𣋭 𣋮 𣋯 𣋰 𣋱 𣋲 𣋳 𣋴 𣋵 𣋶 𣋷 𣋸 𣋹 𣋺 𣋻 𣋼 𣋽 𣋾 𣋿</t>
        </is>
      </c>
      <c r="Q569" s="38" t="inlineStr">
        <is>
          <t>𣈀 𣈁 𣈂 𣈃 𣈄 𣈅 𣈆 𣈇 𣈈 𣈉 𣈊 𣈋 𣈌 𣈍 𣈎 𣈏 𣈐 𣈑 𣈒 𣈓 𣈔 𣈕 𣈖 𣈗 𣈘 𣈙 𣈚 𣈛 𣈜 𣈝 𣈞 𣈟 𣈠 𣈡 𣈢 𣈣 𣈤 𣈥 𣈦 𣈧 𣈨 𣈩 𣈪 𣈫 𣈬 𣈭 𣈮 𣈯 𣈰 𣈱 𣈲 𣈳 𣈴 𣈵 𣈶 𣈷 𣈸 𣈹 𣈺 𣈻 𣈼 𣈽 𣈾 𣈿 𣉀 𣉁 𣉂 𣉃 𣉄 𣉅 𣉆 𣉇 𣉈 𣉉 𣉊 𣉋 𣉌 𣉍 𣉎 𣉏 𣉐 𣉑 𣉒 𣉓 𣉔 𣉕 𣉖 𣉗 𣉘 𣉙 𣉚 𣉛 𣉜 𣉝 𣉞 𣉟 𣉠 𣉡 𣉢 𣉣 𣉤 𣉥 𣉦 𣉧 𣉨 𣉩 𣉪 𣉫 𣉬 𣉭 𣉮 𣉯 𣉰 𣉱 𣉲 𣉳 𣉴 𣉵 𣉶 𣉷 𣉸 𣉹 𣉺 𣉻 𣉼 𣉽 𣉾 𣉿 𣊀 𣊁 𣊂 𣊃 𣊄 𣊅 𣊆 𣊇 𣊈 𣊉 𣊊 𣊋 𣊌 𣊍 𣊎 𣊏 𣊐 𣊑 𣊒 𣊓 𣊔 𣊕 𣊖 𣊗 𣊘 𣊙 𣊚 𣊛 𣊜 𣊝 𣊞 𣊟 𣊠 𣊡 𣊢 𣊣 𣊤 𣊥 𣊦 𣊧 𣊨 𣊩 𣊪 𣊫 𣊬 𣊭 𣊮 𣊯 𣊰 𣊱 𣊲 𣊳 𣊴 𣊵 𣊶 𣊷 𣊸 𣊹 𣊺 𣊻 𣊼 𣊽 𣊾 𣊿 𣋀 𣋁 𣋂 𣋃 𣋄 𣋅 𣋆 𣋇 𣋈 𣋉 𣋊 𣋋 𣋌 𣋍 𣋎 𣋏 𣋐 𣋑 𣋒 𣋓 𣋔 𣋕 𣋖 𣋗 𣋘 𣋙 𣋚 𣋛 𣋜 𣋝 𣋞 𣋟 𣋠 𣋡 𣋢 𣋣 𣋤 𣋥 𣋦 𣋧 𣋨 𣋩 𣋪 𣋫 𣋬 𣋭 𣋮 𣋯 𣋰 𣋱 𣋲 𣋳 𣋴 𣋵 𣋶 𣋷 𣋸 𣋹 𣋺 𣋻 𣋼 𣋽 𣋾 𣋿</t>
        </is>
      </c>
      <c r="R569" s="43" t="inlineStr">
        <is>
          <t>𣈶</t>
        </is>
      </c>
      <c r="S569" s="40" t="n"/>
      <c r="V569" s="14">
        <f>(LEN(O569)+1)/2</f>
        <v/>
      </c>
      <c r="W569" s="14">
        <f>ROUNDDOWN((LEN(P569)+1)/2,0)</f>
        <v/>
      </c>
      <c r="X569" s="14">
        <f>ROUNDDOWN((LEN(Q569)+1)/2,0)</f>
        <v/>
      </c>
      <c r="Y569" s="14">
        <f>ROUNDDOWN((LEN(R569)+1)/2,0)</f>
        <v/>
      </c>
      <c r="Z569" s="14">
        <f>ROUNDDOWN((LEN(S569)+1)/2,0)</f>
        <v/>
      </c>
      <c r="AA569" s="56" t="n">
        <v>46150.55876368532</v>
      </c>
    </row>
    <row r="570" ht="102" customHeight="1">
      <c r="B570" s="46" t="inlineStr">
        <is>
          <t>U+23400-U+234FF</t>
        </is>
      </c>
      <c r="C570" s="46" t="inlineStr">
        <is>
          <t>CJK Unified Ideographs Extension B</t>
        </is>
      </c>
      <c r="D570" s="54">
        <f>HEX2DEC(MID(B570,3,FIND("-",E570)-3))</f>
        <v/>
      </c>
      <c r="E570" s="46" t="inlineStr">
        <is>
          <t>U+20000-U+2A6DF</t>
        </is>
      </c>
      <c r="F570" s="12" t="n">
        <v>4</v>
      </c>
      <c r="J570" s="19">
        <f>ROUNDDOWN(W570,0)/$V570</f>
        <v/>
      </c>
      <c r="K570" s="19">
        <f>ROUNDDOWN(X570,0)/$V570</f>
        <v/>
      </c>
      <c r="L570" s="19">
        <f>ROUNDDOWN(Y570,0)/$V570</f>
        <v/>
      </c>
      <c r="M570" s="19">
        <f>ROUNDDOWN(Z570,0)/$V570</f>
        <v/>
      </c>
      <c r="O570" s="36" t="inlineStr">
        <is>
          <t>𣌀 𣌁 𣌂 𣌃 𣌄 𣌅 𣌆 𣌇 𣌈 𣌉 𣌊 𣌋 𣌌 𣌍 𣌎 𣌏 𣌐 𣌑 𣌒 𣌓 𣌔 𣌕 𣌖 𣌗 𣌘 𣌙 𣌚 𣌛 𣌜 𣌝 𣌞 𣌟 𣌠 𣌡 𣌢 𣌣 𣌤 𣌥 𣌦 𣌧 𣌨 𣌩 𣌪 𣌫 𣌬 𣌭 𣌮 𣌯 𣌰 𣌱 𣌲 𣌳 𣌴 𣌵 𣌶 𣌷 𣌸 𣌹 𣌺 𣌻 𣌼 𣌽 𣌾 𣌿 𣍀 𣍁 𣍂 𣍃 𣍄 𣍅 𣍆 𣍇 𣍈 𣍉 𣍊 𣍋 𣍌 𣍍 𣍎 𣍏 𣍐 𣍑 𣍒 𣍓 𣍔 𣍕 𣍖 𣍗 𣍘 𣍙 𣍚 𣍛 𣍜 𣍝 𣍞 𣍟 𣍠 𣍡 𣍢 𣍣 𣍤 𣍥 𣍦 𣍧 𣍨 𣍩 𣍪 𣍫 𣍬 𣍭 𣍮 𣍯 𣍰 𣍱 𣍲 𣍳 𣍴 𣍵 𣍶 𣍷 𣍸 𣍹 𣍺 𣍻 𣍼 𣍽 𣍾 𣍿 𣎀 𣎁 𣎂 𣎃 𣎄 𣎅 𣎆 𣎇 𣎈 𣎉 𣎊 𣎋 𣎌 𣎍 𣎎 𣎏 𣎐 𣎑 𣎒 𣎓 𣎔 𣎕 𣎖 𣎗 𣎘 𣎙 𣎚 𣎛 𣎜 𣎝 𣎞 𣎟 𣎠 𣎡 𣎢 𣎣 𣎤 𣎥 𣎦 𣎧 𣎨 𣎩 𣎪 𣎫 𣎬 𣎭 𣎮 𣎯 𣎰 𣎱 𣎲 𣎳 𣎴 𣎵 𣎶 𣎷 𣎸 𣎹 𣎺 𣎻 𣎼 𣎽 𣎾 𣎿 𣏀 𣏁 𣏂 𣏃 𣏄 𣏅 𣏆 𣏇 𣏈 𣏉 𣏊 𣏋 𣏌 𣏍 𣏎 𣏏 𣏐 𣏑 𣏒 𣏓 𣏔 𣏕 𣏖 𣏗 𣏘 𣏙 𣏚 𣏛 𣏜 𣏝 𣏞 𣏟 𣏠 𣏡 𣏢 𣏣 𣏤 𣏥 𣏦 𣏧 𣏨 𣏩 𣏪 𣏫 𣏬 𣏭 𣏮 𣏯 𣏰 𣏱 𣏲 𣏳 𣏴 𣏵 𣏶 𣏷 𣏸 𣏹 𣏺 𣏻 𣏼 𣏽 𣏾 𣏿</t>
        </is>
      </c>
      <c r="P570" s="37" t="inlineStr">
        <is>
          <t>𣌀 𣌁 𣌂 𣌃 𣌄 𣌅 𣌆 𣌇 𣌈 𣌉 𣌊 𣌋 𣌌 𣌍 𣌎 𣌏 𣌐 𣌑 𣌒 𣌓 𣌔 𣌕 𣌖 𣌗 𣌘 𣌙 𣌚 𣌛 𣌜 𣌝 𣌞 𣌟 𣌠 𣌡 𣌢 𣌣 𣌤 𣌥 𣌦 𣌧 𣌨 𣌩 𣌪 𣌫 𣌬 𣌭 𣌮 𣌯 𣌰 𣌱 𣌲 𣌳 𣌴 𣌵 𣌶 𣌷 𣌸 𣌹 𣌺 𣌻 𣌼 𣌽 𣌾 𣌿 𣍀 𣍁 𣍂 𣍃 𣍄 𣍅 𣍆 𣍇 𣍈 𣍉 𣍊 𣍋 𣍌 𣍍 𣍎 𣍏 𣍐 𣍑 𣍒 𣍓 𣍔 𣍕 𣍖 𣍗 𣍘 𣍙 𣍚 𣍛 𣍜 𣍝 𣍞 𣍟 𣍠 𣍡 𣍢 𣍣 𣍤 𣍥 𣍦 𣍧 𣍨 𣍩 𣍪 𣍫 𣍬 𣍭 𣍮 𣍯 𣍰 𣍱 𣍲 𣍳 𣍴 𣍵 𣍶 𣍷 𣍸 𣍹 𣍺 𣍻 𣍼 𣍽 𣍾 𣍿 𣎀 𣎁 𣎂 𣎃 𣎄 𣎅 𣎆 𣎇 𣎈 𣎉 𣎊 𣎋 𣎌 𣎍 𣎎 𣎏 𣎐 𣎑 𣎒 𣎓 𣎔 𣎕 𣎖 𣎗 𣎘 𣎙 𣎚 𣎛 𣎜 𣎝 𣎞 𣎟 𣎠 𣎡 𣎢 𣎣 𣎤 𣎥 𣎦 𣎧 𣎨 𣎩 𣎪 𣎫 𣎬 𣎭 𣎮 𣎯 𣎰 𣎱 𣎲 𣎳 𣎴 𣎵 𣎶 𣎷 𣎸 𣎹 𣎺 𣎻 𣎼 𣎽 𣎾 𣎿 𣏀 𣏁 𣏂 𣏃 𣏄 𣏅 𣏆 𣏇 𣏈 𣏉 𣏊 𣏋 𣏌 𣏍 𣏎 𣏏 𣏐 𣏑 𣏒 𣏓 𣏔 𣏕 𣏖 𣏗 𣏘 𣏙 𣏚 𣏛 𣏜 𣏝 𣏞 𣏟 𣏠 𣏡 𣏢 𣏣 𣏤 𣏥 𣏦 𣏧 𣏨 𣏩 𣏪 𣏫 𣏬 𣏭 𣏮 𣏯 𣏰 𣏱 𣏲 𣏳 𣏴 𣏵 𣏶 𣏷 𣏸 𣏹 𣏺 𣏻 𣏼 𣏽 𣏾 𣏿</t>
        </is>
      </c>
      <c r="Q570" s="38" t="inlineStr">
        <is>
          <t>𣌀 𣌁 𣌂 𣌃 𣌄 𣌅 𣌆 𣌇 𣌈 𣌉 𣌊 𣌋 𣌌 𣌍 𣌎 𣌏 𣌐 𣌑 𣌒 𣌓 𣌔 𣌕 𣌖 𣌗 𣌘 𣌙 𣌚 𣌛 𣌜 𣌝 𣌞 𣌟 𣌠 𣌡 𣌢 𣌣 𣌤 𣌥 𣌦 𣌧 𣌨 𣌩 𣌪 𣌫 𣌬 𣌭 𣌮 𣌯 𣌰 𣌱 𣌲 𣌳 𣌴 𣌵 𣌶 𣌷 𣌸 𣌹 𣌺 𣌻 𣌼 𣌽 𣌾 𣌿 𣍀 𣍁 𣍂 𣍃 𣍄 𣍅 𣍆 𣍇 𣍈 𣍉 𣍊 𣍋 𣍌 𣍍 𣍎 𣍏 𣍐 𣍑 𣍒 𣍓 𣍔 𣍕 𣍖 𣍗 𣍘 𣍙 𣍚 𣍛 𣍜 𣍝 𣍞 𣍟 𣍠 𣍡 𣍢 𣍣 𣍤 𣍥 𣍦 𣍧 𣍨 𣍩 𣍪 𣍫 𣍬 𣍭 𣍮 𣍯 𣍰 𣍱 𣍲 𣍳 𣍴 𣍵 𣍶 𣍷 𣍸 𣍹 𣍺 𣍻 𣍼 𣍽 𣍾 𣍿 𣎀 𣎁 𣎂 𣎃 𣎄 𣎅 𣎆 𣎇 𣎈 𣎉 𣎊 𣎋 𣎌 𣎍 𣎎 𣎏 𣎐 𣎑 𣎒 𣎓 𣎔 𣎕 𣎖 𣎗 𣎘 𣎙 𣎚 𣎛 𣎜 𣎝 𣎞 𣎟 𣎠 𣎡 𣎢 𣎣 𣎤 𣎥 𣎦 𣎧 𣎨 𣎩 𣎪 𣎫 𣎬 𣎭 𣎮 𣎯 𣎰 𣎱 𣎲 𣎳 𣎴 𣎵 𣎶 𣎷 𣎸 𣎹 𣎺 𣎻 𣎼 𣎽 𣎾 𣎿 𣏀 𣏁 𣏂 𣏃 𣏄 𣏅 𣏆 𣏇 𣏈 𣏉 𣏊 𣏋 𣏌 𣏍 𣏎 𣏏 𣏐 𣏑 𣏒 𣏓 𣏔 𣏕 𣏖 𣏗 𣏘 𣏙 𣏚 𣏛 𣏜 𣏝 𣏞 𣏟 𣏠 𣏡 𣏢 𣏣 𣏤 𣏥 𣏦 𣏧 𣏨 𣏩 𣏪 𣏫 𣏬 𣏭 𣏮 𣏯 𣏰 𣏱 𣏲 𣏳 𣏴 𣏵 𣏶 𣏷 𣏸 𣏹 𣏺 𣏻 𣏼 𣏽 𣏾 𣏿</t>
        </is>
      </c>
      <c r="R570" s="43" t="inlineStr">
        <is>
          <t>𣍲 𣏐 𣏒 𣏓 𣏕 𣏚 𣏟 𣏢 𣏤</t>
        </is>
      </c>
      <c r="S570" s="40" t="n"/>
      <c r="V570" s="14">
        <f>(LEN(O570)+1)/2</f>
        <v/>
      </c>
      <c r="W570" s="14">
        <f>ROUNDDOWN((LEN(P570)+1)/2,0)</f>
        <v/>
      </c>
      <c r="X570" s="14">
        <f>ROUNDDOWN((LEN(Q570)+1)/2,0)</f>
        <v/>
      </c>
      <c r="Y570" s="14">
        <f>ROUNDDOWN((LEN(R570)+1)/2,0)</f>
        <v/>
      </c>
      <c r="Z570" s="14">
        <f>ROUNDDOWN((LEN(S570)+1)/2,0)</f>
        <v/>
      </c>
      <c r="AA570" s="56" t="n">
        <v>46150.55876481667</v>
      </c>
    </row>
    <row r="571" ht="102" customHeight="1">
      <c r="B571" s="46" t="inlineStr">
        <is>
          <t>U+23500-U+235FF</t>
        </is>
      </c>
      <c r="C571" s="46" t="inlineStr">
        <is>
          <t>CJK Unified Ideographs Extension B</t>
        </is>
      </c>
      <c r="D571" s="54">
        <f>HEX2DEC(MID(B571,3,FIND("-",E571)-3))</f>
        <v/>
      </c>
      <c r="E571" s="46" t="inlineStr">
        <is>
          <t>U+20000-U+2A6DF</t>
        </is>
      </c>
      <c r="F571" s="12" t="n">
        <v>4</v>
      </c>
      <c r="J571" s="19">
        <f>ROUNDDOWN(W571,0)/$V571</f>
        <v/>
      </c>
      <c r="K571" s="19">
        <f>ROUNDDOWN(X571,0)/$V571</f>
        <v/>
      </c>
      <c r="L571" s="19">
        <f>ROUNDDOWN(Y571,0)/$V571</f>
        <v/>
      </c>
      <c r="M571" s="19">
        <f>ROUNDDOWN(Z571,0)/$V571</f>
        <v/>
      </c>
      <c r="O571" s="36" t="inlineStr">
        <is>
          <t>𣐀 𣐁 𣐂 𣐃 𣐄 𣐅 𣐆 𣐇 𣐈 𣐉 𣐊 𣐋 𣐌 𣐍 𣐎 𣐏 𣐐 𣐑 𣐒 𣐓 𣐔 𣐕 𣐖 𣐗 𣐘 𣐙 𣐚 𣐛 𣐜 𣐝 𣐞 𣐟 𣐠 𣐡 𣐢 𣐣 𣐤 𣐥 𣐦 𣐧 𣐨 𣐩 𣐪 𣐫 𣐬 𣐭 𣐮 𣐯 𣐰 𣐱 𣐲 𣐳 𣐴 𣐵 𣐶 𣐷 𣐸 𣐹 𣐺 𣐻 𣐼 𣐽 𣐾 𣐿 𣑀 𣑁 𣑂 𣑃 𣑄 𣑅 𣑆 𣑇 𣑈 𣑉 𣑊 𣑋 𣑌 𣑍 𣑎 𣑏 𣑐 𣑑 𣑒 𣑓 𣑔 𣑕 𣑖 𣑗 𣑘 𣑙 𣑚 𣑛 𣑜 𣑝 𣑞 𣑟 𣑠 𣑡 𣑢 𣑣 𣑤 𣑥 𣑦 𣑧 𣑨 𣑩 𣑪 𣑫 𣑬 𣑭 𣑮 𣑯 𣑰 𣑱 𣑲 𣑳 𣑴 𣑵 𣑶 𣑷 𣑸 𣑹 𣑺 𣑻 𣑼 𣑽 𣑾 𣑿 𣒀 𣒁 𣒂 𣒃 𣒄 𣒅 𣒆 𣒇 𣒈 𣒉 𣒊 𣒋 𣒌 𣒍 𣒎 𣒏 𣒐 𣒑 𣒒 𣒓 𣒔 𣒕 𣒖 𣒗 𣒘 𣒙 𣒚 𣒛 𣒜 𣒝 𣒞 𣒟 𣒠 𣒡 𣒢 𣒣 𣒤 𣒥 𣒦 𣒧 𣒨 𣒩 𣒪 𣒫 𣒬 𣒭 𣒮 𣒯 𣒰 𣒱 𣒲 𣒳 𣒴 𣒵 𣒶 𣒷 𣒸 𣒹 𣒺 𣒻 𣒼 𣒽 𣒾 𣒿 𣓀 𣓁 𣓂 𣓃 𣓄 𣓅 𣓆 𣓇 𣓈 𣓉 𣓊 𣓋 𣓌 𣓍 𣓎 𣓏 𣓐 𣓑 𣓒 𣓓 𣓔 𣓕 𣓖 𣓗 𣓘 𣓙 𣓚 𣓛 𣓜 𣓝 𣓞 𣓟 𣓠 𣓡 𣓢 𣓣 𣓤 𣓥 𣓦 𣓧 𣓨 𣓩 𣓪 𣓫 𣓬 𣓭 𣓮 𣓯 𣓰 𣓱 𣓲 𣓳 𣓴 𣓵 𣓶 𣓷 𣓸 𣓹 𣓺 𣓻 𣓼 𣓽 𣓾 𣓿</t>
        </is>
      </c>
      <c r="P571" s="37" t="inlineStr">
        <is>
          <t>𣐀 𣐁 𣐂 𣐃 𣐄 𣐅 𣐆 𣐇 𣐈 𣐉 𣐊 𣐋 𣐌 𣐍 𣐎 𣐏 𣐐 𣐑 𣐒 𣐓 𣐔 𣐕 𣐖 𣐗 𣐘 𣐙 𣐚 𣐛 𣐜 𣐝 𣐞 𣐟 𣐠 𣐡 𣐢 𣐣 𣐤 𣐥 𣐦 𣐧 𣐨 𣐩 𣐪 𣐫 𣐬 𣐭 𣐮 𣐯 𣐰 𣐱 𣐲 𣐳 𣐴 𣐵 𣐶 𣐷 𣐸 𣐹 𣐺 𣐻 𣐼 𣐽 𣐾 𣐿 𣑀 𣑁 𣑂 𣑃 𣑄 𣑅 𣑆 𣑇 𣑈 𣑉 𣑊 𣑋 𣑌 𣑍 𣑎 𣑏 𣑐 𣑑 𣑒 𣑓 𣑔 𣑕 𣑖 𣑗 𣑘 𣑙 𣑚 𣑛 𣑜 𣑝 𣑞 𣑟 𣑠 𣑡 𣑢 𣑣 𣑤 𣑥 𣑦 𣑧 𣑨 𣑩 𣑪 𣑫 𣑬 𣑭 𣑮 𣑯 𣑰 𣑱 𣑲 𣑳 𣑴 𣑵 𣑶 𣑷 𣑸 𣑹 𣑺 𣑻 𣑼 𣑽 𣑾 𣑿 𣒀 𣒁 𣒂 𣒃 𣒄 𣒅 𣒆 𣒇 𣒈 𣒉 𣒊 𣒋 𣒌 𣒍 𣒎 𣒏 𣒐 𣒑 𣒒 𣒓 𣒔 𣒕 𣒖 𣒗 𣒘 𣒙 𣒚 𣒛 𣒜 𣒝 𣒞 𣒟 𣒠 𣒡 𣒢 𣒣 𣒤 𣒥 𣒦 𣒧 𣒨 𣒩 𣒪 𣒫 𣒬 𣒭 𣒮 𣒯 𣒰 𣒱 𣒲 𣒳 𣒴 𣒵 𣒶 𣒷 𣒸 𣒹 𣒺 𣒻 𣒼 𣒽 𣒾 𣒿 𣓀 𣓁 𣓂 𣓃 𣓄 𣓅 𣓆 𣓇 𣓈 𣓉 𣓊 𣓋 𣓌 𣓍 𣓎 𣓏 𣓐 𣓑 𣓒 𣓓 𣓔 𣓕 𣓖 𣓗 𣓘 𣓙 𣓚 𣓛 𣓜 𣓝 𣓞 𣓟 𣓠 𣓡 𣓢 𣓣 𣓤 𣓥 𣓦 𣓧 𣓨 𣓩 𣓪 𣓫 𣓬 𣓭 𣓮 𣓯 𣓰 𣓱 𣓲 𣓳 𣓴 𣓵 𣓶 𣓷 𣓸 𣓹 𣓺 𣓻 𣓼 𣓽 𣓾 𣓿</t>
        </is>
      </c>
      <c r="Q571" s="38" t="inlineStr">
        <is>
          <t>𣐀 𣐁 𣐂 𣐃 𣐄 𣐅 𣐆 𣐇 𣐈 𣐉 𣐊 𣐋 𣐌 𣐍 𣐎 𣐏 𣐐 𣐑 𣐒 𣐓 𣐔 𣐕 𣐖 𣐗 𣐘 𣐙 𣐚 𣐛 𣐜 𣐝 𣐞 𣐟 𣐠 𣐡 𣐢 𣐣 𣐤 𣐥 𣐦 𣐧 𣐨 𣐩 𣐪 𣐫 𣐬 𣐭 𣐮 𣐯 𣐰 𣐱 𣐲 𣐳 𣐴 𣐵 𣐶 𣐷 𣐸 𣐹 𣐺 𣐻 𣐼 𣐽 𣐾 𣐿 𣑀 𣑁 𣑂 𣑃 𣑄 𣑅 𣑆 𣑇 𣑈 𣑉 𣑊 𣑋 𣑌 𣑍 𣑎 𣑏 𣑐 𣑑 𣑒 𣑓 𣑔 𣑕 𣑖 𣑗 𣑘 𣑙 𣑚 𣑛 𣑜 𣑝 𣑞 𣑟 𣑠 𣑡 𣑢 𣑣 𣑤 𣑥 𣑦 𣑧 𣑨 𣑩 𣑪 𣑫 𣑬 𣑭 𣑮 𣑯 𣑰 𣑱 𣑲 𣑳 𣑴 𣑵 𣑶 𣑷 𣑸 𣑹 𣑺 𣑻 𣑼 𣑽 𣑾 𣑿 𣒀 𣒁 𣒂 𣒃 𣒄 𣒅 𣒆 𣒇 𣒈 𣒉 𣒊 𣒋 𣒌 𣒍 𣒎 𣒏 𣒐 𣒑 𣒒 𣒓 𣒔 𣒕 𣒖 𣒗 𣒘 𣒙 𣒚 𣒛 𣒜 𣒝 𣒞 𣒟 𣒠 𣒡 𣒢 𣒣 𣒤 𣒥 𣒦 𣒧 𣒨 𣒩 𣒪 𣒫 𣒬 𣒭 𣒮 𣒯 𣒰 𣒱 𣒲 𣒳 𣒴 𣒵 𣒶 𣒷 𣒸 𣒹 𣒺 𣒻 𣒼 𣒽 𣒾 𣒿 𣓀 𣓁 𣓂 𣓃 𣓄 𣓅 𣓆 𣓇 𣓈 𣓉 𣓊 𣓋 𣓌 𣓍 𣓎 𣓏 𣓐 𣓑 𣓒 𣓓 𣓔 𣓕 𣓖 𣓗 𣓘 𣓙 𣓚 𣓛 𣓜 𣓝 𣓞 𣓟 𣓠 𣓡 𣓢 𣓣 𣓤 𣓥 𣓦 𣓧 𣓨 𣓩 𣓪 𣓫 𣓬 𣓭 𣓮 𣓯 𣓰 𣓱 𣓲 𣓳 𣓴 𣓵 𣓶 𣓷 𣓸 𣓹 𣓺 𣓻 𣓼 𣓽 𣓾 𣓿</t>
        </is>
      </c>
      <c r="R571" s="43" t="inlineStr">
        <is>
          <t>𣐿 𣑊 𣑋 𣑑 𣑥 𣓤</t>
        </is>
      </c>
      <c r="S571" s="40" t="n"/>
      <c r="V571" s="14">
        <f>(LEN(O571)+1)/2</f>
        <v/>
      </c>
      <c r="W571" s="14">
        <f>ROUNDDOWN((LEN(P571)+1)/2,0)</f>
        <v/>
      </c>
      <c r="X571" s="14">
        <f>ROUNDDOWN((LEN(Q571)+1)/2,0)</f>
        <v/>
      </c>
      <c r="Y571" s="14">
        <f>ROUNDDOWN((LEN(R571)+1)/2,0)</f>
        <v/>
      </c>
      <c r="Z571" s="14">
        <f>ROUNDDOWN((LEN(S571)+1)/2,0)</f>
        <v/>
      </c>
      <c r="AA571" s="56" t="n">
        <v>46150.55876595455</v>
      </c>
    </row>
    <row r="572" ht="102" customHeight="1">
      <c r="B572" s="46" t="inlineStr">
        <is>
          <t>U+23600-U+236FF</t>
        </is>
      </c>
      <c r="C572" s="46" t="inlineStr">
        <is>
          <t>CJK Unified Ideographs Extension B</t>
        </is>
      </c>
      <c r="D572" s="54">
        <f>HEX2DEC(MID(B572,3,FIND("-",E572)-3))</f>
        <v/>
      </c>
      <c r="E572" s="46" t="inlineStr">
        <is>
          <t>U+20000-U+2A6DF</t>
        </is>
      </c>
      <c r="F572" s="12" t="n">
        <v>4</v>
      </c>
      <c r="J572" s="19">
        <f>ROUNDDOWN(W572,0)/$V572</f>
        <v/>
      </c>
      <c r="K572" s="19">
        <f>ROUNDDOWN(X572,0)/$V572</f>
        <v/>
      </c>
      <c r="L572" s="19">
        <f>ROUNDDOWN(Y572,0)/$V572</f>
        <v/>
      </c>
      <c r="M572" s="19">
        <f>ROUNDDOWN(Z572,0)/$V572</f>
        <v/>
      </c>
      <c r="O572" s="36" t="inlineStr">
        <is>
          <t>𣔀 𣔁 𣔂 𣔃 𣔄 𣔅 𣔆 𣔇 𣔈 𣔉 𣔊 𣔋 𣔌 𣔍 𣔎 𣔏 𣔐 𣔑 𣔒 𣔓 𣔔 𣔕 𣔖 𣔗 𣔘 𣔙 𣔚 𣔛 𣔜 𣔝 𣔞 𣔟 𣔠 𣔡 𣔢 𣔣 𣔤 𣔥 𣔦 𣔧 𣔨 𣔩 𣔪 𣔫 𣔬 𣔭 𣔮 𣔯 𣔰 𣔱 𣔲 𣔳 𣔴 𣔵 𣔶 𣔷 𣔸 𣔹 𣔺 𣔻 𣔼 𣔽 𣔾 𣔿 𣕀 𣕁 𣕂 𣕃 𣕄 𣕅 𣕆 𣕇 𣕈 𣕉 𣕊 𣕋 𣕌 𣕍 𣕎 𣕏 𣕐 𣕑 𣕒 𣕓 𣕔 𣕕 𣕖 𣕗 𣕘 𣕙 𣕚 𣕛 𣕜 𣕝 𣕞 𣕟 𣕠 𣕡 𣕢 𣕣 𣕤 𣕥 𣕦 𣕧 𣕨 𣕩 𣕪 𣕫 𣕬 𣕭 𣕮 𣕯 𣕰 𣕱 𣕲 𣕳 𣕴 𣕵 𣕶 𣕷 𣕸 𣕹 𣕺 𣕻 𣕼 𣕽 𣕾 𣕿 𣖀 𣖁 𣖂 𣖃 𣖄 𣖅 𣖆 𣖇 𣖈 𣖉 𣖊 𣖋 𣖌 𣖍 𣖎 𣖏 𣖐 𣖑 𣖒 𣖓 𣖔 𣖕 𣖖 𣖗 𣖘 𣖙 𣖚 𣖛 𣖜 𣖝 𣖞 𣖟 𣖠 𣖡 𣖢 𣖣 𣖤 𣖥 𣖦 𣖧 𣖨 𣖩 𣖪 𣖫 𣖬 𣖭 𣖮 𣖯 𣖰 𣖱 𣖲 𣖳 𣖴 𣖵 𣖶 𣖷 𣖸 𣖹 𣖺 𣖻 𣖼 𣖽 𣖾 𣖿 𣗀 𣗁 𣗂 𣗃 𣗄 𣗅 𣗆 𣗇 𣗈 𣗉 𣗊 𣗋 𣗌 𣗍 𣗎 𣗏 𣗐 𣗑 𣗒 𣗓 𣗔 𣗕 𣗖 𣗗 𣗘 𣗙 𣗚 𣗛 𣗜 𣗝 𣗞 𣗟 𣗠 𣗡 𣗢 𣗣 𣗤 𣗥 𣗦 𣗧 𣗨 𣗩 𣗪 𣗫 𣗬 𣗭 𣗮 𣗯 𣗰 𣗱 𣗲 𣗳 𣗴 𣗵 𣗶 𣗷 𣗸 𣗹 𣗺 𣗻 𣗼 𣗽 𣗾 𣗿</t>
        </is>
      </c>
      <c r="P572" s="37" t="inlineStr">
        <is>
          <t>𣔀 𣔁 𣔂 𣔃 𣔄 𣔅 𣔆 𣔇 𣔈 𣔉 𣔊 𣔋 𣔌 𣔍 𣔎 𣔏 𣔐 𣔑 𣔒 𣔓 𣔔 𣔕 𣔖 𣔗 𣔘 𣔙 𣔚 𣔛 𣔜 𣔝 𣔞 𣔟 𣔠 𣔡 𣔢 𣔣 𣔤 𣔥 𣔦 𣔧 𣔨 𣔩 𣔪 𣔫 𣔬 𣔭 𣔮 𣔯 𣔰 𣔱 𣔲 𣔳 𣔴 𣔵 𣔶 𣔷 𣔸 𣔹 𣔺 𣔻 𣔼 𣔽 𣔾 𣔿 𣕀 𣕁 𣕂 𣕃 𣕄 𣕅 𣕆 𣕇 𣕈 𣕉 𣕊 𣕋 𣕌 𣕍 𣕎 𣕏 𣕐 𣕑 𣕒 𣕓 𣕔 𣕕 𣕖 𣕗 𣕘 𣕙 𣕚 𣕛 𣕜 𣕝 𣕞 𣕟 𣕠 𣕡 𣕢 𣕣 𣕤 𣕥 𣕦 𣕧 𣕨 𣕩 𣕪 𣕫 𣕬 𣕭 𣕮 𣕯 𣕰 𣕱 𣕲 𣕳 𣕴 𣕵 𣕶 𣕷 𣕸 𣕹 𣕺 𣕻 𣕼 𣕽 𣕾 𣕿 𣖀 𣖁 𣖂 𣖃 𣖄 𣖅 𣖆 𣖇 𣖈 𣖉 𣖊 𣖋 𣖌 𣖍 𣖎 𣖏 𣖐 𣖑 𣖒 𣖓 𣖔 𣖕 𣖖 𣖗 𣖘 𣖙 𣖚 𣖛 𣖜 𣖝 𣖞 𣖟 𣖠 𣖡 𣖢 𣖣 𣖤 𣖥 𣖦 𣖧 𣖨 𣖩 𣖪 𣖫 𣖬 𣖭 𣖮 𣖯 𣖰 𣖱 𣖲 𣖳 𣖴 𣖵 𣖶 𣖷 𣖸 𣖹 𣖺 𣖻 𣖼 𣖽 𣖾 𣖿 𣗀 𣗁 𣗂 𣗃 𣗄 𣗅 𣗆 𣗇 𣗈 𣗉 𣗊 𣗋 𣗌 𣗍 𣗎 𣗏 𣗐 𣗑 𣗒 𣗓 𣗔 𣗕 𣗖 𣗗 𣗘 𣗙 𣗚 𣗛 𣗜 𣗝 𣗞 𣗟 𣗠 𣗡 𣗢 𣗣 𣗤 𣗥 𣗦 𣗧 𣗨 𣗩 𣗪 𣗫 𣗬 𣗭 𣗮 𣗯 𣗰 𣗱 𣗲 𣗳 𣗴 𣗵 𣗶 𣗷 𣗸 𣗹 𣗺 𣗻 𣗼 𣗽 𣗾 𣗿</t>
        </is>
      </c>
      <c r="Q572" s="38" t="inlineStr">
        <is>
          <t>𣔀 𣔁 𣔂 𣔃 𣔄 𣔅 𣔆 𣔇 𣔈 𣔉 𣔊 𣔋 𣔌 𣔍 𣔎 𣔏 𣔐 𣔑 𣔒 𣔓 𣔔 𣔕 𣔖 𣔗 𣔘 𣔙 𣔚 𣔛 𣔜 𣔝 𣔞 𣔟 𣔠 𣔡 𣔢 𣔣 𣔤 𣔥 𣔦 𣔧 𣔨 𣔩 𣔪 𣔫 𣔬 𣔭 𣔮 𣔯 𣔰 𣔱 𣔲 𣔳 𣔴 𣔵 𣔶 𣔷 𣔸 𣔹 𣔺 𣔻 𣔼 𣔽 𣔾 𣔿 𣕀 𣕁 𣕂 𣕃 𣕄 𣕅 𣕆 𣕇 𣕈 𣕉 𣕊 𣕋 𣕌 𣕍 𣕎 𣕏 𣕐 𣕑 𣕒 𣕓 𣕔 𣕕 𣕖 𣕗 𣕘 𣕙 𣕚 𣕛 𣕜 𣕝 𣕞 𣕟 𣕠 𣕡 𣕢 𣕣 𣕤 𣕥 𣕦 𣕧 𣕨 𣕩 𣕪 𣕫 𣕬 𣕭 𣕮 𣕯 𣕰 𣕱 𣕲 𣕳 𣕴 𣕵 𣕶 𣕷 𣕸 𣕹 𣕺 𣕻 𣕼 𣕽 𣕾 𣕿 𣖀 𣖁 𣖂 𣖃 𣖄 𣖅 𣖆 𣖇 𣖈 𣖉 𣖊 𣖋 𣖌 𣖍 𣖎 𣖏 𣖐 𣖑 𣖒 𣖓 𣖔 𣖕 𣖖 𣖗 𣖘 𣖙 𣖚 𣖛 𣖜 𣖝 𣖞 𣖟 𣖠 𣖡 𣖢 𣖣 𣖤 𣖥 𣖦 𣖧 𣖨 𣖩 𣖪 𣖫 𣖬 𣖭 𣖮 𣖯 𣖰 𣖱 𣖲 𣖳 𣖴 𣖵 𣖶 𣖷 𣖸 𣖹 𣖺 𣖻 𣖼 𣖽 𣖾 𣖿 𣗀 𣗁 𣗂 𣗃 𣗄 𣗅 𣗆 𣗇 𣗈 𣗉 𣗊 𣗋 𣗌 𣗍 𣗎 𣗏 𣗐 𣗑 𣗒 𣗓 𣗔 𣗕 𣗖 𣗗 𣗘 𣗙 𣗚 𣗛 𣗜 𣗝 𣗞 𣗟 𣗠 𣗡 𣗢 𣗣 𣗤 𣗥 𣗦 𣗧 𣗨 𣗩 𣗪 𣗫 𣗬 𣗭 𣗮 𣗯 𣗰 𣗱 𣗲 𣗳 𣗴 𣗵 𣗶 𣗷 𣗸 𣗹 𣗺 𣗻 𣗼 𣗽 𣗾 𣗿</t>
        </is>
      </c>
      <c r="R572" s="43" t="inlineStr">
        <is>
          <t>𣕚 𣖔 𣗄</t>
        </is>
      </c>
      <c r="S572" s="40" t="n"/>
      <c r="V572" s="14">
        <f>(LEN(O572)+1)/2</f>
        <v/>
      </c>
      <c r="W572" s="14">
        <f>ROUNDDOWN((LEN(P572)+1)/2,0)</f>
        <v/>
      </c>
      <c r="X572" s="14">
        <f>ROUNDDOWN((LEN(Q572)+1)/2,0)</f>
        <v/>
      </c>
      <c r="Y572" s="14">
        <f>ROUNDDOWN((LEN(R572)+1)/2,0)</f>
        <v/>
      </c>
      <c r="Z572" s="14">
        <f>ROUNDDOWN((LEN(S572)+1)/2,0)</f>
        <v/>
      </c>
      <c r="AA572" s="56" t="n">
        <v>46150.55876704184</v>
      </c>
    </row>
    <row r="573" ht="102" customHeight="1">
      <c r="B573" s="46" t="inlineStr">
        <is>
          <t>U+23700-U+237FF</t>
        </is>
      </c>
      <c r="C573" s="46" t="inlineStr">
        <is>
          <t>CJK Unified Ideographs Extension B</t>
        </is>
      </c>
      <c r="D573" s="54">
        <f>HEX2DEC(MID(B573,3,FIND("-",E573)-3))</f>
        <v/>
      </c>
      <c r="E573" s="46" t="inlineStr">
        <is>
          <t>U+20000-U+2A6DF</t>
        </is>
      </c>
      <c r="F573" s="12" t="n">
        <v>4</v>
      </c>
      <c r="J573" s="19">
        <f>ROUNDDOWN(W573,0)/$V573</f>
        <v/>
      </c>
      <c r="K573" s="19">
        <f>ROUNDDOWN(X573,0)/$V573</f>
        <v/>
      </c>
      <c r="L573" s="19">
        <f>ROUNDDOWN(Y573,0)/$V573</f>
        <v/>
      </c>
      <c r="M573" s="19">
        <f>ROUNDDOWN(Z573,0)/$V573</f>
        <v/>
      </c>
      <c r="O573" s="36" t="inlineStr">
        <is>
          <t>𣘀 𣘁 𣘂 𣘃 𣘄 𣘅 𣘆 𣘇 𣘈 𣘉 𣘊 𣘋 𣘌 𣘍 𣘎 𣘏 𣘐 𣘑 𣘒 𣘓 𣘔 𣘕 𣘖 𣘗 𣘘 𣘙 𣘚 𣘛 𣘜 𣘝 𣘞 𣘟 𣘠 𣘡 𣘢 𣘣 𣘤 𣘥 𣘦 𣘧 𣘨 𣘩 𣘪 𣘫 𣘬 𣘭 𣘮 𣘯 𣘰 𣘱 𣘲 𣘳 𣘴 𣘵 𣘶 𣘷 𣘸 𣘹 𣘺 𣘻 𣘼 𣘽 𣘾 𣘿 𣙀 𣙁 𣙂 𣙃 𣙄 𣙅 𣙆 𣙇 𣙈 𣙉 𣙊 𣙋 𣙌 𣙍 𣙎 𣙏 𣙐 𣙑 𣙒 𣙓 𣙔 𣙕 𣙖 𣙗 𣙘 𣙙 𣙚 𣙛 𣙜 𣙝 𣙞 𣙟 𣙠 𣙡 𣙢 𣙣 𣙤 𣙥 𣙦 𣙧 𣙨 𣙩 𣙪 𣙫 𣙬 𣙭 𣙮 𣙯 𣙰 𣙱 𣙲 𣙳 𣙴 𣙵 𣙶 𣙷 𣙸 𣙹 𣙺 𣙻 𣙼 𣙽 𣙾 𣙿 𣚀 𣚁 𣚂 𣚃 𣚄 𣚅 𣚆 𣚇 𣚈 𣚉 𣚊 𣚋 𣚌 𣚍 𣚎 𣚏 𣚐 𣚑 𣚒 𣚓 𣚔 𣚕 𣚖 𣚗 𣚘 𣚙 𣚚 𣚛 𣚜 𣚝 𣚞 𣚟 𣚠 𣚡 𣚢 𣚣 𣚤 𣚥 𣚦 𣚧 𣚨 𣚩 𣚪 𣚫 𣚬 𣚭 𣚮 𣚯 𣚰 𣚱 𣚲 𣚳 𣚴 𣚵 𣚶 𣚷 𣚸 𣚹 𣚺 𣚻 𣚼 𣚽 𣚾 𣚿 𣛀 𣛁 𣛂 𣛃 𣛄 𣛅 𣛆 𣛇 𣛈 𣛉 𣛊 𣛋 𣛌 𣛍 𣛎 𣛏 𣛐 𣛑 𣛒 𣛓 𣛔 𣛕 𣛖 𣛗 𣛘 𣛙 𣛚 𣛛 𣛜 𣛝 𣛞 𣛟 𣛠 𣛡 𣛢 𣛣 𣛤 𣛥 𣛦 𣛧 𣛨 𣛩 𣛪 𣛫 𣛬 𣛭 𣛮 𣛯 𣛰 𣛱 𣛲 𣛳 𣛴 𣛵 𣛶 𣛷 𣛸 𣛹 𣛺 𣛻 𣛼 𣛽 𣛾 𣛿</t>
        </is>
      </c>
      <c r="P573" s="37" t="inlineStr">
        <is>
          <t>𣘀 𣘁 𣘂 𣘃 𣘄 𣘅 𣘆 𣘇 𣘈 𣘉 𣘊 𣘋 𣘌 𣘍 𣘎 𣘏 𣘐 𣘑 𣘒 𣘓 𣘔 𣘕 𣘖 𣘗 𣘘 𣘙 𣘚 𣘛 𣘜 𣘝 𣘞 𣘟 𣘠 𣘡 𣘢 𣘣 𣘤 𣘥 𣘦 𣘧 𣘨 𣘩 𣘪 𣘫 𣘬 𣘭 𣘮 𣘯 𣘰 𣘱 𣘲 𣘳 𣘴 𣘵 𣘶 𣘷 𣘸 𣘹 𣘺 𣘻 𣘼 𣘽 𣘾 𣘿 𣙀 𣙁 𣙂 𣙃 𣙄 𣙅 𣙆 𣙇 𣙈 𣙉 𣙊 𣙋 𣙌 𣙍 𣙎 𣙏 𣙐 𣙑 𣙒 𣙓 𣙔 𣙕 𣙖 𣙗 𣙘 𣙙 𣙚 𣙛 𣙜 𣙝 𣙞 𣙟 𣙠 𣙡 𣙢 𣙣 𣙤 𣙥 𣙦 𣙧 𣙨 𣙩 𣙪 𣙫 𣙬 𣙭 𣙮 𣙯 𣙰 𣙱 𣙲 𣙳 𣙴 𣙵 𣙶 𣙷 𣙸 𣙹 𣙺 𣙻 𣙼 𣙽 𣙾 𣙿 𣚀 𣚁 𣚂 𣚃 𣚄 𣚅 𣚆 𣚇 𣚈 𣚉 𣚊 𣚋 𣚌 𣚍 𣚎 𣚏 𣚐 𣚑 𣚒 𣚓 𣚔 𣚕 𣚖 𣚗 𣚘 𣚙 𣚚 𣚛 𣚜 𣚝 𣚞 𣚟 𣚠 𣚡 𣚢 𣚣 𣚤 𣚥 𣚦 𣚧 𣚨 𣚩 𣚪 𣚫 𣚬 𣚭 𣚮 𣚯 𣚰 𣚱 𣚲 𣚳 𣚴 𣚵 𣚶 𣚷 𣚸 𣚹 𣚺 𣚻 𣚼 𣚽 𣚾 𣚿 𣛀 𣛁 𣛂 𣛃 𣛄 𣛅 𣛆 𣛇 𣛈 𣛉 𣛊 𣛋 𣛌 𣛍 𣛎 𣛏 𣛐 𣛑 𣛒 𣛓 𣛔 𣛕 𣛖 𣛗 𣛘 𣛙 𣛚 𣛛 𣛜 𣛝 𣛞 𣛟 𣛠 𣛡 𣛢 𣛣 𣛤 𣛥 𣛦 𣛧 𣛨 𣛩 𣛪 𣛫 𣛬 𣛭 𣛮 𣛯 𣛰 𣛱 𣛲 𣛳 𣛴 𣛵 𣛶 𣛷 𣛸 𣛹 𣛺 𣛻 𣛼 𣛽 𣛾 𣛿</t>
        </is>
      </c>
      <c r="Q573" s="38" t="inlineStr">
        <is>
          <t>𣘀 𣘁 𣘂 𣘃 𣘄 𣘅 𣘆 𣘇 𣘈 𣘉 𣘊 𣘋 𣘌 𣘍 𣘎 𣘏 𣘐 𣘑 𣘒 𣘓 𣘔 𣘕 𣘖 𣘗 𣘘 𣘙 𣘚 𣘛 𣘜 𣘝 𣘞 𣘟 𣘠 𣘡 𣘢 𣘣 𣘤 𣘥 𣘦 𣘧 𣘨 𣘩 𣘪 𣘫 𣘬 𣘭 𣘮 𣘯 𣘰 𣘱 𣘲 𣘳 𣘴 𣘵 𣘶 𣘷 𣘸 𣘹 𣘺 𣘻 𣘼 𣘽 𣘾 𣘿 𣙀 𣙁 𣙂 𣙃 𣙄 𣙅 𣙆 𣙇 𣙈 𣙉 𣙊 𣙋 𣙌 𣙍 𣙎 𣙏 𣙐 𣙑 𣙒 𣙓 𣙔 𣙕 𣙖 𣙗 𣙘 𣙙 𣙚 𣙛 𣙜 𣙝 𣙞 𣙟 𣙠 𣙡 𣙢 𣙣 𣙤 𣙥 𣙦 𣙧 𣙨 𣙩 𣙪 𣙫 𣙬 𣙭 𣙮 𣙯 𣙰 𣙱 𣙲 𣙳 𣙴 𣙵 𣙶 𣙷 𣙸 𣙹 𣙺 𣙻 𣙼 𣙽 𣙾 𣙿 𣚀 𣚁 𣚂 𣚃 𣚄 𣚅 𣚆 𣚇 𣚈 𣚉 𣚊 𣚋 𣚌 𣚍 𣚎 𣚏 𣚐 𣚑 𣚒 𣚓 𣚔 𣚕 𣚖 𣚗 𣚘 𣚙 𣚚 𣚛 𣚜 𣚝 𣚞 𣚟 𣚠 𣚡 𣚢 𣚣 𣚤 𣚥 𣚦 𣚧 𣚨 𣚩 𣚪 𣚫 𣚬 𣚭 𣚮 𣚯 𣚰 𣚱 𣚲 𣚳 𣚴 𣚵 𣚶 𣚷 𣚸 𣚹 𣚺 𣚻 𣚼 𣚽 𣚾 𣚿 𣛀 𣛁 𣛂 𣛃 𣛄 𣛅 𣛆 𣛇 𣛈 𣛉 𣛊 𣛋 𣛌 𣛍 𣛎 𣛏 𣛐 𣛑 𣛒 𣛓 𣛔 𣛕 𣛖 𣛗 𣛘 𣛙 𣛚 𣛛 𣛜 𣛝 𣛞 𣛟 𣛠 𣛡 𣛢 𣛣 𣛤 𣛥 𣛦 𣛧 𣛨 𣛩 𣛪 𣛫 𣛬 𣛭 𣛮 𣛯 𣛰 𣛱 𣛲 𣛳 𣛴 𣛵 𣛶 𣛷 𣛸 𣛹 𣛺 𣛻 𣛼 𣛽 𣛾 𣛿</t>
        </is>
      </c>
      <c r="R573" s="43" t="inlineStr">
        <is>
          <t>𣘸 𣘹 𣘺 𣙇 𣚺 𣛮</t>
        </is>
      </c>
      <c r="S573" s="40" t="n"/>
      <c r="V573" s="14">
        <f>(LEN(O573)+1)/2</f>
        <v/>
      </c>
      <c r="W573" s="14">
        <f>ROUNDDOWN((LEN(P573)+1)/2,0)</f>
        <v/>
      </c>
      <c r="X573" s="14">
        <f>ROUNDDOWN((LEN(Q573)+1)/2,0)</f>
        <v/>
      </c>
      <c r="Y573" s="14">
        <f>ROUNDDOWN((LEN(R573)+1)/2,0)</f>
        <v/>
      </c>
      <c r="Z573" s="14">
        <f>ROUNDDOWN((LEN(S573)+1)/2,0)</f>
        <v/>
      </c>
      <c r="AA573" s="56" t="n">
        <v>46150.55876813779</v>
      </c>
    </row>
    <row r="574" ht="102" customHeight="1">
      <c r="B574" s="46" t="inlineStr">
        <is>
          <t>U+23800-U+238FF</t>
        </is>
      </c>
      <c r="C574" s="46" t="inlineStr">
        <is>
          <t>CJK Unified Ideographs Extension B</t>
        </is>
      </c>
      <c r="D574" s="54">
        <f>HEX2DEC(MID(B574,3,FIND("-",E574)-3))</f>
        <v/>
      </c>
      <c r="E574" s="46" t="inlineStr">
        <is>
          <t>U+20000-U+2A6DF</t>
        </is>
      </c>
      <c r="F574" s="12" t="n">
        <v>4</v>
      </c>
      <c r="J574" s="19">
        <f>ROUNDDOWN(W574,0)/$V574</f>
        <v/>
      </c>
      <c r="K574" s="19">
        <f>ROUNDDOWN(X574,0)/$V574</f>
        <v/>
      </c>
      <c r="L574" s="19">
        <f>ROUNDDOWN(Y574,0)/$V574</f>
        <v/>
      </c>
      <c r="M574" s="19">
        <f>ROUNDDOWN(Z574,0)/$V574</f>
        <v/>
      </c>
      <c r="O574" s="36" t="inlineStr">
        <is>
          <t>𣜀 𣜁 𣜂 𣜃 𣜄 𣜅 𣜆 𣜇 𣜈 𣜉 𣜊 𣜋 𣜌 𣜍 𣜎 𣜏 𣜐 𣜑 𣜒 𣜓 𣜔 𣜕 𣜖 𣜗 𣜘 𣜙 𣜚 𣜛 𣜜 𣜝 𣜞 𣜟 𣜠 𣜡 𣜢 𣜣 𣜤 𣜥 𣜦 𣜧 𣜨 𣜩 𣜪 𣜫 𣜬 𣜭 𣜮 𣜯 𣜰 𣜱 𣜲 𣜳 𣜴 𣜵 𣜶 𣜷 𣜸 𣜹 𣜺 𣜻 𣜼 𣜽 𣜾 𣜿 𣝀 𣝁 𣝂 𣝃 𣝄 𣝅 𣝆 𣝇 𣝈 𣝉 𣝊 𣝋 𣝌 𣝍 𣝎 𣝏 𣝐 𣝑 𣝒 𣝓 𣝔 𣝕 𣝖 𣝗 𣝘 𣝙 𣝚 𣝛 𣝜 𣝝 𣝞 𣝟 𣝠 𣝡 𣝢 𣝣 𣝤 𣝥 𣝦 𣝧 𣝨 𣝩 𣝪 𣝫 𣝬 𣝭 𣝮 𣝯 𣝰 𣝱 𣝲 𣝳 𣝴 𣝵 𣝶 𣝷 𣝸 𣝹 𣝺 𣝻 𣝼 𣝽 𣝾 𣝿 𣞀 𣞁 𣞂 𣞃 𣞄 𣞅 𣞆 𣞇 𣞈 𣞉 𣞊 𣞋 𣞌 𣞍 𣞎 𣞏 𣞐 𣞑 𣞒 𣞓 𣞔 𣞕 𣞖 𣞗 𣞘 𣞙 𣞚 𣞛 𣞜 𣞝 𣞞 𣞟 𣞠 𣞡 𣞢 𣞣 𣞤 𣞥 𣞦 𣞧 𣞨 𣞩 𣞪 𣞫 𣞬 𣞭 𣞮 𣞯 𣞰 𣞱 𣞲 𣞳 𣞴 𣞵 𣞶 𣞷 𣞸 𣞹 𣞺 𣞻 𣞼 𣞽 𣞾 𣞿 𣟀 𣟁 𣟂 𣟃 𣟄 𣟅 𣟆 𣟇 𣟈 𣟉 𣟊 𣟋 𣟌 𣟍 𣟎 𣟏 𣟐 𣟑 𣟒 𣟓 𣟔 𣟕 𣟖 𣟗 𣟘 𣟙 𣟚 𣟛 𣟜 𣟝 𣟞 𣟟 𣟠 𣟡 𣟢 𣟣 𣟤 𣟥 𣟦 𣟧 𣟨 𣟩 𣟪 𣟫 𣟬 𣟭 𣟮 𣟯 𣟰 𣟱 𣟲 𣟳 𣟴 𣟵 𣟶 𣟷 𣟸 𣟹 𣟺 𣟻 𣟼 𣟽 𣟾 𣟿</t>
        </is>
      </c>
      <c r="P574" s="37" t="inlineStr">
        <is>
          <t>𣜀 𣜁 𣜂 𣜃 𣜄 𣜅 𣜆 𣜇 𣜈 𣜉 𣜊 𣜋 𣜌 𣜍 𣜎 𣜏 𣜐 𣜑 𣜒 𣜓 𣜔 𣜕 𣜖 𣜗 𣜘 𣜙 𣜚 𣜛 𣜜 𣜝 𣜞 𣜟 𣜠 𣜡 𣜢 𣜣 𣜤 𣜥 𣜦 𣜧 𣜨 𣜩 𣜪 𣜫 𣜬 𣜭 𣜮 𣜯 𣜰 𣜱 𣜲 𣜳 𣜴 𣜵 𣜶 𣜷 𣜸 𣜹 𣜺 𣜻 𣜼 𣜽 𣜾 𣜿 𣝀 𣝁 𣝂 𣝃 𣝄 𣝅 𣝆 𣝇 𣝈 𣝉 𣝊 𣝋 𣝌 𣝍 𣝎 𣝏 𣝐 𣝑 𣝒 𣝓 𣝔 𣝕 𣝖 𣝗 𣝘 𣝙 𣝚 𣝛 𣝜 𣝝 𣝞 𣝟 𣝠 𣝡 𣝢 𣝣 𣝤 𣝥 𣝦 𣝧 𣝨 𣝩 𣝪 𣝫 𣝬 𣝭 𣝮 𣝯 𣝰 𣝱 𣝲 𣝳 𣝴 𣝵 𣝶 𣝷 𣝸 𣝹 𣝺 𣝻 𣝼 𣝽 𣝾 𣝿 𣞀 𣞁 𣞂 𣞃 𣞄 𣞅 𣞆 𣞇 𣞈 𣞉 𣞊 𣞋 𣞌 𣞍 𣞎 𣞏 𣞐 𣞑 𣞒 𣞓 𣞔 𣞕 𣞖 𣞗 𣞘 𣞙 𣞚 𣞛 𣞜 𣞝 𣞞 𣞟 𣞠 𣞡 𣞢 𣞣 𣞤 𣞥 𣞦 𣞧 𣞨 𣞩 𣞪 𣞫 𣞬 𣞭 𣞮 𣞯 𣞰 𣞱 𣞲 𣞳 𣞴 𣞵 𣞶 𣞷 𣞸 𣞹 𣞺 𣞻 𣞼 𣞽 𣞾 𣞿 𣟀 𣟁 𣟂 𣟃 𣟄 𣟅 𣟆 𣟇 𣟈 𣟉 𣟊 𣟋 𣟌 𣟍 𣟎 𣟏 𣟐 𣟑 𣟒 𣟓 𣟔 𣟕 𣟖 𣟗 𣟘 𣟙 𣟚 𣟛 𣟜 𣟝 𣟞 𣟟 𣟠 𣟡 𣟢 𣟣 𣟤 𣟥 𣟦 𣟧 𣟨 𣟩 𣟪 𣟫 𣟬 𣟭 𣟮 𣟯 𣟰 𣟱 𣟲 𣟳 𣟴 𣟵 𣟶 𣟷 𣟸 𣟹 𣟺 𣟻 𣟼 𣟽 𣟾 𣟿</t>
        </is>
      </c>
      <c r="Q574" s="38" t="inlineStr">
        <is>
          <t>𣜀 𣜁 𣜂 𣜃 𣜄 𣜅 𣜆 𣜇 𣜈 𣜉 𣜊 𣜋 𣜌 𣜍 𣜎 𣜏 𣜐 𣜑 𣜒 𣜓 𣜔 𣜕 𣜖 𣜗 𣜘 𣜙 𣜚 𣜛 𣜜 𣜝 𣜞 𣜟 𣜠 𣜡 𣜢 𣜣 𣜤 𣜥 𣜦 𣜧 𣜨 𣜩 𣜪 𣜫 𣜬 𣜭 𣜮 𣜯 𣜰 𣜱 𣜲 𣜳 𣜴 𣜵 𣜶 𣜷 𣜸 𣜹 𣜺 𣜻 𣜼 𣜽 𣜾 𣜿 𣝀 𣝁 𣝂 𣝃 𣝄 𣝅 𣝆 𣝇 𣝈 𣝉 𣝊 𣝋 𣝌 𣝍 𣝎 𣝏 𣝐 𣝑 𣝒 𣝓 𣝔 𣝕 𣝖 𣝗 𣝘 𣝙 𣝚 𣝛 𣝜 𣝝 𣝞 𣝟 𣝠 𣝡 𣝢 𣝣 𣝤 𣝥 𣝦 𣝧 𣝨 𣝩 𣝪 𣝫 𣝬 𣝭 𣝮 𣝯 𣝰 𣝱 𣝲 𣝳 𣝴 𣝵 𣝶 𣝷 𣝸 𣝹 𣝺 𣝻 𣝼 𣝽 𣝾 𣝿 𣞀 𣞁 𣞂 𣞃 𣞄 𣞅 𣞆 𣞇 𣞈 𣞉 𣞊 𣞋 𣞌 𣞍 𣞎 𣞏 𣞐 𣞑 𣞒 𣞓 𣞔 𣞕 𣞖 𣞗 𣞘 𣞙 𣞚 𣞛 𣞜 𣞝 𣞞 𣞟 𣞠 𣞡 𣞢 𣞣 𣞤 𣞥 𣞦 𣞧 𣞨 𣞩 𣞪 𣞫 𣞬 𣞭 𣞮 𣞯 𣞰 𣞱 𣞲 𣞳 𣞴 𣞵 𣞶 𣞷 𣞸 𣞹 𣞺 𣞻 𣞼 𣞽 𣞾 𣞿 𣟀 𣟁 𣟂 𣟃 𣟄 𣟅 𣟆 𣟇 𣟈 𣟉 𣟊 𣟋 𣟌 𣟍 𣟎 𣟏 𣟐 𣟑 𣟒 𣟓 𣟔 𣟕 𣟖 𣟗 𣟘 𣟙 𣟚 𣟛 𣟜 𣟝 𣟞 𣟟 𣟠 𣟡 𣟢 𣟣 𣟤 𣟥 𣟦 𣟧 𣟨 𣟩 𣟪 𣟫 𣟬 𣟭 𣟮 𣟯 𣟰 𣟱 𣟲 𣟳 𣟴 𣟵 𣟶 𣟷 𣟸 𣟹 𣟺 𣟻 𣟼 𣟽 𣟾 𣟿</t>
        </is>
      </c>
      <c r="R574" s="43" t="inlineStr">
        <is>
          <t>𣜌 𣜜 𣜿 𣝣 𣝤 𣟧 𣟿</t>
        </is>
      </c>
      <c r="S574" s="40" t="n"/>
      <c r="V574" s="14">
        <f>(LEN(O574)+1)/2</f>
        <v/>
      </c>
      <c r="W574" s="14">
        <f>ROUNDDOWN((LEN(P574)+1)/2,0)</f>
        <v/>
      </c>
      <c r="X574" s="14">
        <f>ROUNDDOWN((LEN(Q574)+1)/2,0)</f>
        <v/>
      </c>
      <c r="Y574" s="14">
        <f>ROUNDDOWN((LEN(R574)+1)/2,0)</f>
        <v/>
      </c>
      <c r="Z574" s="14">
        <f>ROUNDDOWN((LEN(S574)+1)/2,0)</f>
        <v/>
      </c>
      <c r="AA574" s="56" t="n">
        <v>46150.55876925305</v>
      </c>
    </row>
    <row r="575" ht="102" customHeight="1">
      <c r="B575" s="46" t="inlineStr">
        <is>
          <t>U+23900-U+239FF</t>
        </is>
      </c>
      <c r="C575" s="46" t="inlineStr">
        <is>
          <t>CJK Unified Ideographs Extension B</t>
        </is>
      </c>
      <c r="D575" s="54">
        <f>HEX2DEC(MID(B575,3,FIND("-",E575)-3))</f>
        <v/>
      </c>
      <c r="E575" s="46" t="inlineStr">
        <is>
          <t>U+20000-U+2A6DF</t>
        </is>
      </c>
      <c r="F575" s="12" t="n">
        <v>4</v>
      </c>
      <c r="J575" s="19">
        <f>ROUNDDOWN(W575,0)/$V575</f>
        <v/>
      </c>
      <c r="K575" s="19">
        <f>ROUNDDOWN(X575,0)/$V575</f>
        <v/>
      </c>
      <c r="L575" s="19">
        <f>ROUNDDOWN(Y575,0)/$V575</f>
        <v/>
      </c>
      <c r="M575" s="19">
        <f>ROUNDDOWN(Z575,0)/$V575</f>
        <v/>
      </c>
      <c r="O575" s="36" t="inlineStr">
        <is>
          <t>𣠀 𣠁 𣠂 𣠃 𣠄 𣠅 𣠆 𣠇 𣠈 𣠉 𣠊 𣠋 𣠌 𣠍 𣠎 𣠏 𣠐 𣠑 𣠒 𣠓 𣠔 𣠕 𣠖 𣠗 𣠘 𣠙 𣠚 𣠛 𣠜 𣠝 𣠞 𣠟 𣠠 𣠡 𣠢 𣠣 𣠤 𣠥 𣠦 𣠧 𣠨 𣠩 𣠪 𣠫 𣠬 𣠭 𣠮 𣠯 𣠰 𣠱 𣠲 𣠳 𣠴 𣠵 𣠶 𣠷 𣠸 𣠹 𣠺 𣠻 𣠼 𣠽 𣠾 𣠿 𣡀 𣡁 𣡂 𣡃 𣡄 𣡅 𣡆 𣡇 𣡈 𣡉 𣡊 𣡋 𣡌 𣡍 𣡎 𣡏 𣡐 𣡑 𣡒 𣡓 𣡔 𣡕 𣡖 𣡗 𣡘 𣡙 𣡚 𣡛 𣡜 𣡝 𣡞 𣡟 𣡠 𣡡 𣡢 𣡣 𣡤 𣡥 𣡦 𣡧 𣡨 𣡩 𣡪 𣡫 𣡬 𣡭 𣡮 𣡯 𣡰 𣡱 𣡲 𣡳 𣡴 𣡵 𣡶 𣡷 𣡸 𣡹 𣡺 𣡻 𣡼 𣡽 𣡾 𣡿 𣢀 𣢁 𣢂 𣢃 𣢄 𣢅 𣢆 𣢇 𣢈 𣢉 𣢊 𣢋 𣢌 𣢍 𣢎 𣢏 𣢐 𣢑 𣢒 𣢓 𣢔 𣢕 𣢖 𣢗 𣢘 𣢙 𣢚 𣢛 𣢜 𣢝 𣢞 𣢟 𣢠 𣢡 𣢢 𣢣 𣢤 𣢥 𣢦 𣢧 𣢨 𣢩 𣢪 𣢫 𣢬 𣢭 𣢮 𣢯 𣢰 𣢱 𣢲 𣢳 𣢴 𣢵 𣢶 𣢷 𣢸 𣢹 𣢺 𣢻 𣢼 𣢽 𣢾 𣢿 𣣀 𣣁 𣣂 𣣃 𣣄 𣣅 𣣆 𣣇 𣣈 𣣉 𣣊 𣣋 𣣌 𣣍 𣣎 𣣏 𣣐 𣣑 𣣒 𣣓 𣣔 𣣕 𣣖 𣣗 𣣘 𣣙 𣣚 𣣛 𣣜 𣣝 𣣞 𣣟 𣣠 𣣡 𣣢 𣣣 𣣤 𣣥 𣣦 𣣧 𣣨 𣣩 𣣪 𣣫 𣣬 𣣭 𣣮 𣣯 𣣰 𣣱 𣣲 𣣳 𣣴 𣣵 𣣶 𣣷 𣣸 𣣹 𣣺 𣣻 𣣼 𣣽 𣣾 𣣿</t>
        </is>
      </c>
      <c r="P575" s="37" t="inlineStr">
        <is>
          <t>𣠀 𣠁 𣠂 𣠃 𣠄 𣠅 𣠆 𣠇 𣠈 𣠉 𣠊 𣠋 𣠌 𣠍 𣠎 𣠏 𣠐 𣠑 𣠒 𣠓 𣠔 𣠕 𣠖 𣠗 𣠘 𣠙 𣠚 𣠛 𣠜 𣠝 𣠞 𣠟 𣠠 𣠡 𣠢 𣠣 𣠤 𣠥 𣠦 𣠧 𣠨 𣠩 𣠪 𣠫 𣠬 𣠭 𣠮 𣠯 𣠰 𣠱 𣠲 𣠳 𣠴 𣠵 𣠶 𣠷 𣠸 𣠹 𣠺 𣠻 𣠼 𣠽 𣠾 𣠿 𣡀 𣡁 𣡂 𣡃 𣡄 𣡅 𣡆 𣡇 𣡈 𣡉 𣡊 𣡋 𣡌 𣡍 𣡎 𣡏 𣡐 𣡑 𣡒 𣡓 𣡔 𣡕 𣡖 𣡗 𣡘 𣡙 𣡚 𣡛 𣡜 𣡝 𣡞 𣡟 𣡠 𣡡 𣡢 𣡣 𣡤 𣡥 𣡦 𣡧 𣡨 𣡩 𣡪 𣡫 𣡬 𣡭 𣡮 𣡯 𣡰 𣡱 𣡲 𣡳 𣡴 𣡵 𣡶 𣡷 𣡸 𣡹 𣡺 𣡻 𣡼 𣡽 𣡾 𣡿 𣢀 𣢁 𣢂 𣢃 𣢄 𣢅 𣢆 𣢇 𣢈 𣢉 𣢊 𣢋 𣢌 𣢍 𣢎 𣢏 𣢐 𣢑 𣢒 𣢓 𣢔 𣢕 𣢖 𣢗 𣢘 𣢙 𣢚 𣢛 𣢜 𣢝 𣢞 𣢟 𣢠 𣢡 𣢢 𣢣 𣢤 𣢥 𣢦 𣢧 𣢨 𣢩 𣢪 𣢫 𣢬 𣢭 𣢮 𣢯 𣢰 𣢱 𣢲 𣢳 𣢴 𣢵 𣢶 𣢷 𣢸 𣢹 𣢺 𣢻 𣢼 𣢽 𣢾 𣢿 𣣀 𣣁 𣣂 𣣃 𣣄 𣣅 𣣆 𣣇 𣣈 𣣉 𣣊 𣣋 𣣌 𣣍 𣣎 𣣏 𣣐 𣣑 𣣒 𣣓 𣣔 𣣕 𣣖 𣣗 𣣘 𣣙 𣣚 𣣛 𣣜 𣣝 𣣞 𣣟 𣣠 𣣡 𣣢 𣣣 𣣤 𣣥 𣣦 𣣧 𣣨 𣣩 𣣪 𣣫 𣣬 𣣭 𣣮 𣣯 𣣰 𣣱 𣣲 𣣳 𣣴 𣣵 𣣶 𣣷 𣣸 𣣹 𣣺 𣣻 𣣼 𣣽 𣣾 𣣿</t>
        </is>
      </c>
      <c r="Q575" s="38" t="inlineStr">
        <is>
          <t>𣠀 𣠁 𣠂 𣠃 𣠄 𣠅 𣠆 𣠇 𣠈 𣠉 𣠊 𣠋 𣠌 𣠍 𣠎 𣠏 𣠐 𣠑 𣠒 𣠓 𣠔 𣠕 𣠖 𣠗 𣠘 𣠙 𣠚 𣠛 𣠜 𣠝 𣠞 𣠟 𣠠 𣠡 𣠢 𣠣 𣠤 𣠥 𣠦 𣠧 𣠨 𣠩 𣠪 𣠫 𣠬 𣠭 𣠮 𣠯 𣠰 𣠱 𣠲 𣠳 𣠴 𣠵 𣠶 𣠷 𣠸 𣠹 𣠺 𣠻 𣠼 𣠽 𣠾 𣠿 𣡀 𣡁 𣡂 𣡃 𣡄 𣡅 𣡆 𣡇 𣡈 𣡉 𣡊 𣡋 𣡌 𣡍 𣡎 𣡏 𣡐 𣡑 𣡒 𣡓 𣡔 𣡕 𣡖 𣡗 𣡘 𣡙 𣡚 𣡛 𣡜 𣡝 𣡞 𣡟 𣡠 𣡡 𣡢 𣡣 𣡤 𣡥 𣡦 𣡧 𣡨 𣡩 𣡪 𣡫 𣡬 𣡭 𣡮 𣡯 𣡰 𣡱 𣡲 𣡳 𣡴 𣡵 𣡶 𣡷 𣡸 𣡹 𣡺 𣡻 𣡼 𣡽 𣡾 𣡿 𣢀 𣢁 𣢂 𣢃 𣢄 𣢅 𣢆 𣢇 𣢈 𣢉 𣢊 𣢋 𣢌 𣢍 𣢎 𣢏 𣢐 𣢑 𣢒 𣢓 𣢔 𣢕 𣢖 𣢗 𣢘 𣢙 𣢚 𣢛 𣢜 𣢝 𣢞 𣢟 𣢠 𣢡 𣢢 𣢣 𣢤 𣢥 𣢦 𣢧 𣢨 𣢩 𣢪 𣢫 𣢬 𣢭 𣢮 𣢯 𣢰 𣢱 𣢲 𣢳 𣢴 𣢵 𣢶 𣢷 𣢸 𣢹 𣢺 𣢻 𣢼 𣢽 𣢾 𣢿 𣣀 𣣁 𣣂 𣣃 𣣄 𣣅 𣣆 𣣇 𣣈 𣣉 𣣊 𣣋 𣣌 𣣍 𣣎 𣣏 𣣐 𣣑 𣣒 𣣓 𣣔 𣣕 𣣖 𣣗 𣣘 𣣙 𣣚 𣣛 𣣜 𣣝 𣣞 𣣟 𣣠 𣣡 𣣢 𣣣 𣣤 𣣥 𣣦 𣣧 𣣨 𣣩 𣣪 𣣫 𣣬 𣣭 𣣮 𣣯 𣣰 𣣱 𣣲 𣣳 𣣴 𣣵 𣣶 𣣷 𣣸 𣣹 𣣺 𣣻 𣣼 𣣽 𣣾 𣣿</t>
        </is>
      </c>
      <c r="R575" s="43" t="inlineStr">
        <is>
          <t>𣠤 𣠽</t>
        </is>
      </c>
      <c r="S575" s="40" t="n"/>
      <c r="V575" s="14">
        <f>(LEN(O575)+1)/2</f>
        <v/>
      </c>
      <c r="W575" s="14">
        <f>ROUNDDOWN((LEN(P575)+1)/2,0)</f>
        <v/>
      </c>
      <c r="X575" s="14">
        <f>ROUNDDOWN((LEN(Q575)+1)/2,0)</f>
        <v/>
      </c>
      <c r="Y575" s="14">
        <f>ROUNDDOWN((LEN(R575)+1)/2,0)</f>
        <v/>
      </c>
      <c r="Z575" s="14">
        <f>ROUNDDOWN((LEN(S575)+1)/2,0)</f>
        <v/>
      </c>
      <c r="AA575" s="56" t="n">
        <v>46150.55877033517</v>
      </c>
    </row>
    <row r="576" ht="102" customHeight="1">
      <c r="B576" s="46" t="inlineStr">
        <is>
          <t>U+23A00-U+23AFF</t>
        </is>
      </c>
      <c r="C576" s="46" t="inlineStr">
        <is>
          <t>CJK Unified Ideographs Extension B</t>
        </is>
      </c>
      <c r="D576" s="54">
        <f>HEX2DEC(MID(B576,3,FIND("-",E576)-3))</f>
        <v/>
      </c>
      <c r="E576" s="46" t="inlineStr">
        <is>
          <t>U+20000-U+2A6DF</t>
        </is>
      </c>
      <c r="F576" s="12" t="n">
        <v>4</v>
      </c>
      <c r="J576" s="19">
        <f>ROUNDDOWN(W576,0)/$V576</f>
        <v/>
      </c>
      <c r="K576" s="19">
        <f>ROUNDDOWN(X576,0)/$V576</f>
        <v/>
      </c>
      <c r="L576" s="19">
        <f>ROUNDDOWN(Y576,0)/$V576</f>
        <v/>
      </c>
      <c r="M576" s="19">
        <f>ROUNDDOWN(Z576,0)/$V576</f>
        <v/>
      </c>
      <c r="O576" s="36" t="inlineStr">
        <is>
          <t>𣤀 𣤁 𣤂 𣤃 𣤄 𣤅 𣤆 𣤇 𣤈 𣤉 𣤊 𣤋 𣤌 𣤍 𣤎 𣤏 𣤐 𣤑 𣤒 𣤓 𣤔 𣤕 𣤖 𣤗 𣤘 𣤙 𣤚 𣤛 𣤜 𣤝 𣤞 𣤟 𣤠 𣤡 𣤢 𣤣 𣤤 𣤥 𣤦 𣤧 𣤨 𣤩 𣤪 𣤫 𣤬 𣤭 𣤮 𣤯 𣤰 𣤱 𣤲 𣤳 𣤴 𣤵 𣤶 𣤷 𣤸 𣤹 𣤺 𣤻 𣤼 𣤽 𣤾 𣤿 𣥀 𣥁 𣥂 𣥃 𣥄 𣥅 𣥆 𣥇 𣥈 𣥉 𣥊 𣥋 𣥌 𣥍 𣥎 𣥏 𣥐 𣥑 𣥒 𣥓 𣥔 𣥕 𣥖 𣥗 𣥘 𣥙 𣥚 𣥛 𣥜 𣥝 𣥞 𣥟 𣥠 𣥡 𣥢 𣥣 𣥤 𣥥 𣥦 𣥧 𣥨 𣥩 𣥪 𣥫 𣥬 𣥭 𣥮 𣥯 𣥰 𣥱 𣥲 𣥳 𣥴 𣥵 𣥶 𣥷 𣥸 𣥹 𣥺 𣥻 𣥼 𣥽 𣥾 𣥿 𣦀 𣦁 𣦂 𣦃 𣦄 𣦅 𣦆 𣦇 𣦈 𣦉 𣦊 𣦋 𣦌 𣦍 𣦎 𣦏 𣦐 𣦑 𣦒 𣦓 𣦔 𣦕 𣦖 𣦗 𣦘 𣦙 𣦚 𣦛 𣦜 𣦝 𣦞 𣦟 𣦠 𣦡 𣦢 𣦣 𣦤 𣦥 𣦦 𣦧 𣦨 𣦩 𣦪 𣦫 𣦬 𣦭 𣦮 𣦯 𣦰 𣦱 𣦲 𣦳 𣦴 𣦵 𣦶 𣦷 𣦸 𣦹 𣦺 𣦻 𣦼 𣦽 𣦾 𣦿 𣧀 𣧁 𣧂 𣧃 𣧄 𣧅 𣧆 𣧇 𣧈 𣧉 𣧊 𣧋 𣧌 𣧍 𣧎 𣧏 𣧐 𣧑 𣧒 𣧓 𣧔 𣧕 𣧖 𣧗 𣧘 𣧙 𣧚 𣧛 𣧜 𣧝 𣧞 𣧟 𣧠 𣧡 𣧢 𣧣 𣧤 𣧥 𣧦 𣧧 𣧨 𣧩 𣧪 𣧫 𣧬 𣧭 𣧮 𣧯 𣧰 𣧱 𣧲 𣧳 𣧴 𣧵 𣧶 𣧷 𣧸 𣧹 𣧺 𣧻 𣧼 𣧽 𣧾 𣧿</t>
        </is>
      </c>
      <c r="P576" s="37" t="inlineStr">
        <is>
          <t>𣤀 𣤁 𣤂 𣤃 𣤄 𣤅 𣤆 𣤇 𣤈 𣤉 𣤊 𣤋 𣤌 𣤍 𣤎 𣤏 𣤐 𣤑 𣤒 𣤓 𣤔 𣤕 𣤖 𣤗 𣤘 𣤙 𣤚 𣤛 𣤜 𣤝 𣤞 𣤟 𣤠 𣤡 𣤢 𣤣 𣤤 𣤥 𣤦 𣤧 𣤨 𣤩 𣤪 𣤫 𣤬 𣤭 𣤮 𣤯 𣤰 𣤱 𣤲 𣤳 𣤴 𣤵 𣤶 𣤷 𣤸 𣤹 𣤺 𣤻 𣤼 𣤽 𣤾 𣤿 𣥀 𣥁 𣥂 𣥃 𣥄 𣥅 𣥆 𣥇 𣥈 𣥉 𣥊 𣥋 𣥌 𣥍 𣥎 𣥏 𣥐 𣥑 𣥒 𣥓 𣥔 𣥕 𣥖 𣥗 𣥘 𣥙 𣥚 𣥛 𣥜 𣥝 𣥞 𣥟 𣥠 𣥡 𣥢 𣥣 𣥤 𣥥 𣥦 𣥧 𣥨 𣥩 𣥪 𣥫 𣥬 𣥭 𣥮 𣥯 𣥰 𣥱 𣥲 𣥳 𣥴 𣥵 𣥶 𣥷 𣥸 𣥹 𣥺 𣥻 𣥼 𣥽 𣥾 𣥿 𣦀 𣦁 𣦂 𣦃 𣦄 𣦅 𣦆 𣦇 𣦈 𣦉 𣦊 𣦋 𣦌 𣦍 𣦎 𣦏 𣦐 𣦑 𣦒 𣦓 𣦔 𣦕 𣦖 𣦗 𣦘 𣦙 𣦚 𣦛 𣦜 𣦝 𣦞 𣦟 𣦠 𣦡 𣦢 𣦣 𣦤 𣦥 𣦦 𣦧 𣦨 𣦩 𣦪 𣦫 𣦬 𣦭 𣦮 𣦯 𣦰 𣦱 𣦲 𣦳 𣦴 𣦵 𣦶 𣦷 𣦸 𣦹 𣦺 𣦻 𣦼 𣦽 𣦾 𣦿 𣧀 𣧁 𣧂 𣧃 𣧄 𣧅 𣧆 𣧇 𣧈 𣧉 𣧊 𣧋 𣧌 𣧍 𣧎 𣧏 𣧐 𣧑 𣧒 𣧓 𣧔 𣧕 𣧖 𣧗 𣧘 𣧙 𣧚 𣧛 𣧜 𣧝 𣧞 𣧟 𣧠 𣧡 𣧢 𣧣 𣧤 𣧥 𣧦 𣧧 𣧨 𣧩 𣧪 𣧫 𣧬 𣧭 𣧮 𣧯 𣧰 𣧱 𣧲 𣧳 𣧴 𣧵 𣧶 𣧷 𣧸 𣧹 𣧺 𣧻 𣧼 𣧽 𣧾 𣧿</t>
        </is>
      </c>
      <c r="Q576" s="38" t="inlineStr">
        <is>
          <t>𣤀 𣤁 𣤂 𣤃 𣤄 𣤅 𣤆 𣤇 𣤈 𣤉 𣤊 𣤋 𣤌 𣤍 𣤎 𣤏 𣤐 𣤑 𣤒 𣤓 𣤔 𣤕 𣤖 𣤗 𣤘 𣤙 𣤚 𣤛 𣤜 𣤝 𣤞 𣤟 𣤠 𣤡 𣤢 𣤣 𣤤 𣤥 𣤦 𣤧 𣤨 𣤩 𣤪 𣤫 𣤬 𣤭 𣤮 𣤯 𣤰 𣤱 𣤲 𣤳 𣤴 𣤵 𣤶 𣤷 𣤸 𣤹 𣤺 𣤻 𣤼 𣤽 𣤾 𣤿 𣥀 𣥁 𣥂 𣥃 𣥄 𣥅 𣥆 𣥇 𣥈 𣥉 𣥊 𣥋 𣥌 𣥍 𣥎 𣥏 𣥐 𣥑 𣥒 𣥓 𣥔 𣥕 𣥖 𣥗 𣥘 𣥙 𣥚 𣥛 𣥜 𣥝 𣥞 𣥟 𣥠 𣥡 𣥢 𣥣 𣥤 𣥥 𣥦 𣥧 𣥨 𣥩 𣥪 𣥫 𣥬 𣥭 𣥮 𣥯 𣥰 𣥱 𣥲 𣥳 𣥴 𣥵 𣥶 𣥷 𣥸 𣥹 𣥺 𣥻 𣥼 𣥽 𣥾 𣥿 𣦀 𣦁 𣦂 𣦃 𣦄 𣦅 𣦆 𣦇 𣦈 𣦉 𣦊 𣦋 𣦌 𣦍 𣦎 𣦏 𣦐 𣦑 𣦒 𣦓 𣦔 𣦕 𣦖 𣦗 𣦘 𣦙 𣦚 𣦛 𣦜 𣦝 𣦞 𣦟 𣦠 𣦡 𣦢 𣦣 𣦤 𣦥 𣦦 𣦧 𣦨 𣦩 𣦪 𣦫 𣦬 𣦭 𣦮 𣦯 𣦰 𣦱 𣦲 𣦳 𣦴 𣦵 𣦶 𣦷 𣦸 𣦹 𣦺 𣦻 𣦼 𣦽 𣦾 𣦿 𣧀 𣧁 𣧂 𣧃 𣧄 𣧅 𣧆 𣧇 𣧈 𣧉 𣧊 𣧋 𣧌 𣧍 𣧎 𣧏 𣧐 𣧑 𣧒 𣧓 𣧔 𣧕 𣧖 𣧗 𣧘 𣧙 𣧚 𣧛 𣧜 𣧝 𣧞 𣧟 𣧠 𣧡 𣧢 𣧣 𣧤 𣧥 𣧦 𣧧 𣧨 𣧩 𣧪 𣧫 𣧬 𣧭 𣧮 𣧯 𣧰 𣧱 𣧲 𣧳 𣧴 𣧵 𣧶 𣧷 𣧸 𣧹 𣧺 𣧻 𣧼 𣧽 𣧾 𣧿</t>
        </is>
      </c>
      <c r="R576" s="43" t="inlineStr"/>
      <c r="S576" s="40" t="n"/>
      <c r="V576" s="14">
        <f>(LEN(O576)+1)/2</f>
        <v/>
      </c>
      <c r="W576" s="14">
        <f>ROUNDDOWN((LEN(P576)+1)/2,0)</f>
        <v/>
      </c>
      <c r="X576" s="14">
        <f>ROUNDDOWN((LEN(Q576)+1)/2,0)</f>
        <v/>
      </c>
      <c r="Y576" s="14">
        <f>ROUNDDOWN((LEN(R576)+1)/2,0)</f>
        <v/>
      </c>
      <c r="Z576" s="14">
        <f>ROUNDDOWN((LEN(S576)+1)/2,0)</f>
        <v/>
      </c>
      <c r="AA576" s="56" t="n">
        <v>46150.55877140976</v>
      </c>
    </row>
    <row r="577" ht="102" customHeight="1">
      <c r="B577" s="46" t="inlineStr">
        <is>
          <t>U+23B00-U+23BFF</t>
        </is>
      </c>
      <c r="C577" s="46" t="inlineStr">
        <is>
          <t>CJK Unified Ideographs Extension B</t>
        </is>
      </c>
      <c r="D577" s="54">
        <f>HEX2DEC(MID(B577,3,FIND("-",E577)-3))</f>
        <v/>
      </c>
      <c r="E577" s="46" t="inlineStr">
        <is>
          <t>U+20000-U+2A6DF</t>
        </is>
      </c>
      <c r="F577" s="12" t="n">
        <v>4</v>
      </c>
      <c r="J577" s="19">
        <f>ROUNDDOWN(W577,0)/$V577</f>
        <v/>
      </c>
      <c r="K577" s="19">
        <f>ROUNDDOWN(X577,0)/$V577</f>
        <v/>
      </c>
      <c r="L577" s="19">
        <f>ROUNDDOWN(Y577,0)/$V577</f>
        <v/>
      </c>
      <c r="M577" s="19">
        <f>ROUNDDOWN(Z577,0)/$V577</f>
        <v/>
      </c>
      <c r="O577" s="36" t="inlineStr">
        <is>
          <t>𣨀 𣨁 𣨂 𣨃 𣨄 𣨅 𣨆 𣨇 𣨈 𣨉 𣨊 𣨋 𣨌 𣨍 𣨎 𣨏 𣨐 𣨑 𣨒 𣨓 𣨔 𣨕 𣨖 𣨗 𣨘 𣨙 𣨚 𣨛 𣨜 𣨝 𣨞 𣨟 𣨠 𣨡 𣨢 𣨣 𣨤 𣨥 𣨦 𣨧 𣨨 𣨩 𣨪 𣨫 𣨬 𣨭 𣨮 𣨯 𣨰 𣨱 𣨲 𣨳 𣨴 𣨵 𣨶 𣨷 𣨸 𣨹 𣨺 𣨻 𣨼 𣨽 𣨾 𣨿 𣩀 𣩁 𣩂 𣩃 𣩄 𣩅 𣩆 𣩇 𣩈 𣩉 𣩊 𣩋 𣩌 𣩍 𣩎 𣩏 𣩐 𣩑 𣩒 𣩓 𣩔 𣩕 𣩖 𣩗 𣩘 𣩙 𣩚 𣩛 𣩜 𣩝 𣩞 𣩟 𣩠 𣩡 𣩢 𣩣 𣩤 𣩥 𣩦 𣩧 𣩨 𣩩 𣩪 𣩫 𣩬 𣩭 𣩮 𣩯 𣩰 𣩱 𣩲 𣩳 𣩴 𣩵 𣩶 𣩷 𣩸 𣩹 𣩺 𣩻 𣩼 𣩽 𣩾 𣩿 𣪀 𣪁 𣪂 𣪃 𣪄 𣪅 𣪆 𣪇 𣪈 𣪉 𣪊 𣪋 𣪌 𣪍 𣪎 𣪏 𣪐 𣪑 𣪒 𣪓 𣪔 𣪕 𣪖 𣪗 𣪘 𣪙 𣪚 𣪛 𣪜 𣪝 𣪞 𣪟 𣪠 𣪡 𣪢 𣪣 𣪤 𣪥 𣪦 𣪧 𣪨 𣪩 𣪪 𣪫 𣪬 𣪭 𣪮 𣪯 𣪰 𣪱 𣪲 𣪳 𣪴 𣪵 𣪶 𣪷 𣪸 𣪹 𣪺 𣪻 𣪼 𣪽 𣪾 𣪿 𣫀 𣫁 𣫂 𣫃 𣫄 𣫅 𣫆 𣫇 𣫈 𣫉 𣫊 𣫋 𣫌 𣫍 𣫎 𣫏 𣫐 𣫑 𣫒 𣫓 𣫔 𣫕 𣫖 𣫗 𣫘 𣫙 𣫚 𣫛 𣫜 𣫝 𣫞 𣫟 𣫠 𣫡 𣫢 𣫣 𣫤 𣫥 𣫦 𣫧 𣫨 𣫩 𣫪 𣫫 𣫬 𣫭 𣫮 𣫯 𣫰 𣫱 𣫲 𣫳 𣫴 𣫵 𣫶 𣫷 𣫸 𣫹 𣫺 𣫻 𣫼 𣫽 𣫾 𣫿</t>
        </is>
      </c>
      <c r="P577" s="37" t="inlineStr">
        <is>
          <t>𣨀 𣨁 𣨂 𣨃 𣨄 𣨅 𣨆 𣨇 𣨈 𣨉 𣨊 𣨋 𣨌 𣨍 𣨎 𣨏 𣨐 𣨑 𣨒 𣨓 𣨔 𣨕 𣨖 𣨗 𣨘 𣨙 𣨚 𣨛 𣨜 𣨝 𣨞 𣨟 𣨠 𣨡 𣨢 𣨣 𣨤 𣨥 𣨦 𣨧 𣨨 𣨩 𣨪 𣨫 𣨬 𣨭 𣨮 𣨯 𣨰 𣨱 𣨲 𣨳 𣨴 𣨵 𣨶 𣨷 𣨸 𣨹 𣨺 𣨻 𣨼 𣨽 𣨾 𣨿 𣩀 𣩁 𣩂 𣩃 𣩄 𣩅 𣩆 𣩇 𣩈 𣩉 𣩊 𣩋 𣩌 𣩍 𣩎 𣩏 𣩐 𣩑 𣩒 𣩓 𣩔 𣩕 𣩖 𣩗 𣩘 𣩙 𣩚 𣩛 𣩜 𣩝 𣩞 𣩟 𣩠 𣩡 𣩢 𣩣 𣩤 𣩥 𣩦 𣩧 𣩨 𣩩 𣩪 𣩫 𣩬 𣩭 𣩮 𣩯 𣩰 𣩱 𣩲 𣩳 𣩴 𣩵 𣩶 𣩷 𣩸 𣩹 𣩺 𣩻 𣩼 𣩽 𣩾 𣩿 𣪀 𣪁 𣪂 𣪃 𣪄 𣪅 𣪆 𣪇 𣪈 𣪉 𣪊 𣪋 𣪌 𣪍 𣪎 𣪏 𣪐 𣪑 𣪒 𣪓 𣪔 𣪕 𣪖 𣪗 𣪘 𣪙 𣪚 𣪛 𣪜 𣪝 𣪞 𣪟 𣪠 𣪡 𣪢 𣪣 𣪤 𣪥 𣪦 𣪧 𣪨 𣪩 𣪪 𣪫 𣪬 𣪭 𣪮 𣪯 𣪰 𣪱 𣪲 𣪳 𣪴 𣪵 𣪶 𣪷 𣪸 𣪹 𣪺 𣪻 𣪼 𣪽 𣪾 𣪿 𣫀 𣫁 𣫂 𣫃 𣫄 𣫅 𣫆 𣫇 𣫈 𣫉 𣫊 𣫋 𣫌 𣫍 𣫎 𣫏 𣫐 𣫑 𣫒 𣫓 𣫔 𣫕 𣫖 𣫗 𣫘 𣫙 𣫚 𣫛 𣫜 𣫝 𣫞 𣫟 𣫠 𣫡 𣫢 𣫣 𣫤 𣫥 𣫦 𣫧 𣫨 𣫩 𣫪 𣫫 𣫬 𣫭 𣫮 𣫯 𣫰 𣫱 𣫲 𣫳 𣫴 𣫵 𣫶 𣫷 𣫸 𣫹 𣫺 𣫻 𣫼 𣫽 𣫾 𣫿</t>
        </is>
      </c>
      <c r="Q577" s="38" t="inlineStr">
        <is>
          <t>𣨀 𣨁 𣨂 𣨃 𣨄 𣨅 𣨆 𣨇 𣨈 𣨉 𣨊 𣨋 𣨌 𣨍 𣨎 𣨏 𣨐 𣨑 𣨒 𣨓 𣨔 𣨕 𣨖 𣨗 𣨘 𣨙 𣨚 𣨛 𣨜 𣨝 𣨞 𣨟 𣨠 𣨡 𣨢 𣨣 𣨤 𣨥 𣨦 𣨧 𣨨 𣨩 𣨪 𣨫 𣨬 𣨭 𣨮 𣨯 𣨰 𣨱 𣨲 𣨳 𣨴 𣨵 𣨶 𣨷 𣨸 𣨹 𣨺 𣨻 𣨼 𣨽 𣨾 𣨿 𣩀 𣩁 𣩂 𣩃 𣩄 𣩅 𣩆 𣩇 𣩈 𣩉 𣩊 𣩋 𣩌 𣩍 𣩎 𣩏 𣩐 𣩑 𣩒 𣩓 𣩔 𣩕 𣩖 𣩗 𣩘 𣩙 𣩚 𣩛 𣩜 𣩝 𣩞 𣩟 𣩠 𣩡 𣩢 𣩣 𣩤 𣩥 𣩦 𣩧 𣩨 𣩩 𣩪 𣩫 𣩬 𣩭 𣩮 𣩯 𣩰 𣩱 𣩲 𣩳 𣩴 𣩵 𣩶 𣩷 𣩸 𣩹 𣩺 𣩻 𣩼 𣩽 𣩾 𣩿 𣪀 𣪁 𣪂 𣪃 𣪄 𣪅 𣪆 𣪇 𣪈 𣪉 𣪊 𣪋 𣪌 𣪍 𣪎 𣪏 𣪐 𣪑 𣪒 𣪓 𣪔 𣪕 𣪖 𣪗 𣪘 𣪙 𣪚 𣪛 𣪜 𣪝 𣪞 𣪟 𣪠 𣪡 𣪢 𣪣 𣪤 𣪥 𣪦 𣪧 𣪨 𣪩 𣪪 𣪫 𣪬 𣪭 𣪮 𣪯 𣪰 𣪱 𣪲 𣪳 𣪴 𣪵 𣪶 𣪷 𣪸 𣪹 𣪺 𣪻 𣪼 𣪽 𣪾 𣪿 𣫀 𣫁 𣫂 𣫃 𣫄 𣫅 𣫆 𣫇 𣫈 𣫉 𣫊 𣫋 𣫌 𣫍 𣫎 𣫏 𣫐 𣫑 𣫒 𣫓 𣫔 𣫕 𣫖 𣫗 𣫘 𣫙 𣫚 𣫛 𣫜 𣫝 𣫞 𣫟 𣫠 𣫡 𣫢 𣫣 𣫤 𣫥 𣫦 𣫧 𣫨 𣫩 𣫪 𣫫 𣫬 𣫭 𣫮 𣫯 𣫰 𣫱 𣫲 𣫳 𣫴 𣫵 𣫶 𣫷 𣫸 𣫹 𣫺 𣫻 𣫼 𣫽 𣫾 𣫿</t>
        </is>
      </c>
      <c r="R577" s="43" t="inlineStr"/>
      <c r="S577" s="40" t="n"/>
      <c r="V577" s="14">
        <f>(LEN(O577)+1)/2</f>
        <v/>
      </c>
      <c r="W577" s="14">
        <f>ROUNDDOWN((LEN(P577)+1)/2,0)</f>
        <v/>
      </c>
      <c r="X577" s="14">
        <f>ROUNDDOWN((LEN(Q577)+1)/2,0)</f>
        <v/>
      </c>
      <c r="Y577" s="14">
        <f>ROUNDDOWN((LEN(R577)+1)/2,0)</f>
        <v/>
      </c>
      <c r="Z577" s="14">
        <f>ROUNDDOWN((LEN(S577)+1)/2,0)</f>
        <v/>
      </c>
      <c r="AA577" s="56" t="n">
        <v>46150.55877247896</v>
      </c>
    </row>
    <row r="578" ht="102" customHeight="1">
      <c r="B578" s="46" t="inlineStr">
        <is>
          <t>U+23C00-U+23CFF</t>
        </is>
      </c>
      <c r="C578" s="46" t="inlineStr">
        <is>
          <t>CJK Unified Ideographs Extension B</t>
        </is>
      </c>
      <c r="D578" s="54">
        <f>HEX2DEC(MID(B578,3,FIND("-",E578)-3))</f>
        <v/>
      </c>
      <c r="E578" s="46" t="inlineStr">
        <is>
          <t>U+20000-U+2A6DF</t>
        </is>
      </c>
      <c r="F578" s="12" t="n">
        <v>4</v>
      </c>
      <c r="J578" s="19">
        <f>ROUNDDOWN(W578,0)/$V578</f>
        <v/>
      </c>
      <c r="K578" s="19">
        <f>ROUNDDOWN(X578,0)/$V578</f>
        <v/>
      </c>
      <c r="L578" s="19">
        <f>ROUNDDOWN(Y578,0)/$V578</f>
        <v/>
      </c>
      <c r="M578" s="19">
        <f>ROUNDDOWN(Z578,0)/$V578</f>
        <v/>
      </c>
      <c r="O578" s="36" t="inlineStr">
        <is>
          <t>𣬀 𣬁 𣬂 𣬃 𣬄 𣬅 𣬆 𣬇 𣬈 𣬉 𣬊 𣬋 𣬌 𣬍 𣬎 𣬏 𣬐 𣬑 𣬒 𣬓 𣬔 𣬕 𣬖 𣬗 𣬘 𣬙 𣬚 𣬛 𣬜 𣬝 𣬞 𣬟 𣬠 𣬡 𣬢 𣬣 𣬤 𣬥 𣬦 𣬧 𣬨 𣬩 𣬪 𣬫 𣬬 𣬭 𣬮 𣬯 𣬰 𣬱 𣬲 𣬳 𣬴 𣬵 𣬶 𣬷 𣬸 𣬹 𣬺 𣬻 𣬼 𣬽 𣬾 𣬿 𣭀 𣭁 𣭂 𣭃 𣭄 𣭅 𣭆 𣭇 𣭈 𣭉 𣭊 𣭋 𣭌 𣭍 𣭎 𣭏 𣭐 𣭑 𣭒 𣭓 𣭔 𣭕 𣭖 𣭗 𣭘 𣭙 𣭚 𣭛 𣭜 𣭝 𣭞 𣭟 𣭠 𣭡 𣭢 𣭣 𣭤 𣭥 𣭦 𣭧 𣭨 𣭩 𣭪 𣭫 𣭬 𣭭 𣭮 𣭯 𣭰 𣭱 𣭲 𣭳 𣭴 𣭵 𣭶 𣭷 𣭸 𣭹 𣭺 𣭻 𣭼 𣭽 𣭾 𣭿 𣮀 𣮁 𣮂 𣮃 𣮄 𣮅 𣮆 𣮇 𣮈 𣮉 𣮊 𣮋 𣮌 𣮍 𣮎 𣮏 𣮐 𣮑 𣮒 𣮓 𣮔 𣮕 𣮖 𣮗 𣮘 𣮙 𣮚 𣮛 𣮜 𣮝 𣮞 𣮟 𣮠 𣮡 𣮢 𣮣 𣮤 𣮥 𣮦 𣮧 𣮨 𣮩 𣮪 𣮫 𣮬 𣮭 𣮮 𣮯 𣮰 𣮱 𣮲 𣮳 𣮴 𣮵 𣮶 𣮷 𣮸 𣮹 𣮺 𣮻 𣮼 𣮽 𣮾 𣮿 𣯀 𣯁 𣯂 𣯃 𣯄 𣯅 𣯆 𣯇 𣯈 𣯉 𣯊 𣯋 𣯌 𣯍 𣯎 𣯏 𣯐 𣯑 𣯒 𣯓 𣯔 𣯕 𣯖 𣯗 𣯘 𣯙 𣯚 𣯛 𣯜 𣯝 𣯞 𣯟 𣯠 𣯡 𣯢 𣯣 𣯤 𣯥 𣯦 𣯧 𣯨 𣯩 𣯪 𣯫 𣯬 𣯭 𣯮 𣯯 𣯰 𣯱 𣯲 𣯳 𣯴 𣯵 𣯶 𣯷 𣯸 𣯹 𣯺 𣯻 𣯼 𣯽 𣯾 𣯿</t>
        </is>
      </c>
      <c r="P578" s="37" t="inlineStr">
        <is>
          <t>𣬀 𣬁 𣬂 𣬃 𣬄 𣬅 𣬆 𣬇 𣬈 𣬉 𣬊 𣬋 𣬌 𣬍 𣬎 𣬏 𣬐 𣬑 𣬒 𣬓 𣬔 𣬕 𣬖 𣬗 𣬘 𣬙 𣬚 𣬛 𣬜 𣬝 𣬞 𣬟 𣬠 𣬡 𣬢 𣬣 𣬤 𣬥 𣬦 𣬧 𣬨 𣬩 𣬪 𣬫 𣬬 𣬭 𣬮 𣬯 𣬰 𣬱 𣬲 𣬳 𣬴 𣬵 𣬶 𣬷 𣬸 𣬹 𣬺 𣬻 𣬼 𣬽 𣬾 𣬿 𣭀 𣭁 𣭂 𣭃 𣭄 𣭅 𣭆 𣭇 𣭈 𣭉 𣭊 𣭋 𣭌 𣭍 𣭎 𣭏 𣭐 𣭑 𣭒 𣭓 𣭔 𣭕 𣭖 𣭗 𣭘 𣭙 𣭚 𣭛 𣭜 𣭝 𣭞 𣭟 𣭠 𣭡 𣭢 𣭣 𣭤 𣭥 𣭦 𣭧 𣭨 𣭩 𣭪 𣭫 𣭬 𣭭 𣭮 𣭯 𣭰 𣭱 𣭲 𣭳 𣭴 𣭵 𣭶 𣭷 𣭸 𣭹 𣭺 𣭻 𣭼 𣭽 𣭾 𣭿 𣮀 𣮁 𣮂 𣮃 𣮄 𣮅 𣮆 𣮇 𣮈 𣮉 𣮊 𣮋 𣮌 𣮍 𣮎 𣮏 𣮐 𣮑 𣮒 𣮓 𣮔 𣮕 𣮖 𣮗 𣮘 𣮙 𣮚 𣮛 𣮜 𣮝 𣮞 𣮟 𣮠 𣮡 𣮢 𣮣 𣮤 𣮥 𣮦 𣮧 𣮨 𣮩 𣮪 𣮫 𣮬 𣮭 𣮮 𣮯 𣮰 𣮱 𣮲 𣮳 𣮴 𣮵 𣮶 𣮷 𣮸 𣮹 𣮺 𣮻 𣮼 𣮽 𣮾 𣮿 𣯀 𣯁 𣯂 𣯃 𣯄 𣯅 𣯆 𣯇 𣯈 𣯉 𣯊 𣯋 𣯌 𣯍 𣯎 𣯏 𣯐 𣯑 𣯒 𣯓 𣯔 𣯕 𣯖 𣯗 𣯘 𣯙 𣯚 𣯛 𣯜 𣯝 𣯞 𣯟 𣯠 𣯡 𣯢 𣯣 𣯤 𣯥 𣯦 𣯧 𣯨 𣯩 𣯪 𣯫 𣯬 𣯭 𣯮 𣯯 𣯰 𣯱 𣯲 𣯳 𣯴 𣯵 𣯶 𣯷 𣯸 𣯹 𣯺 𣯻 𣯼 𣯽 𣯾 𣯿</t>
        </is>
      </c>
      <c r="Q578" s="38" t="inlineStr">
        <is>
          <t>𣬀 𣬁 𣬂 𣬃 𣬄 𣬅 𣬆 𣬇 𣬈 𣬉 𣬊 𣬋 𣬌 𣬍 𣬎 𣬏 𣬐 𣬑 𣬒 𣬓 𣬔 𣬕 𣬖 𣬗 𣬘 𣬙 𣬚 𣬛 𣬜 𣬝 𣬞 𣬟 𣬠 𣬡 𣬢 𣬣 𣬤 𣬥 𣬦 𣬧 𣬨 𣬩 𣬪 𣬫 𣬬 𣬭 𣬮 𣬯 𣬰 𣬱 𣬲 𣬳 𣬴 𣬵 𣬶 𣬷 𣬸 𣬹 𣬺 𣬻 𣬼 𣬽 𣬾 𣬿 𣭀 𣭁 𣭂 𣭃 𣭄 𣭅 𣭆 𣭇 𣭈 𣭉 𣭊 𣭋 𣭌 𣭍 𣭎 𣭏 𣭐 𣭑 𣭒 𣭓 𣭔 𣭕 𣭖 𣭗 𣭘 𣭙 𣭚 𣭛 𣭜 𣭝 𣭞 𣭟 𣭠 𣭡 𣭢 𣭣 𣭤 𣭥 𣭦 𣭧 𣭨 𣭩 𣭪 𣭫 𣭬 𣭭 𣭮 𣭯 𣭰 𣭱 𣭲 𣭳 𣭴 𣭵 𣭶 𣭷 𣭸 𣭹 𣭺 𣭻 𣭼 𣭽 𣭾 𣭿 𣮀 𣮁 𣮂 𣮃 𣮄 𣮅 𣮆 𣮇 𣮈 𣮉 𣮊 𣮋 𣮌 𣮍 𣮎 𣮏 𣮐 𣮑 𣮒 𣮓 𣮔 𣮕 𣮖 𣮗 𣮘 𣮙 𣮚 𣮛 𣮜 𣮝 𣮞 𣮟 𣮠 𣮡 𣮢 𣮣 𣮤 𣮥 𣮦 𣮧 𣮨 𣮩 𣮪 𣮫 𣮬 𣮭 𣮮 𣮯 𣮰 𣮱 𣮲 𣮳 𣮴 𣮵 𣮶 𣮷 𣮸 𣮹 𣮺 𣮻 𣮼 𣮽 𣮾 𣮿 𣯀 𣯁 𣯂 𣯃 𣯄 𣯅 𣯆 𣯇 𣯈 𣯉 𣯊 𣯋 𣯌 𣯍 𣯎 𣯏 𣯐 𣯑 𣯒 𣯓 𣯔 𣯕 𣯖 𣯗 𣯘 𣯙 𣯚 𣯛 𣯜 𣯝 𣯞 𣯟 𣯠 𣯡 𣯢 𣯣 𣯤 𣯥 𣯦 𣯧 𣯨 𣯩 𣯪 𣯫 𣯬 𣯭 𣯮 𣯯 𣯰 𣯱 𣯲 𣯳 𣯴 𣯵 𣯶 𣯷 𣯸 𣯹 𣯺 𣯻 𣯼 𣯽 𣯾 𣯿</t>
        </is>
      </c>
      <c r="R578" s="43" t="inlineStr">
        <is>
          <t>𣬂 𣬠 𣬶 𣭲 𣮈</t>
        </is>
      </c>
      <c r="S578" s="40" t="n"/>
      <c r="V578" s="14">
        <f>(LEN(O578)+1)/2</f>
        <v/>
      </c>
      <c r="W578" s="14">
        <f>ROUNDDOWN((LEN(P578)+1)/2,0)</f>
        <v/>
      </c>
      <c r="X578" s="14">
        <f>ROUNDDOWN((LEN(Q578)+1)/2,0)</f>
        <v/>
      </c>
      <c r="Y578" s="14">
        <f>ROUNDDOWN((LEN(R578)+1)/2,0)</f>
        <v/>
      </c>
      <c r="Z578" s="14">
        <f>ROUNDDOWN((LEN(S578)+1)/2,0)</f>
        <v/>
      </c>
      <c r="AA578" s="56" t="n">
        <v>46150.55877357814</v>
      </c>
    </row>
    <row r="579" ht="102" customHeight="1">
      <c r="B579" s="46" t="inlineStr">
        <is>
          <t>U+23D00-U+23DFF</t>
        </is>
      </c>
      <c r="C579" s="46" t="inlineStr">
        <is>
          <t>CJK Unified Ideographs Extension B</t>
        </is>
      </c>
      <c r="D579" s="54">
        <f>HEX2DEC(MID(B579,3,FIND("-",E579)-3))</f>
        <v/>
      </c>
      <c r="E579" s="46" t="inlineStr">
        <is>
          <t>U+20000-U+2A6DF</t>
        </is>
      </c>
      <c r="F579" s="12" t="n">
        <v>4</v>
      </c>
      <c r="J579" s="19">
        <f>ROUNDDOWN(W579,0)/$V579</f>
        <v/>
      </c>
      <c r="K579" s="19">
        <f>ROUNDDOWN(X579,0)/$V579</f>
        <v/>
      </c>
      <c r="L579" s="19">
        <f>ROUNDDOWN(Y579,0)/$V579</f>
        <v/>
      </c>
      <c r="M579" s="19">
        <f>ROUNDDOWN(Z579,0)/$V579</f>
        <v/>
      </c>
      <c r="O579" s="36" t="inlineStr">
        <is>
          <t>𣰀 𣰁 𣰂 𣰃 𣰄 𣰅 𣰆 𣰇 𣰈 𣰉 𣰊 𣰋 𣰌 𣰍 𣰎 𣰏 𣰐 𣰑 𣰒 𣰓 𣰔 𣰕 𣰖 𣰗 𣰘 𣰙 𣰚 𣰛 𣰜 𣰝 𣰞 𣰟 𣰠 𣰡 𣰢 𣰣 𣰤 𣰥 𣰦 𣰧 𣰨 𣰩 𣰪 𣰫 𣰬 𣰭 𣰮 𣰯 𣰰 𣰱 𣰲 𣰳 𣰴 𣰵 𣰶 𣰷 𣰸 𣰹 𣰺 𣰻 𣰼 𣰽 𣰾 𣰿 𣱀 𣱁 𣱂 𣱃 𣱄 𣱅 𣱆 𣱇 𣱈 𣱉 𣱊 𣱋 𣱌 𣱍 𣱎 𣱏 𣱐 𣱑 𣱒 𣱓 𣱔 𣱕 𣱖 𣱗 𣱘 𣱙 𣱚 𣱛 𣱜 𣱝 𣱞 𣱟 𣱠 𣱡 𣱢 𣱣 𣱤 𣱥 𣱦 𣱧 𣱨 𣱩 𣱪 𣱫 𣱬 𣱭 𣱮 𣱯 𣱰 𣱱 𣱲 𣱳 𣱴 𣱵 𣱶 𣱷 𣱸 𣱹 𣱺 𣱻 𣱼 𣱽 𣱾 𣱿 𣲀 𣲁 𣲂 𣲃 𣲄 𣲅 𣲆 𣲇 𣲈 𣲉 𣲊 𣲋 𣲌 𣲍 𣲎 𣲏 𣲐 𣲑 𣲒 𣲓 𣲔 𣲕 𣲖 𣲗 𣲘 𣲙 𣲚 𣲛 𣲜 𣲝 𣲞 𣲟 𣲠 𣲡 𣲢 𣲣 𣲤 𣲥 𣲦 𣲧 𣲨 𣲩 𣲪 𣲫 𣲬 𣲭 𣲮 𣲯 𣲰 𣲱 𣲲 𣲳 𣲴 𣲵 𣲶 𣲷 𣲸 𣲹 𣲺 𣲻 𣲼 𣲽 𣲾 𣲿 𣳀 𣳁 𣳂 𣳃 𣳄 𣳅 𣳆 𣳇 𣳈 𣳉 𣳊 𣳋 𣳌 𣳍 𣳎 𣳏 𣳐 𣳑 𣳒 𣳓 𣳔 𣳕 𣳖 𣳗 𣳘 𣳙 𣳚 𣳛 𣳜 𣳝 𣳞 𣳟 𣳠 𣳡 𣳢 𣳣 𣳤 𣳥 𣳦 𣳧 𣳨 𣳩 𣳪 𣳫 𣳬 𣳭 𣳮 𣳯 𣳰 𣳱 𣳲 𣳳 𣳴 𣳵 𣳶 𣳷 𣳸 𣳹 𣳺 𣳻 𣳼 𣳽 𣳾 𣳿</t>
        </is>
      </c>
      <c r="P579" s="37" t="inlineStr">
        <is>
          <t>𣰀 𣰁 𣰂 𣰃 𣰄 𣰅 𣰆 𣰇 𣰈 𣰉 𣰊 𣰋 𣰌 𣰍 𣰎 𣰏 𣰐 𣰑 𣰒 𣰓 𣰔 𣰕 𣰖 𣰗 𣰘 𣰙 𣰚 𣰛 𣰜 𣰝 𣰞 𣰟 𣰠 𣰡 𣰢 𣰣 𣰤 𣰥 𣰦 𣰧 𣰨 𣰩 𣰪 𣰫 𣰬 𣰭 𣰮 𣰯 𣰰 𣰱 𣰲 𣰳 𣰴 𣰵 𣰶 𣰷 𣰸 𣰹 𣰺 𣰻 𣰼 𣰽 𣰾 𣰿 𣱀 𣱁 𣱂 𣱃 𣱄 𣱅 𣱆 𣱇 𣱈 𣱉 𣱊 𣱋 𣱌 𣱍 𣱎 𣱏 𣱐 𣱑 𣱒 𣱓 𣱔 𣱕 𣱖 𣱗 𣱘 𣱙 𣱚 𣱛 𣱜 𣱝 𣱞 𣱟 𣱠 𣱡 𣱢 𣱣 𣱤 𣱥 𣱦 𣱧 𣱨 𣱩 𣱪 𣱫 𣱬 𣱭 𣱮 𣱯 𣱰 𣱱 𣱲 𣱳 𣱴 𣱵 𣱶 𣱷 𣱸 𣱹 𣱺 𣱻 𣱼 𣱽 𣱾 𣱿 𣲀 𣲁 𣲂 𣲃 𣲄 𣲅 𣲆 𣲇 𣲈 𣲉 𣲊 𣲋 𣲌 𣲍 𣲎 𣲏 𣲐 𣲑 𣲒 𣲓 𣲔 𣲕 𣲖 𣲗 𣲘 𣲙 𣲚 𣲛 𣲜 𣲝 𣲞 𣲟 𣲠 𣲡 𣲢 𣲣 𣲤 𣲥 𣲦 𣲧 𣲨 𣲩 𣲪 𣲫 𣲬 𣲭 𣲮 𣲯 𣲰 𣲱 𣲲 𣲳 𣲴 𣲵 𣲶 𣲷 𣲸 𣲹 𣲺 𣲻 𣲼 𣲽 𣲾 𣲿 𣳀 𣳁 𣳂 𣳃 𣳄 𣳅 𣳆 𣳇 𣳈 𣳉 𣳊 𣳋 𣳌 𣳍 𣳎 𣳏 𣳐 𣳑 𣳒 𣳓 𣳔 𣳕 𣳖 𣳗 𣳘 𣳙 𣳚 𣳛 𣳜 𣳝 𣳞 𣳟 𣳠 𣳡 𣳢 𣳣 𣳤 𣳥 𣳦 𣳧 𣳨 𣳩 𣳪 𣳫 𣳬 𣳭 𣳮 𣳯 𣳰 𣳱 𣳲 𣳳 𣳴 𣳵 𣳶 𣳷 𣳸 𣳹 𣳺 𣳻 𣳼 𣳽 𣳾 𣳿</t>
        </is>
      </c>
      <c r="Q579" s="38" t="inlineStr">
        <is>
          <t>𣰀 𣰁 𣰂 𣰃 𣰄 𣰅 𣰆 𣰇 𣰈 𣰉 𣰊 𣰋 𣰌 𣰍 𣰎 𣰏 𣰐 𣰑 𣰒 𣰓 𣰔 𣰕 𣰖 𣰗 𣰘 𣰙 𣰚 𣰛 𣰜 𣰝 𣰞 𣰟 𣰠 𣰡 𣰢 𣰣 𣰤 𣰥 𣰦 𣰧 𣰨 𣰩 𣰪 𣰫 𣰬 𣰭 𣰮 𣰯 𣰰 𣰱 𣰲 𣰳 𣰴 𣰵 𣰶 𣰷 𣰸 𣰹 𣰺 𣰻 𣰼 𣰽 𣰾 𣰿 𣱀 𣱁 𣱂 𣱃 𣱄 𣱅 𣱆 𣱇 𣱈 𣱉 𣱊 𣱋 𣱌 𣱍 𣱎 𣱏 𣱐 𣱑 𣱒 𣱓 𣱔 𣱕 𣱖 𣱗 𣱘 𣱙 𣱚 𣱛 𣱜 𣱝 𣱞 𣱟 𣱠 𣱡 𣱢 𣱣 𣱤 𣱥 𣱦 𣱧 𣱨 𣱩 𣱪 𣱫 𣱬 𣱭 𣱮 𣱯 𣱰 𣱱 𣱲 𣱳 𣱴 𣱵 𣱶 𣱷 𣱸 𣱹 𣱺 𣱻 𣱼 𣱽 𣱾 𣱿 𣲀 𣲁 𣲂 𣲃 𣲄 𣲅 𣲆 𣲇 𣲈 𣲉 𣲊 𣲋 𣲌 𣲍 𣲎 𣲏 𣲐 𣲑 𣲒 𣲓 𣲔 𣲕 𣲖 𣲗 𣲘 𣲙 𣲚 𣲛 𣲜 𣲝 𣲞 𣲟 𣲠 𣲡 𣲢 𣲣 𣲤 𣲥 𣲦 𣲧 𣲨 𣲩 𣲪 𣲫 𣲬 𣲭 𣲮 𣲯 𣲰 𣲱 𣲲 𣲳 𣲴 𣲵 𣲶 𣲷 𣲸 𣲹 𣲺 𣲻 𣲼 𣲽 𣲾 𣲿 𣳀 𣳁 𣳂 𣳃 𣳄 𣳅 𣳆 𣳇 𣳈 𣳉 𣳊 𣳋 𣳌 𣳍 𣳎 𣳏 𣳐 𣳑 𣳒 𣳓 𣳔 𣳕 𣳖 𣳗 𣳘 𣳙 𣳚 𣳛 𣳜 𣳝 𣳞 𣳟 𣳠 𣳡 𣳢 𣳣 𣳤 𣳥 𣳦 𣳧 𣳨 𣳩 𣳪 𣳫 𣳬 𣳭 𣳮 𣳯 𣳰 𣳱 𣳲 𣳳 𣳴 𣳵 𣳶 𣳷 𣳸 𣳹 𣳺 𣳻 𣳼 𣳽 𣳾 𣳿</t>
        </is>
      </c>
      <c r="R579" s="43" t="inlineStr">
        <is>
          <t>𣱝 𣱿 𣲘 𣳾</t>
        </is>
      </c>
      <c r="S579" s="40" t="n"/>
      <c r="V579" s="14">
        <f>(LEN(O579)+1)/2</f>
        <v/>
      </c>
      <c r="W579" s="14">
        <f>ROUNDDOWN((LEN(P579)+1)/2,0)</f>
        <v/>
      </c>
      <c r="X579" s="14">
        <f>ROUNDDOWN((LEN(Q579)+1)/2,0)</f>
        <v/>
      </c>
      <c r="Y579" s="14">
        <f>ROUNDDOWN((LEN(R579)+1)/2,0)</f>
        <v/>
      </c>
      <c r="Z579" s="14">
        <f>ROUNDDOWN((LEN(S579)+1)/2,0)</f>
        <v/>
      </c>
      <c r="AA579" s="56" t="n">
        <v>46150.55877478059</v>
      </c>
    </row>
    <row r="580" ht="102" customHeight="1">
      <c r="B580" s="46" t="inlineStr">
        <is>
          <t>U+23E00-U+23EFF</t>
        </is>
      </c>
      <c r="C580" s="46" t="inlineStr">
        <is>
          <t>CJK Unified Ideographs Extension B</t>
        </is>
      </c>
      <c r="D580" s="54">
        <f>HEX2DEC(MID(B580,3,FIND("-",E580)-3))</f>
        <v/>
      </c>
      <c r="E580" s="46" t="inlineStr">
        <is>
          <t>U+20000-U+2A6DF</t>
        </is>
      </c>
      <c r="F580" s="12" t="n">
        <v>4</v>
      </c>
      <c r="J580" s="19">
        <f>ROUNDDOWN(W580,0)/$V580</f>
        <v/>
      </c>
      <c r="K580" s="19">
        <f>ROUNDDOWN(X580,0)/$V580</f>
        <v/>
      </c>
      <c r="L580" s="19">
        <f>ROUNDDOWN(Y580,0)/$V580</f>
        <v/>
      </c>
      <c r="M580" s="19">
        <f>ROUNDDOWN(Z580,0)/$V580</f>
        <v/>
      </c>
      <c r="O580" s="36" t="inlineStr">
        <is>
          <t>𣴀 𣴁 𣴂 𣴃 𣴄 𣴅 𣴆 𣴇 𣴈 𣴉 𣴊 𣴋 𣴌 𣴍 𣴎 𣴏 𣴐 𣴑 𣴒 𣴓 𣴔 𣴕 𣴖 𣴗 𣴘 𣴙 𣴚 𣴛 𣴜 𣴝 𣴞 𣴟 𣴠 𣴡 𣴢 𣴣 𣴤 𣴥 𣴦 𣴧 𣴨 𣴩 𣴪 𣴫 𣴬 𣴭 𣴮 𣴯 𣴰 𣴱 𣴲 𣴳 𣴴 𣴵 𣴶 𣴷 𣴸 𣴹 𣴺 𣴻 𣴼 𣴽 𣴾 𣴿 𣵀 𣵁 𣵂 𣵃 𣵄 𣵅 𣵆 𣵇 𣵈 𣵉 𣵊 𣵋 𣵌 𣵍 𣵎 𣵏 𣵐 𣵑 𣵒 𣵓 𣵔 𣵕 𣵖 𣵗 𣵘 𣵙 𣵚 𣵛 𣵜 𣵝 𣵞 𣵟 𣵠 𣵡 𣵢 𣵣 𣵤 𣵥 𣵦 𣵧 𣵨 𣵩 𣵪 𣵫 𣵬 𣵭 𣵮 𣵯 𣵰 𣵱 𣵲 𣵳 𣵴 𣵵 𣵶 𣵷 𣵸 𣵹 𣵺 𣵻 𣵼 𣵽 𣵾 𣵿 𣶀 𣶁 𣶂 𣶃 𣶄 𣶅 𣶆 𣶇 𣶈 𣶉 𣶊 𣶋 𣶌 𣶍 𣶎 𣶏 𣶐 𣶑 𣶒 𣶓 𣶔 𣶕 𣶖 𣶗 𣶘 𣶙 𣶚 𣶛 𣶜 𣶝 𣶞 𣶟 𣶠 𣶡 𣶢 𣶣 𣶤 𣶥 𣶦 𣶧 𣶨 𣶩 𣶪 𣶫 𣶬 𣶭 𣶮 𣶯 𣶰 𣶱 𣶲 𣶳 𣶴 𣶵 𣶶 𣶷 𣶸 𣶹 𣶺 𣶻 𣶼 𣶽 𣶾 𣶿 𣷀 𣷁 𣷂 𣷃 𣷄 𣷅 𣷆 𣷇 𣷈 𣷉 𣷊 𣷋 𣷌 𣷍 𣷎 𣷏 𣷐 𣷑 𣷒 𣷓 𣷔 𣷕 𣷖 𣷗 𣷘 𣷙 𣷚 𣷛 𣷜 𣷝 𣷞 𣷟 𣷠 𣷡 𣷢 𣷣 𣷤 𣷥 𣷦 𣷧 𣷨 𣷩 𣷪 𣷫 𣷬 𣷭 𣷮 𣷯 𣷰 𣷱 𣷲 𣷳 𣷴 𣷵 𣷶 𣷷 𣷸 𣷹 𣷺 𣷻 𣷼 𣷽 𣷾 𣷿</t>
        </is>
      </c>
      <c r="P580" s="37" t="inlineStr">
        <is>
          <t>𣴀 𣴁 𣴂 𣴃 𣴄 𣴅 𣴆 𣴇 𣴈 𣴉 𣴊 𣴋 𣴌 𣴍 𣴎 𣴏 𣴐 𣴑 𣴒 𣴓 𣴔 𣴕 𣴖 𣴗 𣴘 𣴙 𣴚 𣴛 𣴜 𣴝 𣴞 𣴟 𣴠 𣴡 𣴢 𣴣 𣴤 𣴥 𣴦 𣴧 𣴨 𣴩 𣴪 𣴫 𣴬 𣴭 𣴮 𣴯 𣴰 𣴱 𣴲 𣴳 𣴴 𣴵 𣴶 𣴷 𣴸 𣴹 𣴺 𣴻 𣴼 𣴽 𣴾 𣴿 𣵀 𣵁 𣵂 𣵃 𣵄 𣵅 𣵆 𣵇 𣵈 𣵉 𣵊 𣵋 𣵌 𣵍 𣵎 𣵏 𣵐 𣵑 𣵒 𣵓 𣵔 𣵕 𣵖 𣵗 𣵘 𣵙 𣵚 𣵛 𣵜 𣵝 𣵞 𣵟 𣵠 𣵡 𣵢 𣵣 𣵤 𣵥 𣵦 𣵧 𣵨 𣵩 𣵪 𣵫 𣵬 𣵭 𣵮 𣵯 𣵰 𣵱 𣵲 𣵳 𣵴 𣵵 𣵶 𣵷 𣵸 𣵹 𣵺 𣵻 𣵼 𣵽 𣵾 𣵿 𣶀 𣶁 𣶂 𣶃 𣶄 𣶅 𣶆 𣶇 𣶈 𣶉 𣶊 𣶋 𣶌 𣶍 𣶎 𣶏 𣶐 𣶑 𣶒 𣶓 𣶔 𣶕 𣶖 𣶗 𣶘 𣶙 𣶚 𣶛 𣶜 𣶝 𣶞 𣶟 𣶠 𣶡 𣶢 𣶣 𣶤 𣶥 𣶦 𣶧 𣶨 𣶩 𣶪 𣶫 𣶬 𣶭 𣶮 𣶯 𣶰 𣶱 𣶲 𣶳 𣶴 𣶵 𣶶 𣶷 𣶸 𣶹 𣶺 𣶻 𣶼 𣶽 𣶾 𣶿 𣷀 𣷁 𣷂 𣷃 𣷄 𣷅 𣷆 𣷇 𣷈 𣷉 𣷊 𣷋 𣷌 𣷍 𣷎 𣷏 𣷐 𣷑 𣷒 𣷓 𣷔 𣷕 𣷖 𣷗 𣷘 𣷙 𣷚 𣷛 𣷜 𣷝 𣷞 𣷟 𣷠 𣷡 𣷢 𣷣 𣷤 𣷥 𣷦 𣷧 𣷨 𣷩 𣷪 𣷫 𣷬 𣷭 𣷮 𣷯 𣷰 𣷱 𣷲 𣷳 𣷴 𣷵 𣷶 𣷷 𣷸 𣷹 𣷺 𣷻 𣷼 𣷽 𣷾 𣷿</t>
        </is>
      </c>
      <c r="Q580" s="38" t="inlineStr">
        <is>
          <t>𣴀 𣴁 𣴂 𣴃 𣴄 𣴅 𣴆 𣴇 𣴈 𣴉 𣴊 𣴋 𣴌 𣴍 𣴎 𣴏 𣴐 𣴑 𣴒 𣴓 𣴔 𣴕 𣴖 𣴗 𣴘 𣴙 𣴚 𣴛 𣴜 𣴝 𣴞 𣴟 𣴠 𣴡 𣴢 𣴣 𣴤 𣴥 𣴦 𣴧 𣴨 𣴩 𣴪 𣴫 𣴬 𣴭 𣴮 𣴯 𣴰 𣴱 𣴲 𣴳 𣴴 𣴵 𣴶 𣴷 𣴸 𣴹 𣴺 𣴻 𣴼 𣴽 𣴾 𣴿 𣵀 𣵁 𣵂 𣵃 𣵄 𣵅 𣵆 𣵇 𣵈 𣵉 𣵊 𣵋 𣵌 𣵍 𣵎 𣵏 𣵐 𣵑 𣵒 𣵓 𣵔 𣵕 𣵖 𣵗 𣵘 𣵙 𣵚 𣵛 𣵜 𣵝 𣵞 𣵟 𣵠 𣵡 𣵢 𣵣 𣵤 𣵥 𣵦 𣵧 𣵨 𣵩 𣵪 𣵫 𣵬 𣵭 𣵮 𣵯 𣵰 𣵱 𣵲 𣵳 𣵴 𣵵 𣵶 𣵷 𣵸 𣵹 𣵺 𣵻 𣵼 𣵽 𣵾 𣵿 𣶀 𣶁 𣶂 𣶃 𣶄 𣶅 𣶆 𣶇 𣶈 𣶉 𣶊 𣶋 𣶌 𣶍 𣶎 𣶏 𣶐 𣶑 𣶒 𣶓 𣶔 𣶕 𣶖 𣶗 𣶘 𣶙 𣶚 𣶛 𣶜 𣶝 𣶞 𣶟 𣶠 𣶡 𣶢 𣶣 𣶤 𣶥 𣶦 𣶧 𣶨 𣶩 𣶪 𣶫 𣶬 𣶭 𣶮 𣶯 𣶰 𣶱 𣶲 𣶳 𣶴 𣶵 𣶶 𣶷 𣶸 𣶹 𣶺 𣶻 𣶼 𣶽 𣶾 𣶿 𣷀 𣷁 𣷂 𣷃 𣷄 𣷅 𣷆 𣷇 𣷈 𣷉 𣷊 𣷋 𣷌 𣷍 𣷎 𣷏 𣷐 𣷑 𣷒 𣷓 𣷔 𣷕 𣷖 𣷗 𣷘 𣷙 𣷚 𣷛 𣷜 𣷝 𣷞 𣷟 𣷠 𣷡 𣷢 𣷣 𣷤 𣷥 𣷦 𣷧 𣷨 𣷩 𣷪 𣷫 𣷬 𣷭 𣷮 𣷯 𣷰 𣷱 𣷲 𣷳 𣷴 𣷵 𣷶 𣷷 𣷸 𣷹 𣷺 𣷻 𣷼 𣷽 𣷾 𣷿</t>
        </is>
      </c>
      <c r="R580" s="43" t="inlineStr">
        <is>
          <t>𣴀 𣴎 𣵦 𣷓 𣷹 𣷺</t>
        </is>
      </c>
      <c r="S580" s="40" t="n"/>
      <c r="V580" s="14">
        <f>(LEN(O580)+1)/2</f>
        <v/>
      </c>
      <c r="W580" s="14">
        <f>ROUNDDOWN((LEN(P580)+1)/2,0)</f>
        <v/>
      </c>
      <c r="X580" s="14">
        <f>ROUNDDOWN((LEN(Q580)+1)/2,0)</f>
        <v/>
      </c>
      <c r="Y580" s="14">
        <f>ROUNDDOWN((LEN(R580)+1)/2,0)</f>
        <v/>
      </c>
      <c r="Z580" s="14">
        <f>ROUNDDOWN((LEN(S580)+1)/2,0)</f>
        <v/>
      </c>
      <c r="AA580" s="56" t="n">
        <v>46150.5587758937</v>
      </c>
    </row>
    <row r="581" ht="102" customHeight="1">
      <c r="B581" s="46" t="inlineStr">
        <is>
          <t>U+23F00-U+23FFF</t>
        </is>
      </c>
      <c r="C581" s="46" t="inlineStr">
        <is>
          <t>CJK Unified Ideographs Extension B</t>
        </is>
      </c>
      <c r="D581" s="54">
        <f>HEX2DEC(MID(B581,3,FIND("-",E581)-3))</f>
        <v/>
      </c>
      <c r="E581" s="46" t="inlineStr">
        <is>
          <t>U+20000-U+2A6DF</t>
        </is>
      </c>
      <c r="F581" s="12" t="n">
        <v>4</v>
      </c>
      <c r="J581" s="19">
        <f>ROUNDDOWN(W581,0)/$V581</f>
        <v/>
      </c>
      <c r="K581" s="19">
        <f>ROUNDDOWN(X581,0)/$V581</f>
        <v/>
      </c>
      <c r="L581" s="19">
        <f>ROUNDDOWN(Y581,0)/$V581</f>
        <v/>
      </c>
      <c r="M581" s="19">
        <f>ROUNDDOWN(Z581,0)/$V581</f>
        <v/>
      </c>
      <c r="O581" s="36" t="inlineStr">
        <is>
          <t>𣸀 𣸁 𣸂 𣸃 𣸄 𣸅 𣸆 𣸇 𣸈 𣸉 𣸊 𣸋 𣸌 𣸍 𣸎 𣸏 𣸐 𣸑 𣸒 𣸓 𣸔 𣸕 𣸖 𣸗 𣸘 𣸙 𣸚 𣸛 𣸜 𣸝 𣸞 𣸟 𣸠 𣸡 𣸢 𣸣 𣸤 𣸥 𣸦 𣸧 𣸨 𣸩 𣸪 𣸫 𣸬 𣸭 𣸮 𣸯 𣸰 𣸱 𣸲 𣸳 𣸴 𣸵 𣸶 𣸷 𣸸 𣸹 𣸺 𣸻 𣸼 𣸽 𣸾 𣸿 𣹀 𣹁 𣹂 𣹃 𣹄 𣹅 𣹆 𣹇 𣹈 𣹉 𣹊 𣹋 𣹌 𣹍 𣹎 𣹏 𣹐 𣹑 𣹒 𣹓 𣹔 𣹕 𣹖 𣹗 𣹘 𣹙 𣹚 𣹛 𣹜 𣹝 𣹞 𣹟 𣹠 𣹡 𣹢 𣹣 𣹤 𣹥 𣹦 𣹧 𣹨 𣹩 𣹪 𣹫 𣹬 𣹭 𣹮 𣹯 𣹰 𣹱 𣹲 𣹳 𣹴 𣹵 𣹶 𣹷 𣹸 𣹹 𣹺 𣹻 𣹼 𣹽 𣹾 𣹿 𣺀 𣺁 𣺂 𣺃 𣺄 𣺅 𣺆 𣺇 𣺈 𣺉 𣺊 𣺋 𣺌 𣺍 𣺎 𣺏 𣺐 𣺑 𣺒 𣺓 𣺔 𣺕 𣺖 𣺗 𣺘 𣺙 𣺚 𣺛 𣺜 𣺝 𣺞 𣺟 𣺠 𣺡 𣺢 𣺣 𣺤 𣺥 𣺦 𣺧 𣺨 𣺩 𣺪 𣺫 𣺬 𣺭 𣺮 𣺯 𣺰 𣺱 𣺲 𣺳 𣺴 𣺵 𣺶 𣺷 𣺸 𣺹 𣺺 𣺻 𣺼 𣺽 𣺾 𣺿 𣻀 𣻁 𣻂 𣻃 𣻄 𣻅 𣻆 𣻇 𣻈 𣻉 𣻊 𣻋 𣻌 𣻍 𣻎 𣻏 𣻐 𣻑 𣻒 𣻓 𣻔 𣻕 𣻖 𣻗 𣻘 𣻙 𣻚 𣻛 𣻜 𣻝 𣻞 𣻟 𣻠 𣻡 𣻢 𣻣 𣻤 𣻥 𣻦 𣻧 𣻨 𣻩 𣻪 𣻫 𣻬 𣻭 𣻮 𣻯 𣻰 𣻱 𣻲 𣻳 𣻴 𣻵 𣻶 𣻷 𣻸 𣻹 𣻺 𣻻 𣻼 𣻽 𣻾 𣻿</t>
        </is>
      </c>
      <c r="P581" s="37" t="inlineStr">
        <is>
          <t>𣸀 𣸁 𣸂 𣸃 𣸄 𣸅 𣸆 𣸇 𣸈 𣸉 𣸊 𣸋 𣸌 𣸍 𣸎 𣸏 𣸐 𣸑 𣸒 𣸓 𣸔 𣸕 𣸖 𣸗 𣸘 𣸙 𣸚 𣸛 𣸜 𣸝 𣸞 𣸟 𣸠 𣸡 𣸢 𣸣 𣸤 𣸥 𣸦 𣸧 𣸨 𣸩 𣸪 𣸫 𣸬 𣸭 𣸮 𣸯 𣸰 𣸱 𣸲 𣸳 𣸴 𣸵 𣸶 𣸷 𣸸 𣸹 𣸺 𣸻 𣸼 𣸽 𣸾 𣸿 𣹀 𣹁 𣹂 𣹃 𣹄 𣹅 𣹆 𣹇 𣹈 𣹉 𣹊 𣹋 𣹌 𣹍 𣹎 𣹏 𣹐 𣹑 𣹒 𣹓 𣹔 𣹕 𣹖 𣹗 𣹘 𣹙 𣹚 𣹛 𣹜 𣹝 𣹞 𣹟 𣹠 𣹡 𣹢 𣹣 𣹤 𣹥 𣹦 𣹧 𣹨 𣹩 𣹪 𣹫 𣹬 𣹭 𣹮 𣹯 𣹰 𣹱 𣹲 𣹳 𣹴 𣹵 𣹶 𣹷 𣹸 𣹹 𣹺 𣹻 𣹼 𣹽 𣹾 𣹿 𣺀 𣺁 𣺂 𣺃 𣺄 𣺅 𣺆 𣺇 𣺈 𣺉 𣺊 𣺋 𣺌 𣺍 𣺎 𣺏 𣺐 𣺑 𣺒 𣺓 𣺔 𣺕 𣺖 𣺗 𣺘 𣺙 𣺚 𣺛 𣺜 𣺝 𣺞 𣺟 𣺠 𣺡 𣺢 𣺣 𣺤 𣺥 𣺦 𣺧 𣺨 𣺩 𣺪 𣺫 𣺬 𣺭 𣺮 𣺯 𣺰 𣺱 𣺲 𣺳 𣺴 𣺵 𣺶 𣺷 𣺸 𣺹 𣺺 𣺻 𣺼 𣺽 𣺾 𣺿 𣻀 𣻁 𣻂 𣻃 𣻄 𣻅 𣻆 𣻇 𣻈 𣻉 𣻊 𣻋 𣻌 𣻍 𣻎 𣻏 𣻐 𣻑 𣻒 𣻓 𣻔 𣻕 𣻖 𣻗 𣻘 𣻙 𣻚 𣻛 𣻜 𣻝 𣻞 𣻟 𣻠 𣻡 𣻢 𣻣 𣻤 𣻥 𣻦 𣻧 𣻨 𣻩 𣻪 𣻫 𣻬 𣻭 𣻮 𣻯 𣻰 𣻱 𣻲 𣻳 𣻴 𣻵 𣻶 𣻷 𣻸 𣻹 𣻺 𣻻 𣻼 𣻽 𣻾 𣻿</t>
        </is>
      </c>
      <c r="Q581" s="38" t="inlineStr">
        <is>
          <t>𣸀 𣸁 𣸂 𣸃 𣸄 𣸅 𣸆 𣸇 𣸈 𣸉 𣸊 𣸋 𣸌 𣸍 𣸎 𣸏 𣸐 𣸑 𣸒 𣸓 𣸔 𣸕 𣸖 𣸗 𣸘 𣸙 𣸚 𣸛 𣸜 𣸝 𣸞 𣸟 𣸠 𣸡 𣸢 𣸣 𣸤 𣸥 𣸦 𣸧 𣸨 𣸩 𣸪 𣸫 𣸬 𣸭 𣸮 𣸯 𣸰 𣸱 𣸲 𣸳 𣸴 𣸵 𣸶 𣸷 𣸸 𣸹 𣸺 𣸻 𣸼 𣸽 𣸾 𣸿 𣹀 𣹁 𣹂 𣹃 𣹄 𣹅 𣹆 𣹇 𣹈 𣹉 𣹊 𣹋 𣹌 𣹍 𣹎 𣹏 𣹐 𣹑 𣹒 𣹓 𣹔 𣹕 𣹖 𣹗 𣹘 𣹙 𣹚 𣹛 𣹜 𣹝 𣹞 𣹟 𣹠 𣹡 𣹢 𣹣 𣹤 𣹥 𣹦 𣹧 𣹨 𣹩 𣹪 𣹫 𣹬 𣹭 𣹮 𣹯 𣹰 𣹱 𣹲 𣹳 𣹴 𣹵 𣹶 𣹷 𣹸 𣹹 𣹺 𣹻 𣹼 𣹽 𣹾 𣹿 𣺀 𣺁 𣺂 𣺃 𣺄 𣺅 𣺆 𣺇 𣺈 𣺉 𣺊 𣺋 𣺌 𣺍 𣺎 𣺏 𣺐 𣺑 𣺒 𣺓 𣺔 𣺕 𣺖 𣺗 𣺘 𣺙 𣺚 𣺛 𣺜 𣺝 𣺞 𣺟 𣺠 𣺡 𣺢 𣺣 𣺤 𣺥 𣺦 𣺧 𣺨 𣺩 𣺪 𣺫 𣺬 𣺭 𣺮 𣺯 𣺰 𣺱 𣺲 𣺳 𣺴 𣺵 𣺶 𣺷 𣺸 𣺹 𣺺 𣺻 𣺼 𣺽 𣺾 𣺿 𣻀 𣻁 𣻂 𣻃 𣻄 𣻅 𣻆 𣻇 𣻈 𣻉 𣻊 𣻋 𣻌 𣻍 𣻎 𣻏 𣻐 𣻑 𣻒 𣻓 𣻔 𣻕 𣻖 𣻗 𣻘 𣻙 𣻚 𣻛 𣻜 𣻝 𣻞 𣻟 𣻠 𣻡 𣻢 𣻣 𣻤 𣻥 𣻦 𣻧 𣻨 𣻩 𣻪 𣻫 𣻬 𣻭 𣻮 𣻯 𣻰 𣻱 𣻲 𣻳 𣻴 𣻵 𣻶 𣻷 𣻸 𣻹 𣻺 𣻻 𣻼 𣻽 𣻾 𣻿</t>
        </is>
      </c>
      <c r="R581" s="43" t="inlineStr">
        <is>
          <t>𣸣 𣻸</t>
        </is>
      </c>
      <c r="S581" s="40" t="n"/>
      <c r="V581" s="14">
        <f>(LEN(O581)+1)/2</f>
        <v/>
      </c>
      <c r="W581" s="14">
        <f>ROUNDDOWN((LEN(P581)+1)/2,0)</f>
        <v/>
      </c>
      <c r="X581" s="14">
        <f>ROUNDDOWN((LEN(Q581)+1)/2,0)</f>
        <v/>
      </c>
      <c r="Y581" s="14">
        <f>ROUNDDOWN((LEN(R581)+1)/2,0)</f>
        <v/>
      </c>
      <c r="Z581" s="14">
        <f>ROUNDDOWN((LEN(S581)+1)/2,0)</f>
        <v/>
      </c>
      <c r="AA581" s="56" t="n">
        <v>46150.55877701569</v>
      </c>
    </row>
    <row r="582" ht="102" customHeight="1">
      <c r="B582" s="46" t="inlineStr">
        <is>
          <t>U+24000-U+240FF</t>
        </is>
      </c>
      <c r="C582" s="46" t="inlineStr">
        <is>
          <t>CJK Unified Ideographs Extension B</t>
        </is>
      </c>
      <c r="D582" s="54">
        <f>HEX2DEC(MID(B582,3,FIND("-",E582)-3))</f>
        <v/>
      </c>
      <c r="E582" s="46" t="inlineStr">
        <is>
          <t>U+20000-U+2A6DF</t>
        </is>
      </c>
      <c r="F582" s="12" t="n">
        <v>4</v>
      </c>
      <c r="J582" s="19">
        <f>ROUNDDOWN(W582,0)/$V582</f>
        <v/>
      </c>
      <c r="K582" s="19">
        <f>ROUNDDOWN(X582,0)/$V582</f>
        <v/>
      </c>
      <c r="L582" s="19">
        <f>ROUNDDOWN(Y582,0)/$V582</f>
        <v/>
      </c>
      <c r="M582" s="19">
        <f>ROUNDDOWN(Z582,0)/$V582</f>
        <v/>
      </c>
      <c r="O582" s="36" t="inlineStr">
        <is>
          <t>𣼀 𣼁 𣼂 𣼃 𣼄 𣼅 𣼆 𣼇 𣼈 𣼉 𣼊 𣼋 𣼌 𣼍 𣼎 𣼏 𣼐 𣼑 𣼒 𣼓 𣼔 𣼕 𣼖 𣼗 𣼘 𣼙 𣼚 𣼛 𣼜 𣼝 𣼞 𣼟 𣼠 𣼡 𣼢 𣼣 𣼤 𣼥 𣼦 𣼧 𣼨 𣼩 𣼪 𣼫 𣼬 𣼭 𣼮 𣼯 𣼰 𣼱 𣼲 𣼳 𣼴 𣼵 𣼶 𣼷 𣼸 𣼹 𣼺 𣼻 𣼼 𣼽 𣼾 𣼿 𣽀 𣽁 𣽂 𣽃 𣽄 𣽅 𣽆 𣽇 𣽈 𣽉 𣽊 𣽋 𣽌 𣽍 𣽎 𣽏 𣽐 𣽑 𣽒 𣽓 𣽔 𣽕 𣽖 𣽗 𣽘 𣽙 𣽚 𣽛 𣽜 𣽝 𣽞 𣽟 𣽠 𣽡 𣽢 𣽣 𣽤 𣽥 𣽦 𣽧 𣽨 𣽩 𣽪 𣽫 𣽬 𣽭 𣽮 𣽯 𣽰 𣽱 𣽲 𣽳 𣽴 𣽵 𣽶 𣽷 𣽸 𣽹 𣽺 𣽻 𣽼 𣽽 𣽾 𣽿 𣾀 𣾁 𣾂 𣾃 𣾄 𣾅 𣾆 𣾇 𣾈 𣾉 𣾊 𣾋 𣾌 𣾍 𣾎 𣾏 𣾐 𣾑 𣾒 𣾓 𣾔 𣾕 𣾖 𣾗 𣾘 𣾙 𣾚 𣾛 𣾜 𣾝 𣾞 𣾟 𣾠 𣾡 𣾢 𣾣 𣾤 𣾥 𣾦 𣾧 𣾨 𣾩 𣾪 𣾫 𣾬 𣾭 𣾮 𣾯 𣾰 𣾱 𣾲 𣾳 𣾴 𣾵 𣾶 𣾷 𣾸 𣾹 𣾺 𣾻 𣾼 𣾽 𣾾 𣾿 𣿀 𣿁 𣿂 𣿃 𣿄 𣿅 𣿆 𣿇 𣿈 𣿉 𣿊 𣿋 𣿌 𣿍 𣿎 𣿏 𣿐 𣿑 𣿒 𣿓 𣿔 𣿕 𣿖 𣿗 𣿘 𣿙 𣿚 𣿛 𣿜 𣿝 𣿞 𣿟 𣿠 𣿡 𣿢 𣿣 𣿤 𣿥 𣿦 𣿧 𣿨 𣿩 𣿪 𣿫 𣿬 𣿭 𣿮 𣿯 𣿰 𣿱 𣿲 𣿳 𣿴 𣿵 𣿶 𣿷 𣿸 𣿹 𣿺 𣿻 𣿼 𣿽 𣿾 𣿿</t>
        </is>
      </c>
      <c r="P582" s="37" t="inlineStr">
        <is>
          <t>𣼀 𣼁 𣼂 𣼃 𣼄 𣼅 𣼆 𣼇 𣼈 𣼉 𣼊 𣼋 𣼌 𣼍 𣼎 𣼏 𣼐 𣼑 𣼒 𣼓 𣼔 𣼕 𣼖 𣼗 𣼘 𣼙 𣼚 𣼛 𣼜 𣼝 𣼞 𣼟 𣼠 𣼡 𣼢 𣼣 𣼤 𣼥 𣼦 𣼧 𣼨 𣼩 𣼪 𣼫 𣼬 𣼭 𣼮 𣼯 𣼰 𣼱 𣼲 𣼳 𣼴 𣼵 𣼶 𣼷 𣼸 𣼹 𣼺 𣼻 𣼼 𣼽 𣼾 𣼿 𣽀 𣽁 𣽂 𣽃 𣽄 𣽅 𣽆 𣽇 𣽈 𣽉 𣽊 𣽋 𣽌 𣽍 𣽎 𣽏 𣽐 𣽑 𣽒 𣽓 𣽔 𣽕 𣽖 𣽗 𣽘 𣽙 𣽚 𣽛 𣽜 𣽝 𣽞 𣽟 𣽠 𣽡 𣽢 𣽣 𣽤 𣽥 𣽦 𣽧 𣽨 𣽩 𣽪 𣽫 𣽬 𣽭 𣽮 𣽯 𣽰 𣽱 𣽲 𣽳 𣽴 𣽵 𣽶 𣽷 𣽸 𣽹 𣽺 𣽻 𣽼 𣽽 𣽾 𣽿 𣾀 𣾁 𣾂 𣾃 𣾄 𣾅 𣾆 𣾇 𣾈 𣾉 𣾊 𣾋 𣾌 𣾍 𣾎 𣾏 𣾐 𣾑 𣾒 𣾓 𣾔 𣾕 𣾖 𣾗 𣾘 𣾙 𣾚 𣾛 𣾜 𣾝 𣾞 𣾟 𣾠 𣾡 𣾢 𣾣 𣾤 𣾥 𣾦 𣾧 𣾨 𣾩 𣾪 𣾫 𣾬 𣾭 𣾮 𣾯 𣾰 𣾱 𣾲 𣾳 𣾴 𣾵 𣾶 𣾷 𣾸 𣾹 𣾺 𣾻 𣾼 𣾽 𣾾 𣾿 𣿀 𣿁 𣿂 𣿃 𣿄 𣿅 𣿆 𣿇 𣿈 𣿉 𣿊 𣿋 𣿌 𣿍 𣿎 𣿏 𣿐 𣿑 𣿒 𣿓 𣿔 𣿕 𣿖 𣿗 𣿘 𣿙 𣿚 𣿛 𣿜 𣿝 𣿞 𣿟 𣿠 𣿡 𣿢 𣿣 𣿤 𣿥 𣿦 𣿧 𣿨 𣿩 𣿪 𣿫 𣿬 𣿭 𣿮 𣿯 𣿰 𣿱 𣿲 𣿳 𣿴 𣿵 𣿶 𣿷 𣿸 𣿹 𣿺 𣿻 𣿼 𣿽 𣿾 𣿿</t>
        </is>
      </c>
      <c r="Q582" s="38" t="inlineStr">
        <is>
          <t>𣼀 𣼁 𣼂 𣼃 𣼄 𣼅 𣼆 𣼇 𣼈 𣼉 𣼊 𣼋 𣼌 𣼍 𣼎 𣼏 𣼐 𣼑 𣼒 𣼓 𣼔 𣼕 𣼖 𣼗 𣼘 𣼙 𣼚 𣼛 𣼜 𣼝 𣼞 𣼟 𣼠 𣼡 𣼢 𣼣 𣼤 𣼥 𣼦 𣼧 𣼨 𣼩 𣼪 𣼫 𣼬 𣼭 𣼮 𣼯 𣼰 𣼱 𣼲 𣼳 𣼴 𣼵 𣼶 𣼷 𣼸 𣼹 𣼺 𣼻 𣼼 𣼽 𣼾 𣼿 𣽀 𣽁 𣽂 𣽃 𣽄 𣽅 𣽆 𣽇 𣽈 𣽉 𣽊 𣽋 𣽌 𣽍 𣽎 𣽏 𣽐 𣽑 𣽒 𣽓 𣽔 𣽕 𣽖 𣽗 𣽘 𣽙 𣽚 𣽛 𣽜 𣽝 𣽞 𣽟 𣽠 𣽡 𣽢 𣽣 𣽤 𣽥 𣽦 𣽧 𣽨 𣽩 𣽪 𣽫 𣽬 𣽭 𣽮 𣽯 𣽰 𣽱 𣽲 𣽳 𣽴 𣽵 𣽶 𣽷 𣽸 𣽹 𣽺 𣽻 𣽼 𣽽 𣽾 𣽿 𣾀 𣾁 𣾂 𣾃 𣾄 𣾅 𣾆 𣾇 𣾈 𣾉 𣾊 𣾋 𣾌 𣾍 𣾎 𣾏 𣾐 𣾑 𣾒 𣾓 𣾔 𣾕 𣾖 𣾗 𣾘 𣾙 𣾚 𣾛 𣾜 𣾝 𣾞 𣾟 𣾠 𣾡 𣾢 𣾣 𣾤 𣾥 𣾦 𣾧 𣾨 𣾩 𣾪 𣾫 𣾬 𣾭 𣾮 𣾯 𣾰 𣾱 𣾲 𣾳 𣾴 𣾵 𣾶 𣾷 𣾸 𣾹 𣾺 𣾻 𣾼 𣾽 𣾾 𣾿 𣿀 𣿁 𣿂 𣿃 𣿄 𣿅 𣿆 𣿇 𣿈 𣿉 𣿊 𣿋 𣿌 𣿍 𣿎 𣿏 𣿐 𣿑 𣿒 𣿓 𣿔 𣿕 𣿖 𣿗 𣿘 𣿙 𣿚 𣿛 𣿜 𣿝 𣿞 𣿟 𣿠 𣿡 𣿢 𣿣 𣿤 𣿥 𣿦 𣿧 𣿨 𣿩 𣿪 𣿫 𣿬 𣿭 𣿮 𣿯 𣿰 𣿱 𣿲 𣿳 𣿴 𣿵 𣿶 𣿷 𣿸 𣿹 𣿺 𣿻 𣿼 𣿽 𣿾 𣿿</t>
        </is>
      </c>
      <c r="R582" s="43" t="inlineStr">
        <is>
          <t>𣼎 𣽾</t>
        </is>
      </c>
      <c r="S582" s="40" t="n"/>
      <c r="V582" s="14">
        <f>(LEN(O582)+1)/2</f>
        <v/>
      </c>
      <c r="W582" s="14">
        <f>ROUNDDOWN((LEN(P582)+1)/2,0)</f>
        <v/>
      </c>
      <c r="X582" s="14">
        <f>ROUNDDOWN((LEN(Q582)+1)/2,0)</f>
        <v/>
      </c>
      <c r="Y582" s="14">
        <f>ROUNDDOWN((LEN(R582)+1)/2,0)</f>
        <v/>
      </c>
      <c r="Z582" s="14">
        <f>ROUNDDOWN((LEN(S582)+1)/2,0)</f>
        <v/>
      </c>
      <c r="AA582" s="56" t="n">
        <v>46150.55877811119</v>
      </c>
    </row>
    <row r="583" ht="102" customHeight="1">
      <c r="B583" s="46" t="inlineStr">
        <is>
          <t>U+24100-U+241FF</t>
        </is>
      </c>
      <c r="C583" s="46" t="inlineStr">
        <is>
          <t>CJK Unified Ideographs Extension B</t>
        </is>
      </c>
      <c r="D583" s="54">
        <f>HEX2DEC(MID(B583,3,FIND("-",E583)-3))</f>
        <v/>
      </c>
      <c r="E583" s="46" t="inlineStr">
        <is>
          <t>U+20000-U+2A6DF</t>
        </is>
      </c>
      <c r="F583" s="12" t="n">
        <v>4</v>
      </c>
      <c r="J583" s="19">
        <f>ROUNDDOWN(W583,0)/$V583</f>
        <v/>
      </c>
      <c r="K583" s="19">
        <f>ROUNDDOWN(X583,0)/$V583</f>
        <v/>
      </c>
      <c r="L583" s="19">
        <f>ROUNDDOWN(Y583,0)/$V583</f>
        <v/>
      </c>
      <c r="M583" s="19">
        <f>ROUNDDOWN(Z583,0)/$V583</f>
        <v/>
      </c>
      <c r="O583" s="36" t="inlineStr">
        <is>
          <t>𤀀 𤀁 𤀂 𤀃 𤀄 𤀅 𤀆 𤀇 𤀈 𤀉 𤀊 𤀋 𤀌 𤀍 𤀎 𤀏 𤀐 𤀑 𤀒 𤀓 𤀔 𤀕 𤀖 𤀗 𤀘 𤀙 𤀚 𤀛 𤀜 𤀝 𤀞 𤀟 𤀠 𤀡 𤀢 𤀣 𤀤 𤀥 𤀦 𤀧 𤀨 𤀩 𤀪 𤀫 𤀬 𤀭 𤀮 𤀯 𤀰 𤀱 𤀲 𤀳 𤀴 𤀵 𤀶 𤀷 𤀸 𤀹 𤀺 𤀻 𤀼 𤀽 𤀾 𤀿 𤁀 𤁁 𤁂 𤁃 𤁄 𤁅 𤁆 𤁇 𤁈 𤁉 𤁊 𤁋 𤁌 𤁍 𤁎 𤁏 𤁐 𤁑 𤁒 𤁓 𤁔 𤁕 𤁖 𤁗 𤁘 𤁙 𤁚 𤁛 𤁜 𤁝 𤁞 𤁟 𤁠 𤁡 𤁢 𤁣 𤁤 𤁥 𤁦 𤁧 𤁨 𤁩 𤁪 𤁫 𤁬 𤁭 𤁮 𤁯 𤁰 𤁱 𤁲 𤁳 𤁴 𤁵 𤁶 𤁷 𤁸 𤁹 𤁺 𤁻 𤁼 𤁽 𤁾 𤁿 𤂀 𤂁 𤂂 𤂃 𤂄 𤂅 𤂆 𤂇 𤂈 𤂉 𤂊 𤂋 𤂌 𤂍 𤂎 𤂏 𤂐 𤂑 𤂒 𤂓 𤂔 𤂕 𤂖 𤂗 𤂘 𤂙 𤂚 𤂛 𤂜 𤂝 𤂞 𤂟 𤂠 𤂡 𤂢 𤂣 𤂤 𤂥 𤂦 𤂧 𤂨 𤂩 𤂪 𤂫 𤂬 𤂭 𤂮 𤂯 𤂰 𤂱 𤂲 𤂳 𤂴 𤂵 𤂶 𤂷 𤂸 𤂹 𤂺 𤂻 𤂼 𤂽 𤂾 𤂿 𤃀 𤃁 𤃂 𤃃 𤃄 𤃅 𤃆 𤃇 𤃈 𤃉 𤃊 𤃋 𤃌 𤃍 𤃎 𤃏 𤃐 𤃑 𤃒 𤃓 𤃔 𤃕 𤃖 𤃗 𤃘 𤃙 𤃚 𤃛 𤃜 𤃝 𤃞 𤃟 𤃠 𤃡 𤃢 𤃣 𤃤 𤃥 𤃦 𤃧 𤃨 𤃩 𤃪 𤃫 𤃬 𤃭 𤃮 𤃯 𤃰 𤃱 𤃲 𤃳 𤃴 𤃵 𤃶 𤃷 𤃸 𤃹 𤃺 𤃻 𤃼 𤃽 𤃾 𤃿</t>
        </is>
      </c>
      <c r="P583" s="37" t="inlineStr">
        <is>
          <t>𤀀 𤀁 𤀂 𤀃 𤀄 𤀅 𤀆 𤀇 𤀈 𤀉 𤀊 𤀋 𤀌 𤀍 𤀎 𤀏 𤀐 𤀑 𤀒 𤀓 𤀔 𤀕 𤀖 𤀗 𤀘 𤀙 𤀚 𤀛 𤀜 𤀝 𤀞 𤀟 𤀠 𤀡 𤀢 𤀣 𤀤 𤀥 𤀦 𤀧 𤀨 𤀩 𤀪 𤀫 𤀬 𤀭 𤀮 𤀯 𤀰 𤀱 𤀲 𤀳 𤀴 𤀵 𤀶 𤀷 𤀸 𤀹 𤀺 𤀻 𤀼 𤀽 𤀾 𤀿 𤁀 𤁁 𤁂 𤁃 𤁄 𤁅 𤁆 𤁇 𤁈 𤁉 𤁊 𤁋 𤁌 𤁍 𤁎 𤁏 𤁐 𤁑 𤁒 𤁓 𤁔 𤁕 𤁖 𤁗 𤁘 𤁙 𤁚 𤁛 𤁜 𤁝 𤁞 𤁟 𤁠 𤁡 𤁢 𤁣 𤁤 𤁥 𤁦 𤁧 𤁨 𤁩 𤁪 𤁫 𤁬 𤁭 𤁮 𤁯 𤁰 𤁱 𤁲 𤁳 𤁴 𤁵 𤁶 𤁷 𤁸 𤁹 𤁺 𤁻 𤁼 𤁽 𤁾 𤁿 𤂀 𤂁 𤂂 𤂃 𤂄 𤂅 𤂆 𤂇 𤂈 𤂉 𤂊 𤂋 𤂌 𤂍 𤂎 𤂏 𤂐 𤂑 𤂒 𤂓 𤂔 𤂕 𤂖 𤂗 𤂘 𤂙 𤂚 𤂛 𤂜 𤂝 𤂞 𤂟 𤂠 𤂡 𤂢 𤂣 𤂤 𤂥 𤂦 𤂧 𤂨 𤂩 𤂪 𤂫 𤂬 𤂭 𤂮 𤂯 𤂰 𤂱 𤂲 𤂳 𤂴 𤂵 𤂶 𤂷 𤂸 𤂹 𤂺 𤂻 𤂼 𤂽 𤂾 𤂿 𤃀 𤃁 𤃂 𤃃 𤃄 𤃅 𤃆 𤃇 𤃈 𤃉 𤃊 𤃋 𤃌 𤃍 𤃎 𤃏 𤃐 𤃑 𤃒 𤃓 𤃔 𤃕 𤃖 𤃗 𤃘 𤃙 𤃚 𤃛 𤃜 𤃝 𤃞 𤃟 𤃠 𤃡 𤃢 𤃣 𤃤 𤃥 𤃦 𤃧 𤃨 𤃩 𤃪 𤃫 𤃬 𤃭 𤃮 𤃯 𤃰 𤃱 𤃲 𤃳 𤃴 𤃵 𤃶 𤃷 𤃸 𤃹 𤃺 𤃻 𤃼 𤃽 𤃾 𤃿</t>
        </is>
      </c>
      <c r="Q583" s="38" t="inlineStr">
        <is>
          <t>𤀀 𤀁 𤀂 𤀃 𤀄 𤀅 𤀆 𤀇 𤀈 𤀉 𤀊 𤀋 𤀌 𤀍 𤀎 𤀏 𤀐 𤀑 𤀒 𤀓 𤀔 𤀕 𤀖 𤀗 𤀘 𤀙 𤀚 𤀛 𤀜 𤀝 𤀞 𤀟 𤀠 𤀡 𤀢 𤀣 𤀤 𤀥 𤀦 𤀧 𤀨 𤀩 𤀪 𤀫 𤀬 𤀭 𤀮 𤀯 𤀰 𤀱 𤀲 𤀳 𤀴 𤀵 𤀶 𤀷 𤀸 𤀹 𤀺 𤀻 𤀼 𤀽 𤀾 𤀿 𤁀 𤁁 𤁂 𤁃 𤁄 𤁅 𤁆 𤁇 𤁈 𤁉 𤁊 𤁋 𤁌 𤁍 𤁎 𤁏 𤁐 𤁑 𤁒 𤁓 𤁔 𤁕 𤁖 𤁗 𤁘 𤁙 𤁚 𤁛 𤁜 𤁝 𤁞 𤁟 𤁠 𤁡 𤁢 𤁣 𤁤 𤁥 𤁦 𤁧 𤁨 𤁩 𤁪 𤁫 𤁬 𤁭 𤁮 𤁯 𤁰 𤁱 𤁲 𤁳 𤁴 𤁵 𤁶 𤁷 𤁸 𤁹 𤁺 𤁻 𤁼 𤁽 𤁾 𤁿 𤂀 𤂁 𤂂 𤂃 𤂄 𤂅 𤂆 𤂇 𤂈 𤂉 𤂊 𤂋 𤂌 𤂍 𤂎 𤂏 𤂐 𤂑 𤂒 𤂓 𤂔 𤂕 𤂖 𤂗 𤂘 𤂙 𤂚 𤂛 𤂜 𤂝 𤂞 𤂟 𤂠 𤂡 𤂢 𤂣 𤂤 𤂥 𤂦 𤂧 𤂨 𤂩 𤂪 𤂫 𤂬 𤂭 𤂮 𤂯 𤂰 𤂱 𤂲 𤂳 𤂴 𤂵 𤂶 𤂷 𤂸 𤂹 𤂺 𤂻 𤂼 𤂽 𤂾 𤂿 𤃀 𤃁 𤃂 𤃃 𤃄 𤃅 𤃆 𤃇 𤃈 𤃉 𤃊 𤃋 𤃌 𤃍 𤃎 𤃏 𤃐 𤃑 𤃒 𤃓 𤃔 𤃕 𤃖 𤃗 𤃘 𤃙 𤃚 𤃛 𤃜 𤃝 𤃞 𤃟 𤃠 𤃡 𤃢 𤃣 𤃤 𤃥 𤃦 𤃧 𤃨 𤃩 𤃪 𤃫 𤃬 𤃭 𤃮 𤃯 𤃰 𤃱 𤃲 𤃳 𤃴 𤃵 𤃶 𤃷 𤃸 𤃹 𤃺 𤃻 𤃼 𤃽 𤃾 𤃿</t>
        </is>
      </c>
      <c r="R583" s="43" t="inlineStr">
        <is>
          <t>𤂖 𤃒</t>
        </is>
      </c>
      <c r="S583" s="40" t="n"/>
      <c r="V583" s="14">
        <f>(LEN(O583)+1)/2</f>
        <v/>
      </c>
      <c r="W583" s="14">
        <f>ROUNDDOWN((LEN(P583)+1)/2,0)</f>
        <v/>
      </c>
      <c r="X583" s="14">
        <f>ROUNDDOWN((LEN(Q583)+1)/2,0)</f>
        <v/>
      </c>
      <c r="Y583" s="14">
        <f>ROUNDDOWN((LEN(R583)+1)/2,0)</f>
        <v/>
      </c>
      <c r="Z583" s="14">
        <f>ROUNDDOWN((LEN(S583)+1)/2,0)</f>
        <v/>
      </c>
      <c r="AA583" s="56" t="n">
        <v>46150.55877920406</v>
      </c>
    </row>
    <row r="584" ht="102" customHeight="1">
      <c r="B584" s="46" t="inlineStr">
        <is>
          <t>U+24200-U+242FF</t>
        </is>
      </c>
      <c r="C584" s="46" t="inlineStr">
        <is>
          <t>CJK Unified Ideographs Extension B</t>
        </is>
      </c>
      <c r="D584" s="54">
        <f>HEX2DEC(MID(B584,3,FIND("-",E584)-3))</f>
        <v/>
      </c>
      <c r="E584" s="46" t="inlineStr">
        <is>
          <t>U+20000-U+2A6DF</t>
        </is>
      </c>
      <c r="F584" s="12" t="n">
        <v>4</v>
      </c>
      <c r="J584" s="19">
        <f>ROUNDDOWN(W584,0)/$V584</f>
        <v/>
      </c>
      <c r="K584" s="19">
        <f>ROUNDDOWN(X584,0)/$V584</f>
        <v/>
      </c>
      <c r="L584" s="19">
        <f>ROUNDDOWN(Y584,0)/$V584</f>
        <v/>
      </c>
      <c r="M584" s="19">
        <f>ROUNDDOWN(Z584,0)/$V584</f>
        <v/>
      </c>
      <c r="O584" s="36" t="inlineStr">
        <is>
          <t>𤄀 𤄁 𤄂 𤄃 𤄄 𤄅 𤄆 𤄇 𤄈 𤄉 𤄊 𤄋 𤄌 𤄍 𤄎 𤄏 𤄐 𤄑 𤄒 𤄓 𤄔 𤄕 𤄖 𤄗 𤄘 𤄙 𤄚 𤄛 𤄜 𤄝 𤄞 𤄟 𤄠 𤄡 𤄢 𤄣 𤄤 𤄥 𤄦 𤄧 𤄨 𤄩 𤄪 𤄫 𤄬 𤄭 𤄮 𤄯 𤄰 𤄱 𤄲 𤄳 𤄴 𤄵 𤄶 𤄷 𤄸 𤄹 𤄺 𤄻 𤄼 𤄽 𤄾 𤄿 𤅀 𤅁 𤅂 𤅃 𤅄 𤅅 𤅆 𤅇 𤅈 𤅉 𤅊 𤅋 𤅌 𤅍 𤅎 𤅏 𤅐 𤅑 𤅒 𤅓 𤅔 𤅕 𤅖 𤅗 𤅘 𤅙 𤅚 𤅛 𤅜 𤅝 𤅞 𤅟 𤅠 𤅡 𤅢 𤅣 𤅤 𤅥 𤅦 𤅧 𤅨 𤅩 𤅪 𤅫 𤅬 𤅭 𤅮 𤅯 𤅰 𤅱 𤅲 𤅳 𤅴 𤅵 𤅶 𤅷 𤅸 𤅹 𤅺 𤅻 𤅼 𤅽 𤅾 𤅿 𤆀 𤆁 𤆂 𤆃 𤆄 𤆅 𤆆 𤆇 𤆈 𤆉 𤆊 𤆋 𤆌 𤆍 𤆎 𤆏 𤆐 𤆑 𤆒 𤆓 𤆔 𤆕 𤆖 𤆗 𤆘 𤆙 𤆚 𤆛 𤆜 𤆝 𤆞 𤆟 𤆠 𤆡 𤆢 𤆣 𤆤 𤆥 𤆦 𤆧 𤆨 𤆩 𤆪 𤆫 𤆬 𤆭 𤆮 𤆯 𤆰 𤆱 𤆲 𤆳 𤆴 𤆵 𤆶 𤆷 𤆸 𤆹 𤆺 𤆻 𤆼 𤆽 𤆾 𤆿 𤇀 𤇁 𤇂 𤇃 𤇄 𤇅 𤇆 𤇇 𤇈 𤇉 𤇊 𤇋 𤇌 𤇍 𤇎 𤇏 𤇐 𤇑 𤇒 𤇓 𤇔 𤇕 𤇖 𤇗 𤇘 𤇙 𤇚 𤇛 𤇜 𤇝 𤇞 𤇟 𤇠 𤇡 𤇢 𤇣 𤇤 𤇥 𤇦 𤇧 𤇨 𤇩 𤇪 𤇫 𤇬 𤇭 𤇮 𤇯 𤇰 𤇱 𤇲 𤇳 𤇴 𤇵 𤇶 𤇷 𤇸 𤇹 𤇺 𤇻 𤇼 𤇽 𤇾 𤇿</t>
        </is>
      </c>
      <c r="P584" s="37" t="inlineStr">
        <is>
          <t>𤄀 𤄁 𤄂 𤄃 𤄄 𤄅 𤄆 𤄇 𤄈 𤄉 𤄊 𤄋 𤄌 𤄍 𤄎 𤄏 𤄐 𤄑 𤄒 𤄓 𤄔 𤄕 𤄖 𤄗 𤄘 𤄙 𤄚 𤄛 𤄜 𤄝 𤄞 𤄟 𤄠 𤄡 𤄢 𤄣 𤄤 𤄥 𤄦 𤄧 𤄨 𤄩 𤄪 𤄫 𤄬 𤄭 𤄮 𤄯 𤄰 𤄱 𤄲 𤄳 𤄴 𤄵 𤄶 𤄷 𤄸 𤄹 𤄺 𤄻 𤄼 𤄽 𤄾 𤄿 𤅀 𤅁 𤅂 𤅃 𤅄 𤅅 𤅆 𤅇 𤅈 𤅉 𤅊 𤅋 𤅌 𤅍 𤅎 𤅏 𤅐 𤅑 𤅒 𤅓 𤅔 𤅕 𤅖 𤅗 𤅘 𤅙 𤅚 𤅛 𤅜 𤅝 𤅞 𤅟 𤅠 𤅡 𤅢 𤅣 𤅤 𤅥 𤅦 𤅧 𤅨 𤅩 𤅪 𤅫 𤅬 𤅭 𤅮 𤅯 𤅰 𤅱 𤅲 𤅳 𤅴 𤅵 𤅶 𤅷 𤅸 𤅹 𤅺 𤅻 𤅼 𤅽 𤅾 𤅿 𤆀 𤆁 𤆂 𤆃 𤆄 𤆅 𤆆 𤆇 𤆈 𤆉 𤆊 𤆋 𤆌 𤆍 𤆎 𤆏 𤆐 𤆑 𤆒 𤆓 𤆔 𤆕 𤆖 𤆗 𤆘 𤆙 𤆚 𤆛 𤆜 𤆝 𤆞 𤆟 𤆠 𤆡 𤆢 𤆣 𤆤 𤆥 𤆦 𤆧 𤆨 𤆩 𤆪 𤆫 𤆬 𤆭 𤆮 𤆯 𤆰 𤆱 𤆲 𤆳 𤆴 𤆵 𤆶 𤆷 𤆸 𤆹 𤆺 𤆻 𤆼 𤆽 𤆾 𤆿 𤇀 𤇁 𤇂 𤇃 𤇄 𤇅 𤇆 𤇇 𤇈 𤇉 𤇊 𤇋 𤇌 𤇍 𤇎 𤇏 𤇐 𤇑 𤇒 𤇓 𤇔 𤇕 𤇖 𤇗 𤇘 𤇙 𤇚 𤇛 𤇜 𤇝 𤇞 𤇟 𤇠 𤇡 𤇢 𤇣 𤇤 𤇥 𤇦 𤇧 𤇨 𤇩 𤇪 𤇫 𤇬 𤇭 𤇮 𤇯 𤇰 𤇱 𤇲 𤇳 𤇴 𤇵 𤇶 𤇷 𤇸 𤇹 𤇺 𤇻 𤇼 𤇽 𤇾 𤇿</t>
        </is>
      </c>
      <c r="Q584" s="38" t="inlineStr">
        <is>
          <t>𤄀 𤄁 𤄂 𤄃 𤄄 𤄅 𤄆 𤄇 𤄈 𤄉 𤄊 𤄋 𤄌 𤄍 𤄎 𤄏 𤄐 𤄑 𤄒 𤄓 𤄔 𤄕 𤄖 𤄗 𤄘 𤄙 𤄚 𤄛 𤄜 𤄝 𤄞 𤄟 𤄠 𤄡 𤄢 𤄣 𤄤 𤄥 𤄦 𤄧 𤄨 𤄩 𤄪 𤄫 𤄬 𤄭 𤄮 𤄯 𤄰 𤄱 𤄲 𤄳 𤄴 𤄵 𤄶 𤄷 𤄸 𤄹 𤄺 𤄻 𤄼 𤄽 𤄾 𤄿 𤅀 𤅁 𤅂 𤅃 𤅄 𤅅 𤅆 𤅇 𤅈 𤅉 𤅊 𤅋 𤅌 𤅍 𤅎 𤅏 𤅐 𤅑 𤅒 𤅓 𤅔 𤅕 𤅖 𤅗 𤅘 𤅙 𤅚 𤅛 𤅜 𤅝 𤅞 𤅟 𤅠 𤅡 𤅢 𤅣 𤅤 𤅥 𤅦 𤅧 𤅨 𤅩 𤅪 𤅫 𤅬 𤅭 𤅮 𤅯 𤅰 𤅱 𤅲 𤅳 𤅴 𤅵 𤅶 𤅷 𤅸 𤅹 𤅺 𤅻 𤅼 𤅽 𤅾 𤅿 𤆀 𤆁 𤆂 𤆃 𤆄 𤆅 𤆆 𤆇 𤆈 𤆉 𤆊 𤆋 𤆌 𤆍 𤆎 𤆏 𤆐 𤆑 𤆒 𤆓 𤆔 𤆕 𤆖 𤆗 𤆘 𤆙 𤆚 𤆛 𤆜 𤆝 𤆞 𤆟 𤆠 𤆡 𤆢 𤆣 𤆤 𤆥 𤆦 𤆧 𤆨 𤆩 𤆪 𤆫 𤆬 𤆭 𤆮 𤆯 𤆰 𤆱 𤆲 𤆳 𤆴 𤆵 𤆶 𤆷 𤆸 𤆹 𤆺 𤆻 𤆼 𤆽 𤆾 𤆿 𤇀 𤇁 𤇂 𤇃 𤇄 𤇅 𤇆 𤇇 𤇈 𤇉 𤇊 𤇋 𤇌 𤇍 𤇎 𤇏 𤇐 𤇑 𤇒 𤇓 𤇔 𤇕 𤇖 𤇗 𤇘 𤇙 𤇚 𤇛 𤇜 𤇝 𤇞 𤇟 𤇠 𤇡 𤇢 𤇣 𤇤 𤇥 𤇦 𤇧 𤇨 𤇩 𤇪 𤇫 𤇬 𤇭 𤇮 𤇯 𤇰 𤇱 𤇲 𤇳 𤇴 𤇵 𤇶 𤇷 𤇸 𤇹 𤇺 𤇻 𤇼 𤇽 𤇾 𤇿</t>
        </is>
      </c>
      <c r="R584" s="43" t="inlineStr">
        <is>
          <t>𤄃 𤆢 𤆬 𤇾</t>
        </is>
      </c>
      <c r="S584" s="40" t="n"/>
      <c r="V584" s="14">
        <f>(LEN(O584)+1)/2</f>
        <v/>
      </c>
      <c r="W584" s="14">
        <f>ROUNDDOWN((LEN(P584)+1)/2,0)</f>
        <v/>
      </c>
      <c r="X584" s="14">
        <f>ROUNDDOWN((LEN(Q584)+1)/2,0)</f>
        <v/>
      </c>
      <c r="Y584" s="14">
        <f>ROUNDDOWN((LEN(R584)+1)/2,0)</f>
        <v/>
      </c>
      <c r="Z584" s="14">
        <f>ROUNDDOWN((LEN(S584)+1)/2,0)</f>
        <v/>
      </c>
      <c r="AA584" s="56" t="n">
        <v>46150.55878031135</v>
      </c>
    </row>
    <row r="585" ht="102" customHeight="1">
      <c r="B585" s="46" t="inlineStr">
        <is>
          <t>U+24300-U+243FF</t>
        </is>
      </c>
      <c r="C585" s="46" t="inlineStr">
        <is>
          <t>CJK Unified Ideographs Extension B</t>
        </is>
      </c>
      <c r="D585" s="54">
        <f>HEX2DEC(MID(B585,3,FIND("-",E585)-3))</f>
        <v/>
      </c>
      <c r="E585" s="46" t="inlineStr">
        <is>
          <t>U+20000-U+2A6DF</t>
        </is>
      </c>
      <c r="F585" s="12" t="n">
        <v>4</v>
      </c>
      <c r="J585" s="19">
        <f>ROUNDDOWN(W585,0)/$V585</f>
        <v/>
      </c>
      <c r="K585" s="19">
        <f>ROUNDDOWN(X585,0)/$V585</f>
        <v/>
      </c>
      <c r="L585" s="19">
        <f>ROUNDDOWN(Y585,0)/$V585</f>
        <v/>
      </c>
      <c r="M585" s="19">
        <f>ROUNDDOWN(Z585,0)/$V585</f>
        <v/>
      </c>
      <c r="O585" s="36" t="inlineStr">
        <is>
          <t>𤈀 𤈁 𤈂 𤈃 𤈄 𤈅 𤈆 𤈇 𤈈 𤈉 𤈊 𤈋 𤈌 𤈍 𤈎 𤈏 𤈐 𤈑 𤈒 𤈓 𤈔 𤈕 𤈖 𤈗 𤈘 𤈙 𤈚 𤈛 𤈜 𤈝 𤈞 𤈟 𤈠 𤈡 𤈢 𤈣 𤈤 𤈥 𤈦 𤈧 𤈨 𤈩 𤈪 𤈫 𤈬 𤈭 𤈮 𤈯 𤈰 𤈱 𤈲 𤈳 𤈴 𤈵 𤈶 𤈷 𤈸 𤈹 𤈺 𤈻 𤈼 𤈽 𤈾 𤈿 𤉀 𤉁 𤉂 𤉃 𤉄 𤉅 𤉆 𤉇 𤉈 𤉉 𤉊 𤉋 𤉌 𤉍 𤉎 𤉏 𤉐 𤉑 𤉒 𤉓 𤉔 𤉕 𤉖 𤉗 𤉘 𤉙 𤉚 𤉛 𤉜 𤉝 𤉞 𤉟 𤉠 𤉡 𤉢 𤉣 𤉤 𤉥 𤉦 𤉧 𤉨 𤉩 𤉪 𤉫 𤉬 𤉭 𤉮 𤉯 𤉰 𤉱 𤉲 𤉳 𤉴 𤉵 𤉶 𤉷 𤉸 𤉹 𤉺 𤉻 𤉼 𤉽 𤉾 𤉿 𤊀 𤊁 𤊂 𤊃 𤊄 𤊅 𤊆 𤊇 𤊈 𤊉 𤊊 𤊋 𤊌 𤊍 𤊎 𤊏 𤊐 𤊑 𤊒 𤊓 𤊔 𤊕 𤊖 𤊗 𤊘 𤊙 𤊚 𤊛 𤊜 𤊝 𤊞 𤊟 𤊠 𤊡 𤊢 𤊣 𤊤 𤊥 𤊦 𤊧 𤊨 𤊩 𤊪 𤊫 𤊬 𤊭 𤊮 𤊯 𤊰 𤊱 𤊲 𤊳 𤊴 𤊵 𤊶 𤊷 𤊸 𤊹 𤊺 𤊻 𤊼 𤊽 𤊾 𤊿 𤋀 𤋁 𤋂 𤋃 𤋄 𤋅 𤋆 𤋇 𤋈 𤋉 𤋊 𤋋 𤋌 𤋍 𤋎 𤋏 𤋐 𤋑 𤋒 𤋓 𤋔 𤋕 𤋖 𤋗 𤋘 𤋙 𤋚 𤋛 𤋜 𤋝 𤋞 𤋟 𤋠 𤋡 𤋢 𤋣 𤋤 𤋥 𤋦 𤋧 𤋨 𤋩 𤋪 𤋫 𤋬 𤋭 𤋮 𤋯 𤋰 𤋱 𤋲 𤋳 𤋴 𤋵 𤋶 𤋷 𤋸 𤋹 𤋺 𤋻 𤋼 𤋽 𤋾 𤋿</t>
        </is>
      </c>
      <c r="P585" s="37" t="inlineStr">
        <is>
          <t>𤈀 𤈁 𤈂 𤈃 𤈄 𤈅 𤈆 𤈇 𤈈 𤈉 𤈊 𤈋 𤈌 𤈍 𤈎 𤈏 𤈐 𤈑 𤈒 𤈓 𤈔 𤈕 𤈖 𤈗 𤈘 𤈙 𤈚 𤈛 𤈜 𤈝 𤈞 𤈟 𤈠 𤈡 𤈢 𤈣 𤈤 𤈥 𤈦 𤈧 𤈨 𤈩 𤈪 𤈫 𤈬 𤈭 𤈮 𤈯 𤈰 𤈱 𤈲 𤈳 𤈴 𤈵 𤈶 𤈷 𤈸 𤈹 𤈺 𤈻 𤈼 𤈽 𤈾 𤈿 𤉀 𤉁 𤉂 𤉃 𤉄 𤉅 𤉆 𤉇 𤉈 𤉉 𤉊 𤉋 𤉌 𤉍 𤉎 𤉏 𤉐 𤉑 𤉒 𤉓 𤉔 𤉕 𤉖 𤉗 𤉘 𤉙 𤉚 𤉛 𤉜 𤉝 𤉞 𤉟 𤉠 𤉡 𤉢 𤉣 𤉤 𤉥 𤉦 𤉧 𤉨 𤉩 𤉪 𤉫 𤉬 𤉭 𤉮 𤉯 𤉰 𤉱 𤉲 𤉳 𤉴 𤉵 𤉶 𤉷 𤉸 𤉹 𤉺 𤉻 𤉼 𤉽 𤉾 𤉿 𤊀 𤊁 𤊂 𤊃 𤊄 𤊅 𤊆 𤊇 𤊈 𤊉 𤊊 𤊋 𤊌 𤊍 𤊎 𤊏 𤊐 𤊑 𤊒 𤊓 𤊔 𤊕 𤊖 𤊗 𤊘 𤊙 𤊚 𤊛 𤊜 𤊝 𤊞 𤊟 𤊠 𤊡 𤊢 𤊣 𤊤 𤊥 𤊦 𤊧 𤊨 𤊩 𤊪 𤊫 𤊬 𤊭 𤊮 𤊯 𤊰 𤊱 𤊲 𤊳 𤊴 𤊵 𤊶 𤊷 𤊸 𤊹 𤊺 𤊻 𤊼 𤊽 𤊾 𤊿 𤋀 𤋁 𤋂 𤋃 𤋄 𤋅 𤋆 𤋇 𤋈 𤋉 𤋊 𤋋 𤋌 𤋍 𤋎 𤋏 𤋐 𤋑 𤋒 𤋓 𤋔 𤋕 𤋖 𤋗 𤋘 𤋙 𤋚 𤋛 𤋜 𤋝 𤋞 𤋟 𤋠 𤋡 𤋢 𤋣 𤋤 𤋥 𤋦 𤋧 𤋨 𤋩 𤋪 𤋫 𤋬 𤋭 𤋮 𤋯 𤋰 𤋱 𤋲 𤋳 𤋴 𤋵 𤋶 𤋷 𤋸 𤋹 𤋺 𤋻 𤋼 𤋽 𤋾 𤋿</t>
        </is>
      </c>
      <c r="Q585" s="38" t="inlineStr">
        <is>
          <t>𤈀 𤈁 𤈂 𤈃 𤈄 𤈅 𤈆 𤈇 𤈈 𤈉 𤈊 𤈋 𤈌 𤈍 𤈎 𤈏 𤈐 𤈑 𤈒 𤈓 𤈔 𤈕 𤈖 𤈗 𤈘 𤈙 𤈚 𤈛 𤈜 𤈝 𤈞 𤈟 𤈠 𤈡 𤈢 𤈣 𤈤 𤈥 𤈦 𤈧 𤈨 𤈩 𤈪 𤈫 𤈬 𤈭 𤈮 𤈯 𤈰 𤈱 𤈲 𤈳 𤈴 𤈵 𤈶 𤈷 𤈸 𤈹 𤈺 𤈻 𤈼 𤈽 𤈾 𤈿 𤉀 𤉁 𤉂 𤉃 𤉄 𤉅 𤉆 𤉇 𤉈 𤉉 𤉊 𤉋 𤉌 𤉍 𤉎 𤉏 𤉐 𤉑 𤉒 𤉓 𤉔 𤉕 𤉖 𤉗 𤉘 𤉙 𤉚 𤉛 𤉜 𤉝 𤉞 𤉟 𤉠 𤉡 𤉢 𤉣 𤉤 𤉥 𤉦 𤉧 𤉨 𤉩 𤉪 𤉫 𤉬 𤉭 𤉮 𤉯 𤉰 𤉱 𤉲 𤉳 𤉴 𤉵 𤉶 𤉷 𤉸 𤉹 𤉺 𤉻 𤉼 𤉽 𤉾 𤉿 𤊀 𤊁 𤊂 𤊃 𤊄 𤊅 𤊆 𤊇 𤊈 𤊉 𤊊 𤊋 𤊌 𤊍 𤊎 𤊏 𤊐 𤊑 𤊒 𤊓 𤊔 𤊕 𤊖 𤊗 𤊘 𤊙 𤊚 𤊛 𤊜 𤊝 𤊞 𤊟 𤊠 𤊡 𤊢 𤊣 𤊤 𤊥 𤊦 𤊧 𤊨 𤊩 𤊪 𤊫 𤊬 𤊭 𤊮 𤊯 𤊰 𤊱 𤊲 𤊳 𤊴 𤊵 𤊶 𤊷 𤊸 𤊹 𤊺 𤊻 𤊼 𤊽 𤊾 𤊿 𤋀 𤋁 𤋂 𤋃 𤋄 𤋅 𤋆 𤋇 𤋈 𤋉 𤋊 𤋋 𤋌 𤋍 𤋎 𤋏 𤋐 𤋑 𤋒 𤋓 𤋔 𤋕 𤋖 𤋗 𤋘 𤋙 𤋚 𤋛 𤋜 𤋝 𤋞 𤋟 𤋠 𤋡 𤋢 𤋣 𤋤 𤋥 𤋦 𤋧 𤋨 𤋩 𤋪 𤋫 𤋬 𤋭 𤋮 𤋯 𤋰 𤋱 𤋲 𤋳 𤋴 𤋵 𤋶 𤋷 𤋸 𤋹 𤋺 𤋻 𤋼 𤋽 𤋾 𤋿</t>
        </is>
      </c>
      <c r="R585" s="43" t="inlineStr">
        <is>
          <t>𤈎</t>
        </is>
      </c>
      <c r="S585" s="40" t="n"/>
      <c r="V585" s="14">
        <f>(LEN(O585)+1)/2</f>
        <v/>
      </c>
      <c r="W585" s="14">
        <f>ROUNDDOWN((LEN(P585)+1)/2,0)</f>
        <v/>
      </c>
      <c r="X585" s="14">
        <f>ROUNDDOWN((LEN(Q585)+1)/2,0)</f>
        <v/>
      </c>
      <c r="Y585" s="14">
        <f>ROUNDDOWN((LEN(R585)+1)/2,0)</f>
        <v/>
      </c>
      <c r="Z585" s="14">
        <f>ROUNDDOWN((LEN(S585)+1)/2,0)</f>
        <v/>
      </c>
      <c r="AA585" s="56" t="n">
        <v>46150.55878140571</v>
      </c>
    </row>
    <row r="586" ht="102" customHeight="1">
      <c r="B586" s="46" t="inlineStr">
        <is>
          <t>U+24400-U+244FF</t>
        </is>
      </c>
      <c r="C586" s="46" t="inlineStr">
        <is>
          <t>CJK Unified Ideographs Extension B</t>
        </is>
      </c>
      <c r="D586" s="54">
        <f>HEX2DEC(MID(B586,3,FIND("-",E586)-3))</f>
        <v/>
      </c>
      <c r="E586" s="46" t="inlineStr">
        <is>
          <t>U+20000-U+2A6DF</t>
        </is>
      </c>
      <c r="F586" s="12" t="n">
        <v>4</v>
      </c>
      <c r="J586" s="19">
        <f>ROUNDDOWN(W586,0)/$V586</f>
        <v/>
      </c>
      <c r="K586" s="19">
        <f>ROUNDDOWN(X586,0)/$V586</f>
        <v/>
      </c>
      <c r="L586" s="19">
        <f>ROUNDDOWN(Y586,0)/$V586</f>
        <v/>
      </c>
      <c r="M586" s="19">
        <f>ROUNDDOWN(Z586,0)/$V586</f>
        <v/>
      </c>
      <c r="O586" s="36" t="inlineStr">
        <is>
          <t>𤌀 𤌁 𤌂 𤌃 𤌄 𤌅 𤌆 𤌇 𤌈 𤌉 𤌊 𤌋 𤌌 𤌍 𤌎 𤌏 𤌐 𤌑 𤌒 𤌓 𤌔 𤌕 𤌖 𤌗 𤌘 𤌙 𤌚 𤌛 𤌜 𤌝 𤌞 𤌟 𤌠 𤌡 𤌢 𤌣 𤌤 𤌥 𤌦 𤌧 𤌨 𤌩 𤌪 𤌫 𤌬 𤌭 𤌮 𤌯 𤌰 𤌱 𤌲 𤌳 𤌴 𤌵 𤌶 𤌷 𤌸 𤌹 𤌺 𤌻 𤌼 𤌽 𤌾 𤌿 𤍀 𤍁 𤍂 𤍃 𤍄 𤍅 𤍆 𤍇 𤍈 𤍉 𤍊 𤍋 𤍌 𤍍 𤍎 𤍏 𤍐 𤍑 𤍒 𤍓 𤍔 𤍕 𤍖 𤍗 𤍘 𤍙 𤍚 𤍛 𤍜 𤍝 𤍞 𤍟 𤍠 𤍡 𤍢 𤍣 𤍤 𤍥 𤍦 𤍧 𤍨 𤍩 𤍪 𤍫 𤍬 𤍭 𤍮 𤍯 𤍰 𤍱 𤍲 𤍳 𤍴 𤍵 𤍶 𤍷 𤍸 𤍹 𤍺 𤍻 𤍼 𤍽 𤍾 𤍿 𤎀 𤎁 𤎂 𤎃 𤎄 𤎅 𤎆 𤎇 𤎈 𤎉 𤎊 𤎋 𤎌 𤎍 𤎎 𤎏 𤎐 𤎑 𤎒 𤎓 𤎔 𤎕 𤎖 𤎗 𤎘 𤎙 𤎚 𤎛 𤎜 𤎝 𤎞 𤎟 𤎠 𤎡 𤎢 𤎣 𤎤 𤎥 𤎦 𤎧 𤎨 𤎩 𤎪 𤎫 𤎬 𤎭 𤎮 𤎯 𤎰 𤎱 𤎲 𤎳 𤎴 𤎵 𤎶 𤎷 𤎸 𤎹 𤎺 𤎻 𤎼 𤎽 𤎾 𤎿 𤏀 𤏁 𤏂 𤏃 𤏄 𤏅 𤏆 𤏇 𤏈 𤏉 𤏊 𤏋 𤏌 𤏍 𤏎 𤏏 𤏐 𤏑 𤏒 𤏓 𤏔 𤏕 𤏖 𤏗 𤏘 𤏙 𤏚 𤏛 𤏜 𤏝 𤏞 𤏟 𤏠 𤏡 𤏢 𤏣 𤏤 𤏥 𤏦 𤏧 𤏨 𤏩 𤏪 𤏫 𤏬 𤏭 𤏮 𤏯 𤏰 𤏱 𤏲 𤏳 𤏴 𤏵 𤏶 𤏷 𤏸 𤏹 𤏺 𤏻 𤏼 𤏽 𤏾 𤏿</t>
        </is>
      </c>
      <c r="P586" s="37" t="inlineStr">
        <is>
          <t>𤌀 𤌁 𤌂 𤌃 𤌄 𤌅 𤌆 𤌇 𤌈 𤌉 𤌊 𤌋 𤌌 𤌍 𤌎 𤌏 𤌐 𤌑 𤌒 𤌓 𤌔 𤌕 𤌖 𤌗 𤌘 𤌙 𤌚 𤌛 𤌜 𤌝 𤌞 𤌟 𤌠 𤌡 𤌢 𤌣 𤌤 𤌥 𤌦 𤌧 𤌨 𤌩 𤌪 𤌫 𤌬 𤌭 𤌮 𤌯 𤌰 𤌱 𤌲 𤌳 𤌴 𤌵 𤌶 𤌷 𤌸 𤌹 𤌺 𤌻 𤌼 𤌽 𤌾 𤌿 𤍀 𤍁 𤍂 𤍃 𤍄 𤍅 𤍆 𤍇 𤍈 𤍉 𤍊 𤍋 𤍌 𤍍 𤍎 𤍏 𤍐 𤍑 𤍒 𤍓 𤍔 𤍕 𤍖 𤍗 𤍘 𤍙 𤍚 𤍛 𤍜 𤍝 𤍞 𤍟 𤍠 𤍡 𤍢 𤍣 𤍤 𤍥 𤍦 𤍧 𤍨 𤍩 𤍪 𤍫 𤍬 𤍭 𤍮 𤍯 𤍰 𤍱 𤍲 𤍳 𤍴 𤍵 𤍶 𤍷 𤍸 𤍹 𤍺 𤍻 𤍼 𤍽 𤍾 𤍿 𤎀 𤎁 𤎂 𤎃 𤎄 𤎅 𤎆 𤎇 𤎈 𤎉 𤎊 𤎋 𤎌 𤎍 𤎎 𤎏 𤎐 𤎑 𤎒 𤎓 𤎔 𤎕 𤎖 𤎗 𤎘 𤎙 𤎚 𤎛 𤎜 𤎝 𤎞 𤎟 𤎠 𤎡 𤎢 𤎣 𤎤 𤎥 𤎦 𤎧 𤎨 𤎩 𤎪 𤎫 𤎬 𤎭 𤎮 𤎯 𤎰 𤎱 𤎲 𤎳 𤎴 𤎵 𤎶 𤎷 𤎸 𤎹 𤎺 𤎻 𤎼 𤎽 𤎾 𤎿 𤏀 𤏁 𤏂 𤏃 𤏄 𤏅 𤏆 𤏇 𤏈 𤏉 𤏊 𤏋 𤏌 𤏍 𤏎 𤏏 𤏐 𤏑 𤏒 𤏓 𤏔 𤏕 𤏖 𤏗 𤏘 𤏙 𤏚 𤏛 𤏜 𤏝 𤏞 𤏟 𤏠 𤏡 𤏢 𤏣 𤏤 𤏥 𤏦 𤏧 𤏨 𤏩 𤏪 𤏫 𤏬 𤏭 𤏮 𤏯 𤏰 𤏱 𤏲 𤏳 𤏴 𤏵 𤏶 𤏷 𤏸 𤏹 𤏺 𤏻 𤏼 𤏽 𤏾 𤏿</t>
        </is>
      </c>
      <c r="Q586" s="38" t="inlineStr">
        <is>
          <t>𤌀 𤌁 𤌂 𤌃 𤌄 𤌅 𤌆 𤌇 𤌈 𤌉 𤌊 𤌋 𤌌 𤌍 𤌎 𤌏 𤌐 𤌑 𤌒 𤌓 𤌔 𤌕 𤌖 𤌗 𤌘 𤌙 𤌚 𤌛 𤌜 𤌝 𤌞 𤌟 𤌠 𤌡 𤌢 𤌣 𤌤 𤌥 𤌦 𤌧 𤌨 𤌩 𤌪 𤌫 𤌬 𤌭 𤌮 𤌯 𤌰 𤌱 𤌲 𤌳 𤌴 𤌵 𤌶 𤌷 𤌸 𤌹 𤌺 𤌻 𤌼 𤌽 𤌾 𤌿 𤍀 𤍁 𤍂 𤍃 𤍄 𤍅 𤍆 𤍇 𤍈 𤍉 𤍊 𤍋 𤍌 𤍍 𤍎 𤍏 𤍐 𤍑 𤍒 𤍓 𤍔 𤍕 𤍖 𤍗 𤍘 𤍙 𤍚 𤍛 𤍜 𤍝 𤍞 𤍟 𤍠 𤍡 𤍢 𤍣 𤍤 𤍥 𤍦 𤍧 𤍨 𤍩 𤍪 𤍫 𤍬 𤍭 𤍮 𤍯 𤍰 𤍱 𤍲 𤍳 𤍴 𤍵 𤍶 𤍷 𤍸 𤍹 𤍺 𤍻 𤍼 𤍽 𤍾 𤍿 𤎀 𤎁 𤎂 𤎃 𤎄 𤎅 𤎆 𤎇 𤎈 𤎉 𤎊 𤎋 𤎌 𤎍 𤎎 𤎏 𤎐 𤎑 𤎒 𤎓 𤎔 𤎕 𤎖 𤎗 𤎘 𤎙 𤎚 𤎛 𤎜 𤎝 𤎞 𤎟 𤎠 𤎡 𤎢 𤎣 𤎤 𤎥 𤎦 𤎧 𤎨 𤎩 𤎪 𤎫 𤎬 𤎭 𤎮 𤎯 𤎰 𤎱 𤎲 𤎳 𤎴 𤎵 𤎶 𤎷 𤎸 𤎹 𤎺 𤎻 𤎼 𤎽 𤎾 𤎿 𤏀 𤏁 𤏂 𤏃 𤏄 𤏅 𤏆 𤏇 𤏈 𤏉 𤏊 𤏋 𤏌 𤏍 𤏎 𤏏 𤏐 𤏑 𤏒 𤏓 𤏔 𤏕 𤏖 𤏗 𤏘 𤏙 𤏚 𤏛 𤏜 𤏝 𤏞 𤏟 𤏠 𤏡 𤏢 𤏣 𤏤 𤏥 𤏦 𤏧 𤏨 𤏩 𤏪 𤏫 𤏬 𤏭 𤏮 𤏯 𤏰 𤏱 𤏲 𤏳 𤏴 𤏵 𤏶 𤏷 𤏸 𤏹 𤏺 𤏻 𤏼 𤏽 𤏾 𤏿</t>
        </is>
      </c>
      <c r="R586" s="43" t="inlineStr">
        <is>
          <t>𤌍 𤌙 𤍒 𤍤 𤎼</t>
        </is>
      </c>
      <c r="S586" s="40" t="n"/>
      <c r="V586" s="14">
        <f>(LEN(O586)+1)/2</f>
        <v/>
      </c>
      <c r="W586" s="14">
        <f>ROUNDDOWN((LEN(P586)+1)/2,0)</f>
        <v/>
      </c>
      <c r="X586" s="14">
        <f>ROUNDDOWN((LEN(Q586)+1)/2,0)</f>
        <v/>
      </c>
      <c r="Y586" s="14">
        <f>ROUNDDOWN((LEN(R586)+1)/2,0)</f>
        <v/>
      </c>
      <c r="Z586" s="14">
        <f>ROUNDDOWN((LEN(S586)+1)/2,0)</f>
        <v/>
      </c>
      <c r="AA586" s="56" t="n">
        <v>46150.55878251279</v>
      </c>
    </row>
    <row r="587" ht="102" customHeight="1">
      <c r="B587" s="46" t="inlineStr">
        <is>
          <t>U+24500-U+245FF</t>
        </is>
      </c>
      <c r="C587" s="46" t="inlineStr">
        <is>
          <t>CJK Unified Ideographs Extension B</t>
        </is>
      </c>
      <c r="D587" s="54">
        <f>HEX2DEC(MID(B587,3,FIND("-",E587)-3))</f>
        <v/>
      </c>
      <c r="E587" s="46" t="inlineStr">
        <is>
          <t>U+20000-U+2A6DF</t>
        </is>
      </c>
      <c r="F587" s="12" t="n">
        <v>4</v>
      </c>
      <c r="J587" s="19">
        <f>ROUNDDOWN(W587,0)/$V587</f>
        <v/>
      </c>
      <c r="K587" s="19">
        <f>ROUNDDOWN(X587,0)/$V587</f>
        <v/>
      </c>
      <c r="L587" s="19">
        <f>ROUNDDOWN(Y587,0)/$V587</f>
        <v/>
      </c>
      <c r="M587" s="19">
        <f>ROUNDDOWN(Z587,0)/$V587</f>
        <v/>
      </c>
      <c r="O587" s="36" t="inlineStr">
        <is>
          <t>𤐀 𤐁 𤐂 𤐃 𤐄 𤐅 𤐆 𤐇 𤐈 𤐉 𤐊 𤐋 𤐌 𤐍 𤐎 𤐏 𤐐 𤐑 𤐒 𤐓 𤐔 𤐕 𤐖 𤐗 𤐘 𤐙 𤐚 𤐛 𤐜 𤐝 𤐞 𤐟 𤐠 𤐡 𤐢 𤐣 𤐤 𤐥 𤐦 𤐧 𤐨 𤐩 𤐪 𤐫 𤐬 𤐭 𤐮 𤐯 𤐰 𤐱 𤐲 𤐳 𤐴 𤐵 𤐶 𤐷 𤐸 𤐹 𤐺 𤐻 𤐼 𤐽 𤐾 𤐿 𤑀 𤑁 𤑂 𤑃 𤑄 𤑅 𤑆 𤑇 𤑈 𤑉 𤑊 𤑋 𤑌 𤑍 𤑎 𤑏 𤑐 𤑑 𤑒 𤑓 𤑔 𤑕 𤑖 𤑗 𤑘 𤑙 𤑚 𤑛 𤑜 𤑝 𤑞 𤑟 𤑠 𤑡 𤑢 𤑣 𤑤 𤑥 𤑦 𤑧 𤑨 𤑩 𤑪 𤑫 𤑬 𤑭 𤑮 𤑯 𤑰 𤑱 𤑲 𤑳 𤑴 𤑵 𤑶 𤑷 𤑸 𤑹 𤑺 𤑻 𤑼 𤑽 𤑾 𤑿 𤒀 𤒁 𤒂 𤒃 𤒄 𤒅 𤒆 𤒇 𤒈 𤒉 𤒊 𤒋 𤒌 𤒍 𤒎 𤒏 𤒐 𤒑 𤒒 𤒓 𤒔 𤒕 𤒖 𤒗 𤒘 𤒙 𤒚 𤒛 𤒜 𤒝 𤒞 𤒟 𤒠 𤒡 𤒢 𤒣 𤒤 𤒥 𤒦 𤒧 𤒨 𤒩 𤒪 𤒫 𤒬 𤒭 𤒮 𤒯 𤒰 𤒱 𤒲 𤒳 𤒴 𤒵 𤒶 𤒷 𤒸 𤒹 𤒺 𤒻 𤒼 𤒽 𤒾 𤒿 𤓀 𤓁 𤓂 𤓃 𤓄 𤓅 𤓆 𤓇 𤓈 𤓉 𤓊 𤓋 𤓌 𤓍 𤓎 𤓏 𤓐 𤓑 𤓒 𤓓 𤓔 𤓕 𤓖 𤓗 𤓘 𤓙 𤓚 𤓛 𤓜 𤓝 𤓞 𤓟 𤓠 𤓡 𤓢 𤓣 𤓤 𤓥 𤓦 𤓧 𤓨 𤓩 𤓪 𤓫 𤓬 𤓭 𤓮 𤓯 𤓰 𤓱 𤓲 𤓳 𤓴 𤓵 𤓶 𤓷 𤓸 𤓹 𤓺 𤓻 𤓼 𤓽 𤓾 𤓿</t>
        </is>
      </c>
      <c r="P587" s="37" t="inlineStr">
        <is>
          <t>𤐀 𤐁 𤐂 𤐃 𤐄 𤐅 𤐆 𤐇 𤐈 𤐉 𤐊 𤐋 𤐌 𤐍 𤐎 𤐏 𤐐 𤐑 𤐒 𤐓 𤐔 𤐕 𤐖 𤐗 𤐘 𤐙 𤐚 𤐛 𤐜 𤐝 𤐞 𤐟 𤐠 𤐡 𤐢 𤐣 𤐤 𤐥 𤐦 𤐧 𤐨 𤐩 𤐪 𤐫 𤐬 𤐭 𤐮 𤐯 𤐰 𤐱 𤐲 𤐳 𤐴 𤐵 𤐶 𤐷 𤐸 𤐹 𤐺 𤐻 𤐼 𤐽 𤐾 𤐿 𤑀 𤑁 𤑂 𤑃 𤑄 𤑅 𤑆 𤑇 𤑈 𤑉 𤑊 𤑋 𤑌 𤑍 𤑎 𤑏 𤑐 𤑑 𤑒 𤑓 𤑔 𤑕 𤑖 𤑗 𤑘 𤑙 𤑚 𤑛 𤑜 𤑝 𤑞 𤑟 𤑠 𤑡 𤑢 𤑣 𤑤 𤑥 𤑦 𤑧 𤑨 𤑩 𤑪 𤑫 𤑬 𤑭 𤑮 𤑯 𤑰 𤑱 𤑲 𤑳 𤑴 𤑵 𤑶 𤑷 𤑸 𤑹 𤑺 𤑻 𤑼 𤑽 𤑾 𤑿 𤒀 𤒁 𤒂 𤒃 𤒄 𤒅 𤒆 𤒇 𤒈 𤒉 𤒊 𤒋 𤒌 𤒍 𤒎 𤒏 𤒐 𤒑 𤒒 𤒓 𤒔 𤒕 𤒖 𤒗 𤒘 𤒙 𤒚 𤒛 𤒜 𤒝 𤒞 𤒟 𤒠 𤒡 𤒢 𤒣 𤒤 𤒥 𤒦 𤒧 𤒨 𤒩 𤒪 𤒫 𤒬 𤒭 𤒮 𤒯 𤒰 𤒱 𤒲 𤒳 𤒴 𤒵 𤒶 𤒷 𤒸 𤒹 𤒺 𤒻 𤒼 𤒽 𤒾 𤒿 𤓀 𤓁 𤓂 𤓃 𤓄 𤓅 𤓆 𤓇 𤓈 𤓉 𤓊 𤓋 𤓌 𤓍 𤓎 𤓏 𤓐 𤓑 𤓒 𤓓 𤓔 𤓕 𤓖 𤓗 𤓘 𤓙 𤓚 𤓛 𤓜 𤓝 𤓞 𤓟 𤓠 𤓡 𤓢 𤓣 𤓤 𤓥 𤓦 𤓧 𤓨 𤓩 𤓪 𤓫 𤓬 𤓭 𤓮 𤓯 𤓰 𤓱 𤓲 𤓳 𤓴 𤓵 𤓶 𤓷 𤓸 𤓹 𤓺 𤓻 𤓼 𤓽 𤓾 𤓿</t>
        </is>
      </c>
      <c r="Q587" s="38" t="inlineStr">
        <is>
          <t>𤐀 𤐁 𤐂 𤐃 𤐄 𤐅 𤐆 𤐇 𤐈 𤐉 𤐊 𤐋 𤐌 𤐍 𤐎 𤐏 𤐐 𤐑 𤐒 𤐓 𤐔 𤐕 𤐖 𤐗 𤐘 𤐙 𤐚 𤐛 𤐜 𤐝 𤐞 𤐟 𤐠 𤐡 𤐢 𤐣 𤐤 𤐥 𤐦 𤐧 𤐨 𤐩 𤐪 𤐫 𤐬 𤐭 𤐮 𤐯 𤐰 𤐱 𤐲 𤐳 𤐴 𤐵 𤐶 𤐷 𤐸 𤐹 𤐺 𤐻 𤐼 𤐽 𤐾 𤐿 𤑀 𤑁 𤑂 𤑃 𤑄 𤑅 𤑆 𤑇 𤑈 𤑉 𤑊 𤑋 𤑌 𤑍 𤑎 𤑏 𤑐 𤑑 𤑒 𤑓 𤑔 𤑕 𤑖 𤑗 𤑘 𤑙 𤑚 𤑛 𤑜 𤑝 𤑞 𤑟 𤑠 𤑡 𤑢 𤑣 𤑤 𤑥 𤑦 𤑧 𤑨 𤑩 𤑪 𤑫 𤑬 𤑭 𤑮 𤑯 𤑰 𤑱 𤑲 𤑳 𤑴 𤑵 𤑶 𤑷 𤑸 𤑹 𤑺 𤑻 𤑼 𤑽 𤑾 𤑿 𤒀 𤒁 𤒂 𤒃 𤒄 𤒅 𤒆 𤒇 𤒈 𤒉 𤒊 𤒋 𤒌 𤒍 𤒎 𤒏 𤒐 𤒑 𤒒 𤒓 𤒔 𤒕 𤒖 𤒗 𤒘 𤒙 𤒚 𤒛 𤒜 𤒝 𤒞 𤒟 𤒠 𤒡 𤒢 𤒣 𤒤 𤒥 𤒦 𤒧 𤒨 𤒩 𤒪 𤒫 𤒬 𤒭 𤒮 𤒯 𤒰 𤒱 𤒲 𤒳 𤒴 𤒵 𤒶 𤒷 𤒸 𤒹 𤒺 𤒻 𤒼 𤒽 𤒾 𤒿 𤓀 𤓁 𤓂 𤓃 𤓄 𤓅 𤓆 𤓇 𤓈 𤓉 𤓊 𤓋 𤓌 𤓍 𤓎 𤓏 𤓐 𤓑 𤓒 𤓓 𤓔 𤓕 𤓖 𤓗 𤓘 𤓙 𤓚 𤓛 𤓜 𤓝 𤓞 𤓟 𤓠 𤓡 𤓢 𤓣 𤓤 𤓥 𤓦 𤓧 𤓨 𤓩 𤓪 𤓫 𤓬 𤓭 𤓮 𤓯 𤓰 𤓱 𤓲 𤓳 𤓴 𤓵 𤓶 𤓷 𤓸 𤓹 𤓺 𤓻 𤓼 𤓽 𤓾 𤓿</t>
        </is>
      </c>
      <c r="R587" s="43" t="inlineStr">
        <is>
          <t>𤐙 𤐰 𤓓</t>
        </is>
      </c>
      <c r="S587" s="40" t="n"/>
      <c r="V587" s="14">
        <f>(LEN(O587)+1)/2</f>
        <v/>
      </c>
      <c r="W587" s="14">
        <f>ROUNDDOWN((LEN(P587)+1)/2,0)</f>
        <v/>
      </c>
      <c r="X587" s="14">
        <f>ROUNDDOWN((LEN(Q587)+1)/2,0)</f>
        <v/>
      </c>
      <c r="Y587" s="14">
        <f>ROUNDDOWN((LEN(R587)+1)/2,0)</f>
        <v/>
      </c>
      <c r="Z587" s="14">
        <f>ROUNDDOWN((LEN(S587)+1)/2,0)</f>
        <v/>
      </c>
      <c r="AA587" s="56" t="n">
        <v>46150.55878362842</v>
      </c>
    </row>
    <row r="588" ht="102" customHeight="1">
      <c r="B588" s="46" t="inlineStr">
        <is>
          <t>U+24600-U+246FF</t>
        </is>
      </c>
      <c r="C588" s="46" t="inlineStr">
        <is>
          <t>CJK Unified Ideographs Extension B</t>
        </is>
      </c>
      <c r="D588" s="54">
        <f>HEX2DEC(MID(B588,3,FIND("-",E588)-3))</f>
        <v/>
      </c>
      <c r="E588" s="46" t="inlineStr">
        <is>
          <t>U+20000-U+2A6DF</t>
        </is>
      </c>
      <c r="F588" s="12" t="n">
        <v>4</v>
      </c>
      <c r="J588" s="19">
        <f>ROUNDDOWN(W588,0)/$V588</f>
        <v/>
      </c>
      <c r="K588" s="19">
        <f>ROUNDDOWN(X588,0)/$V588</f>
        <v/>
      </c>
      <c r="L588" s="19">
        <f>ROUNDDOWN(Y588,0)/$V588</f>
        <v/>
      </c>
      <c r="M588" s="19">
        <f>ROUNDDOWN(Z588,0)/$V588</f>
        <v/>
      </c>
      <c r="O588" s="36" t="inlineStr">
        <is>
          <t>𤔀 𤔁 𤔂 𤔃 𤔄 𤔅 𤔆 𤔇 𤔈 𤔉 𤔊 𤔋 𤔌 𤔍 𤔎 𤔏 𤔐 𤔑 𤔒 𤔓 𤔔 𤔕 𤔖 𤔗 𤔘 𤔙 𤔚 𤔛 𤔜 𤔝 𤔞 𤔟 𤔠 𤔡 𤔢 𤔣 𤔤 𤔥 𤔦 𤔧 𤔨 𤔩 𤔪 𤔫 𤔬 𤔭 𤔮 𤔯 𤔰 𤔱 𤔲 𤔳 𤔴 𤔵 𤔶 𤔷 𤔸 𤔹 𤔺 𤔻 𤔼 𤔽 𤔾 𤔿 𤕀 𤕁 𤕂 𤕃 𤕄 𤕅 𤕆 𤕇 𤕈 𤕉 𤕊 𤕋 𤕌 𤕍 𤕎 𤕏 𤕐 𤕑 𤕒 𤕓 𤕔 𤕕 𤕖 𤕗 𤕘 𤕙 𤕚 𤕛 𤕜 𤕝 𤕞 𤕟 𤕠 𤕡 𤕢 𤕣 𤕤 𤕥 𤕦 𤕧 𤕨 𤕩 𤕪 𤕫 𤕬 𤕭 𤕮 𤕯 𤕰 𤕱 𤕲 𤕳 𤕴 𤕵 𤕶 𤕷 𤕸 𤕹 𤕺 𤕻 𤕼 𤕽 𤕾 𤕿 𤖀 𤖁 𤖂 𤖃 𤖄 𤖅 𤖆 𤖇 𤖈 𤖉 𤖊 𤖋 𤖌 𤖍 𤖎 𤖏 𤖐 𤖑 𤖒 𤖓 𤖔 𤖕 𤖖 𤖗 𤖘 𤖙 𤖚 𤖛 𤖜 𤖝 𤖞 𤖟 𤖠 𤖡 𤖢 𤖣 𤖤 𤖥 𤖦 𤖧 𤖨 𤖩 𤖪 𤖫 𤖬 𤖭 𤖮 𤖯 𤖰 𤖱 𤖲 𤖳 𤖴 𤖵 𤖶 𤖷 𤖸 𤖹 𤖺 𤖻 𤖼 𤖽 𤖾 𤖿 𤗀 𤗁 𤗂 𤗃 𤗄 𤗅 𤗆 𤗇 𤗈 𤗉 𤗊 𤗋 𤗌 𤗍 𤗎 𤗏 𤗐 𤗑 𤗒 𤗓 𤗔 𤗕 𤗖 𤗗 𤗘 𤗙 𤗚 𤗛 𤗜 𤗝 𤗞 𤗟 𤗠 𤗡 𤗢 𤗣 𤗤 𤗥 𤗦 𤗧 𤗨 𤗩 𤗪 𤗫 𤗬 𤗭 𤗮 𤗯 𤗰 𤗱 𤗲 𤗳 𤗴 𤗵 𤗶 𤗷 𤗸 𤗹 𤗺 𤗻 𤗼 𤗽 𤗾 𤗿</t>
        </is>
      </c>
      <c r="P588" s="37" t="inlineStr">
        <is>
          <t>𤔀 𤔁 𤔂 𤔃 𤔄 𤔅 𤔆 𤔇 𤔈 𤔉 𤔊 𤔋 𤔌 𤔍 𤔎 𤔏 𤔐 𤔑 𤔒 𤔓 𤔔 𤔕 𤔖 𤔗 𤔘 𤔙 𤔚 𤔛 𤔜 𤔝 𤔞 𤔟 𤔠 𤔡 𤔢 𤔣 𤔤 𤔥 𤔦 𤔧 𤔨 𤔩 𤔪 𤔫 𤔬 𤔭 𤔮 𤔯 𤔰 𤔱 𤔲 𤔳 𤔴 𤔵 𤔶 𤔷 𤔸 𤔹 𤔺 𤔻 𤔼 𤔽 𤔾 𤔿 𤕀 𤕁 𤕂 𤕃 𤕄 𤕅 𤕆 𤕇 𤕈 𤕉 𤕊 𤕋 𤕌 𤕍 𤕎 𤕏 𤕐 𤕑 𤕒 𤕓 𤕔 𤕕 𤕖 𤕗 𤕘 𤕙 𤕚 𤕛 𤕜 𤕝 𤕞 𤕟 𤕠 𤕡 𤕢 𤕣 𤕤 𤕥 𤕦 𤕧 𤕨 𤕩 𤕪 𤕫 𤕬 𤕭 𤕮 𤕯 𤕰 𤕱 𤕲 𤕳 𤕴 𤕵 𤕶 𤕷 𤕸 𤕹 𤕺 𤕻 𤕼 𤕽 𤕾 𤕿 𤖀 𤖁 𤖂 𤖃 𤖄 𤖅 𤖆 𤖇 𤖈 𤖉 𤖊 𤖋 𤖌 𤖍 𤖎 𤖏 𤖐 𤖑 𤖒 𤖓 𤖔 𤖕 𤖖 𤖗 𤖘 𤖙 𤖚 𤖛 𤖜 𤖝 𤖞 𤖟 𤖠 𤖡 𤖢 𤖣 𤖤 𤖥 𤖦 𤖧 𤖨 𤖩 𤖪 𤖫 𤖬 𤖭 𤖮 𤖯 𤖰 𤖱 𤖲 𤖳 𤖴 𤖵 𤖶 𤖷 𤖸 𤖹 𤖺 𤖻 𤖼 𤖽 𤖾 𤖿 𤗀 𤗁 𤗂 𤗃 𤗄 𤗅 𤗆 𤗇 𤗈 𤗉 𤗊 𤗋 𤗌 𤗍 𤗎 𤗏 𤗐 𤗑 𤗒 𤗓 𤗔 𤗕 𤗖 𤗗 𤗘 𤗙 𤗚 𤗛 𤗜 𤗝 𤗞 𤗟 𤗠 𤗡 𤗢 𤗣 𤗤 𤗥 𤗦 𤗧 𤗨 𤗩 𤗪 𤗫 𤗬 𤗭 𤗮 𤗯 𤗰 𤗱 𤗲 𤗳 𤗴 𤗵 𤗶 𤗷 𤗸 𤗹 𤗺 𤗻 𤗼 𤗽 𤗾 𤗿</t>
        </is>
      </c>
      <c r="Q588" s="38" t="inlineStr">
        <is>
          <t>𤔀 𤔁 𤔂 𤔃 𤔄 𤔅 𤔆 𤔇 𤔈 𤔉 𤔊 𤔋 𤔌 𤔍 𤔎 𤔏 𤔐 𤔑 𤔒 𤔓 𤔔 𤔕 𤔖 𤔗 𤔘 𤔙 𤔚 𤔛 𤔜 𤔝 𤔞 𤔟 𤔠 𤔡 𤔢 𤔣 𤔤 𤔥 𤔦 𤔧 𤔨 𤔩 𤔪 𤔫 𤔬 𤔭 𤔮 𤔯 𤔰 𤔱 𤔲 𤔳 𤔴 𤔵 𤔶 𤔷 𤔸 𤔹 𤔺 𤔻 𤔼 𤔽 𤔾 𤔿 𤕀 𤕁 𤕂 𤕃 𤕄 𤕅 𤕆 𤕇 𤕈 𤕉 𤕊 𤕋 𤕌 𤕍 𤕎 𤕏 𤕐 𤕑 𤕒 𤕓 𤕔 𤕕 𤕖 𤕗 𤕘 𤕙 𤕚 𤕛 𤕜 𤕝 𤕞 𤕟 𤕠 𤕡 𤕢 𤕣 𤕤 𤕥 𤕦 𤕧 𤕨 𤕩 𤕪 𤕫 𤕬 𤕭 𤕮 𤕯 𤕰 𤕱 𤕲 𤕳 𤕴 𤕵 𤕶 𤕷 𤕸 𤕹 𤕺 𤕻 𤕼 𤕽 𤕾 𤕿 𤖀 𤖁 𤖂 𤖃 𤖄 𤖅 𤖆 𤖇 𤖈 𤖉 𤖊 𤖋 𤖌 𤖍 𤖎 𤖏 𤖐 𤖑 𤖒 𤖓 𤖔 𤖕 𤖖 𤖗 𤖘 𤖙 𤖚 𤖛 𤖜 𤖝 𤖞 𤖟 𤖠 𤖡 𤖢 𤖣 𤖤 𤖥 𤖦 𤖧 𤖨 𤖩 𤖪 𤖫 𤖬 𤖭 𤖮 𤖯 𤖰 𤖱 𤖲 𤖳 𤖴 𤖵 𤖶 𤖷 𤖸 𤖹 𤖺 𤖻 𤖼 𤖽 𤖾 𤖿 𤗀 𤗁 𤗂 𤗃 𤗄 𤗅 𤗆 𤗇 𤗈 𤗉 𤗊 𤗋 𤗌 𤗍 𤗎 𤗏 𤗐 𤗑 𤗒 𤗓 𤗔 𤗕 𤗖 𤗗 𤗘 𤗙 𤗚 𤗛 𤗜 𤗝 𤗞 𤗟 𤗠 𤗡 𤗢 𤗣 𤗤 𤗥 𤗦 𤗧 𤗨 𤗩 𤗪 𤗫 𤗬 𤗭 𤗮 𤗯 𤗰 𤗱 𤗲 𤗳 𤗴 𤗵 𤗶 𤗷 𤗸 𤗹 𤗺 𤗻 𤗼 𤗽 𤗾 𤗿</t>
        </is>
      </c>
      <c r="R588" s="43" t="inlineStr"/>
      <c r="S588" s="40" t="n"/>
      <c r="V588" s="14">
        <f>(LEN(O588)+1)/2</f>
        <v/>
      </c>
      <c r="W588" s="14">
        <f>ROUNDDOWN((LEN(P588)+1)/2,0)</f>
        <v/>
      </c>
      <c r="X588" s="14">
        <f>ROUNDDOWN((LEN(Q588)+1)/2,0)</f>
        <v/>
      </c>
      <c r="Y588" s="14">
        <f>ROUNDDOWN((LEN(R588)+1)/2,0)</f>
        <v/>
      </c>
      <c r="Z588" s="14">
        <f>ROUNDDOWN((LEN(S588)+1)/2,0)</f>
        <v/>
      </c>
      <c r="AA588" s="56" t="n">
        <v>46150.55878471377</v>
      </c>
    </row>
    <row r="589" ht="102" customHeight="1">
      <c r="B589" s="46" t="inlineStr">
        <is>
          <t>U+24700-U+247FF</t>
        </is>
      </c>
      <c r="C589" s="46" t="inlineStr">
        <is>
          <t>CJK Unified Ideographs Extension B</t>
        </is>
      </c>
      <c r="D589" s="54">
        <f>HEX2DEC(MID(B589,3,FIND("-",E589)-3))</f>
        <v/>
      </c>
      <c r="E589" s="46" t="inlineStr">
        <is>
          <t>U+20000-U+2A6DF</t>
        </is>
      </c>
      <c r="F589" s="12" t="n">
        <v>4</v>
      </c>
      <c r="J589" s="19">
        <f>ROUNDDOWN(W589,0)/$V589</f>
        <v/>
      </c>
      <c r="K589" s="19">
        <f>ROUNDDOWN(X589,0)/$V589</f>
        <v/>
      </c>
      <c r="L589" s="19">
        <f>ROUNDDOWN(Y589,0)/$V589</f>
        <v/>
      </c>
      <c r="M589" s="19">
        <f>ROUNDDOWN(Z589,0)/$V589</f>
        <v/>
      </c>
      <c r="O589" s="36" t="inlineStr">
        <is>
          <t>𤘀 𤘁 𤘂 𤘃 𤘄 𤘅 𤘆 𤘇 𤘈 𤘉 𤘊 𤘋 𤘌 𤘍 𤘎 𤘏 𤘐 𤘑 𤘒 𤘓 𤘔 𤘕 𤘖 𤘗 𤘘 𤘙 𤘚 𤘛 𤘜 𤘝 𤘞 𤘟 𤘠 𤘡 𤘢 𤘣 𤘤 𤘥 𤘦 𤘧 𤘨 𤘩 𤘪 𤘫 𤘬 𤘭 𤘮 𤘯 𤘰 𤘱 𤘲 𤘳 𤘴 𤘵 𤘶 𤘷 𤘸 𤘹 𤘺 𤘻 𤘼 𤘽 𤘾 𤘿 𤙀 𤙁 𤙂 𤙃 𤙄 𤙅 𤙆 𤙇 𤙈 𤙉 𤙊 𤙋 𤙌 𤙍 𤙎 𤙏 𤙐 𤙑 𤙒 𤙓 𤙔 𤙕 𤙖 𤙗 𤙘 𤙙 𤙚 𤙛 𤙜 𤙝 𤙞 𤙟 𤙠 𤙡 𤙢 𤙣 𤙤 𤙥 𤙦 𤙧 𤙨 𤙩 𤙪 𤙫 𤙬 𤙭 𤙮 𤙯 𤙰 𤙱 𤙲 𤙳 𤙴 𤙵 𤙶 𤙷 𤙸 𤙹 𤙺 𤙻 𤙼 𤙽 𤙾 𤙿 𤚀 𤚁 𤚂 𤚃 𤚄 𤚅 𤚆 𤚇 𤚈 𤚉 𤚊 𤚋 𤚌 𤚍 𤚎 𤚏 𤚐 𤚑 𤚒 𤚓 𤚔 𤚕 𤚖 𤚗 𤚘 𤚙 𤚚 𤚛 𤚜 𤚝 𤚞 𤚟 𤚠 𤚡 𤚢 𤚣 𤚤 𤚥 𤚦 𤚧 𤚨 𤚩 𤚪 𤚫 𤚬 𤚭 𤚮 𤚯 𤚰 𤚱 𤚲 𤚳 𤚴 𤚵 𤚶 𤚷 𤚸 𤚹 𤚺 𤚻 𤚼 𤚽 𤚾 𤚿 𤛀 𤛁 𤛂 𤛃 𤛄 𤛅 𤛆 𤛇 𤛈 𤛉 𤛊 𤛋 𤛌 𤛍 𤛎 𤛏 𤛐 𤛑 𤛒 𤛓 𤛔 𤛕 𤛖 𤛗 𤛘 𤛙 𤛚 𤛛 𤛜 𤛝 𤛞 𤛟 𤛠 𤛡 𤛢 𤛣 𤛤 𤛥 𤛦 𤛧 𤛨 𤛩 𤛪 𤛫 𤛬 𤛭 𤛮 𤛯 𤛰 𤛱 𤛲 𤛳 𤛴 𤛵 𤛶 𤛷 𤛸 𤛹 𤛺 𤛻 𤛼 𤛽 𤛾 𤛿</t>
        </is>
      </c>
      <c r="P589" s="37" t="inlineStr">
        <is>
          <t>𤘀 𤘁 𤘂 𤘃 𤘄 𤘅 𤘆 𤘇 𤘈 𤘉 𤘊 𤘋 𤘌 𤘍 𤘎 𤘏 𤘐 𤘑 𤘒 𤘓 𤘔 𤘕 𤘖 𤘗 𤘘 𤘙 𤘚 𤘛 𤘜 𤘝 𤘞 𤘟 𤘠 𤘡 𤘢 𤘣 𤘤 𤘥 𤘦 𤘧 𤘨 𤘩 𤘪 𤘫 𤘬 𤘭 𤘮 𤘯 𤘰 𤘱 𤘲 𤘳 𤘴 𤘵 𤘶 𤘷 𤘸 𤘹 𤘺 𤘻 𤘼 𤘽 𤘾 𤘿 𤙀 𤙁 𤙂 𤙃 𤙄 𤙅 𤙆 𤙇 𤙈 𤙉 𤙊 𤙋 𤙌 𤙍 𤙎 𤙏 𤙐 𤙑 𤙒 𤙓 𤙔 𤙕 𤙖 𤙗 𤙘 𤙙 𤙚 𤙛 𤙜 𤙝 𤙞 𤙟 𤙠 𤙡 𤙢 𤙣 𤙤 𤙥 𤙦 𤙧 𤙨 𤙩 𤙪 𤙫 𤙬 𤙭 𤙮 𤙯 𤙰 𤙱 𤙲 𤙳 𤙴 𤙵 𤙶 𤙷 𤙸 𤙹 𤙺 𤙻 𤙼 𤙽 𤙾 𤙿 𤚀 𤚁 𤚂 𤚃 𤚄 𤚅 𤚆 𤚇 𤚈 𤚉 𤚊 𤚋 𤚌 𤚍 𤚎 𤚏 𤚐 𤚑 𤚒 𤚓 𤚔 𤚕 𤚖 𤚗 𤚘 𤚙 𤚚 𤚛 𤚜 𤚝 𤚞 𤚟 𤚠 𤚡 𤚢 𤚣 𤚤 𤚥 𤚦 𤚧 𤚨 𤚩 𤚪 𤚫 𤚬 𤚭 𤚮 𤚯 𤚰 𤚱 𤚲 𤚳 𤚴 𤚵 𤚶 𤚷 𤚸 𤚹 𤚺 𤚻 𤚼 𤚽 𤚾 𤚿 𤛀 𤛁 𤛂 𤛃 𤛄 𤛅 𤛆 𤛇 𤛈 𤛉 𤛊 𤛋 𤛌 𤛍 𤛎 𤛏 𤛐 𤛑 𤛒 𤛓 𤛔 𤛕 𤛖 𤛗 𤛘 𤛙 𤛚 𤛛 𤛜 𤛝 𤛞 𤛟 𤛠 𤛡 𤛢 𤛣 𤛤 𤛥 𤛦 𤛧 𤛨 𤛩 𤛪 𤛫 𤛬 𤛭 𤛮 𤛯 𤛰 𤛱 𤛲 𤛳 𤛴 𤛵 𤛶 𤛷 𤛸 𤛹 𤛺 𤛻 𤛼 𤛽 𤛾 𤛿</t>
        </is>
      </c>
      <c r="Q589" s="38" t="inlineStr">
        <is>
          <t>𤘀 𤘁 𤘂 𤘃 𤘄 𤘅 𤘆 𤘇 𤘈 𤘉 𤘊 𤘋 𤘌 𤘍 𤘎 𤘏 𤘐 𤘑 𤘒 𤘓 𤘔 𤘕 𤘖 𤘗 𤘘 𤘙 𤘚 𤘛 𤘜 𤘝 𤘞 𤘟 𤘠 𤘡 𤘢 𤘣 𤘤 𤘥 𤘦 𤘧 𤘨 𤘩 𤘪 𤘫 𤘬 𤘭 𤘮 𤘯 𤘰 𤘱 𤘲 𤘳 𤘴 𤘵 𤘶 𤘷 𤘸 𤘹 𤘺 𤘻 𤘼 𤘽 𤘾 𤘿 𤙀 𤙁 𤙂 𤙃 𤙄 𤙅 𤙆 𤙇 𤙈 𤙉 𤙊 𤙋 𤙌 𤙍 𤙎 𤙏 𤙐 𤙑 𤙒 𤙓 𤙔 𤙕 𤙖 𤙗 𤙘 𤙙 𤙚 𤙛 𤙜 𤙝 𤙞 𤙟 𤙠 𤙡 𤙢 𤙣 𤙤 𤙥 𤙦 𤙧 𤙨 𤙩 𤙪 𤙫 𤙬 𤙭 𤙮 𤙯 𤙰 𤙱 𤙲 𤙳 𤙴 𤙵 𤙶 𤙷 𤙸 𤙹 𤙺 𤙻 𤙼 𤙽 𤙾 𤙿 𤚀 𤚁 𤚂 𤚃 𤚄 𤚅 𤚆 𤚇 𤚈 𤚉 𤚊 𤚋 𤚌 𤚍 𤚎 𤚏 𤚐 𤚑 𤚒 𤚓 𤚔 𤚕 𤚖 𤚗 𤚘 𤚙 𤚚 𤚛 𤚜 𤚝 𤚞 𤚟 𤚠 𤚡 𤚢 𤚣 𤚤 𤚥 𤚦 𤚧 𤚨 𤚩 𤚪 𤚫 𤚬 𤚭 𤚮 𤚯 𤚰 𤚱 𤚲 𤚳 𤚴 𤚵 𤚶 𤚷 𤚸 𤚹 𤚺 𤚻 𤚼 𤚽 𤚾 𤚿 𤛀 𤛁 𤛂 𤛃 𤛄 𤛅 𤛆 𤛇 𤛈 𤛉 𤛊 𤛋 𤛌 𤛍 𤛎 𤛏 𤛐 𤛑 𤛒 𤛓 𤛔 𤛕 𤛖 𤛗 𤛘 𤛙 𤛚 𤛛 𤛜 𤛝 𤛞 𤛟 𤛠 𤛡 𤛢 𤛣 𤛤 𤛥 𤛦 𤛧 𤛨 𤛩 𤛪 𤛫 𤛬 𤛭 𤛮 𤛯 𤛰 𤛱 𤛲 𤛳 𤛴 𤛵 𤛶 𤛷 𤛸 𤛹 𤛺 𤛻 𤛼 𤛽 𤛾 𤛿</t>
        </is>
      </c>
      <c r="R589" s="43" t="inlineStr">
        <is>
          <t>𤘅 𤘩 𤚥</t>
        </is>
      </c>
      <c r="S589" s="40" t="n"/>
      <c r="V589" s="14">
        <f>(LEN(O589)+1)/2</f>
        <v/>
      </c>
      <c r="W589" s="14">
        <f>ROUNDDOWN((LEN(P589)+1)/2,0)</f>
        <v/>
      </c>
      <c r="X589" s="14">
        <f>ROUNDDOWN((LEN(Q589)+1)/2,0)</f>
        <v/>
      </c>
      <c r="Y589" s="14">
        <f>ROUNDDOWN((LEN(R589)+1)/2,0)</f>
        <v/>
      </c>
      <c r="Z589" s="14">
        <f>ROUNDDOWN((LEN(S589)+1)/2,0)</f>
        <v/>
      </c>
      <c r="AA589" s="56" t="n">
        <v>46150.55878589817</v>
      </c>
    </row>
    <row r="590" ht="102" customHeight="1">
      <c r="B590" s="46" t="inlineStr">
        <is>
          <t>U+24800-U+248FF</t>
        </is>
      </c>
      <c r="C590" s="46" t="inlineStr">
        <is>
          <t>CJK Unified Ideographs Extension B</t>
        </is>
      </c>
      <c r="D590" s="54">
        <f>HEX2DEC(MID(B590,3,FIND("-",E590)-3))</f>
        <v/>
      </c>
      <c r="E590" s="46" t="inlineStr">
        <is>
          <t>U+20000-U+2A6DF</t>
        </is>
      </c>
      <c r="F590" s="12" t="n">
        <v>4</v>
      </c>
      <c r="J590" s="19">
        <f>ROUNDDOWN(W590,0)/$V590</f>
        <v/>
      </c>
      <c r="K590" s="19">
        <f>ROUNDDOWN(X590,0)/$V590</f>
        <v/>
      </c>
      <c r="L590" s="19">
        <f>ROUNDDOWN(Y590,0)/$V590</f>
        <v/>
      </c>
      <c r="M590" s="19">
        <f>ROUNDDOWN(Z590,0)/$V590</f>
        <v/>
      </c>
      <c r="O590" s="36" t="inlineStr">
        <is>
          <t>𤜀 𤜁 𤜂 𤜃 𤜄 𤜅 𤜆 𤜇 𤜈 𤜉 𤜊 𤜋 𤜌 𤜍 𤜎 𤜏 𤜐 𤜑 𤜒 𤜓 𤜔 𤜕 𤜖 𤜗 𤜘 𤜙 𤜚 𤜛 𤜜 𤜝 𤜞 𤜟 𤜠 𤜡 𤜢 𤜣 𤜤 𤜥 𤜦 𤜧 𤜨 𤜩 𤜪 𤜫 𤜬 𤜭 𤜮 𤜯 𤜰 𤜱 𤜲 𤜳 𤜴 𤜵 𤜶 𤜷 𤜸 𤜹 𤜺 𤜻 𤜼 𤜽 𤜾 𤜿 𤝀 𤝁 𤝂 𤝃 𤝄 𤝅 𤝆 𤝇 𤝈 𤝉 𤝊 𤝋 𤝌 𤝍 𤝎 𤝏 𤝐 𤝑 𤝒 𤝓 𤝔 𤝕 𤝖 𤝗 𤝘 𤝙 𤝚 𤝛 𤝜 𤝝 𤝞 𤝟 𤝠 𤝡 𤝢 𤝣 𤝤 𤝥 𤝦 𤝧 𤝨 𤝩 𤝪 𤝫 𤝬 𤝭 𤝮 𤝯 𤝰 𤝱 𤝲 𤝳 𤝴 𤝵 𤝶 𤝷 𤝸 𤝹 𤝺 𤝻 𤝼 𤝽 𤝾 𤝿 𤞀 𤞁 𤞂 𤞃 𤞄 𤞅 𤞆 𤞇 𤞈 𤞉 𤞊 𤞋 𤞌 𤞍 𤞎 𤞏 𤞐 𤞑 𤞒 𤞓 𤞔 𤞕 𤞖 𤞗 𤞘 𤞙 𤞚 𤞛 𤞜 𤞝 𤞞 𤞟 𤞠 𤞡 𤞢 𤞣 𤞤 𤞥 𤞦 𤞧 𤞨 𤞩 𤞪 𤞫 𤞬 𤞭 𤞮 𤞯 𤞰 𤞱 𤞲 𤞳 𤞴 𤞵 𤞶 𤞷 𤞸 𤞹 𤞺 𤞻 𤞼 𤞽 𤞾 𤞿 𤟀 𤟁 𤟂 𤟃 𤟄 𤟅 𤟆 𤟇 𤟈 𤟉 𤟊 𤟋 𤟌 𤟍 𤟎 𤟏 𤟐 𤟑 𤟒 𤟓 𤟔 𤟕 𤟖 𤟗 𤟘 𤟙 𤟚 𤟛 𤟜 𤟝 𤟞 𤟟 𤟠 𤟡 𤟢 𤟣 𤟤 𤟥 𤟦 𤟧 𤟨 𤟩 𤟪 𤟫 𤟬 𤟭 𤟮 𤟯 𤟰 𤟱 𤟲 𤟳 𤟴 𤟵 𤟶 𤟷 𤟸 𤟹 𤟺 𤟻 𤟼 𤟽 𤟾 𤟿</t>
        </is>
      </c>
      <c r="P590" s="37" t="inlineStr">
        <is>
          <t>𤜀 𤜁 𤜂 𤜃 𤜄 𤜅 𤜆 𤜇 𤜈 𤜉 𤜊 𤜋 𤜌 𤜍 𤜎 𤜏 𤜐 𤜑 𤜒 𤜓 𤜔 𤜕 𤜖 𤜗 𤜘 𤜙 𤜚 𤜛 𤜜 𤜝 𤜞 𤜟 𤜠 𤜡 𤜢 𤜣 𤜤 𤜥 𤜦 𤜧 𤜨 𤜩 𤜪 𤜫 𤜬 𤜭 𤜮 𤜯 𤜰 𤜱 𤜲 𤜳 𤜴 𤜵 𤜶 𤜷 𤜸 𤜹 𤜺 𤜻 𤜼 𤜽 𤜾 𤜿 𤝀 𤝁 𤝂 𤝃 𤝄 𤝅 𤝆 𤝇 𤝈 𤝉 𤝊 𤝋 𤝌 𤝍 𤝎 𤝏 𤝐 𤝑 𤝒 𤝓 𤝔 𤝕 𤝖 𤝗 𤝘 𤝙 𤝚 𤝛 𤝜 𤝝 𤝞 𤝟 𤝠 𤝡 𤝢 𤝣 𤝤 𤝥 𤝦 𤝧 𤝨 𤝩 𤝪 𤝫 𤝬 𤝭 𤝮 𤝯 𤝰 𤝱 𤝲 𤝳 𤝴 𤝵 𤝶 𤝷 𤝸 𤝹 𤝺 𤝻 𤝼 𤝽 𤝾 𤝿 𤞀 𤞁 𤞂 𤞃 𤞄 𤞅 𤞆 𤞇 𤞈 𤞉 𤞊 𤞋 𤞌 𤞍 𤞎 𤞏 𤞐 𤞑 𤞒 𤞓 𤞔 𤞕 𤞖 𤞗 𤞘 𤞙 𤞚 𤞛 𤞜 𤞝 𤞞 𤞟 𤞠 𤞡 𤞢 𤞣 𤞤 𤞥 𤞦 𤞧 𤞨 𤞩 𤞪 𤞫 𤞬 𤞭 𤞮 𤞯 𤞰 𤞱 𤞲 𤞳 𤞴 𤞵 𤞶 𤞷 𤞸 𤞹 𤞺 𤞻 𤞼 𤞽 𤞾 𤞿 𤟀 𤟁 𤟂 𤟃 𤟄 𤟅 𤟆 𤟇 𤟈 𤟉 𤟊 𤟋 𤟌 𤟍 𤟎 𤟏 𤟐 𤟑 𤟒 𤟓 𤟔 𤟕 𤟖 𤟗 𤟘 𤟙 𤟚 𤟛 𤟜 𤟝 𤟞 𤟟 𤟠 𤟡 𤟢 𤟣 𤟤 𤟥 𤟦 𤟧 𤟨 𤟩 𤟪 𤟫 𤟬 𤟭 𤟮 𤟯 𤟰 𤟱 𤟲 𤟳 𤟴 𤟵 𤟶 𤟷 𤟸 𤟹 𤟺 𤟻 𤟼 𤟽 𤟾 𤟿</t>
        </is>
      </c>
      <c r="Q590" s="38" t="inlineStr">
        <is>
          <t>𤜀 𤜁 𤜂 𤜃 𤜄 𤜅 𤜆 𤜇 𤜈 𤜉 𤜊 𤜋 𤜌 𤜍 𤜎 𤜏 𤜐 𤜑 𤜒 𤜓 𤜔 𤜕 𤜖 𤜗 𤜘 𤜙 𤜚 𤜛 𤜜 𤜝 𤜞 𤜟 𤜠 𤜡 𤜢 𤜣 𤜤 𤜥 𤜦 𤜧 𤜨 𤜩 𤜪 𤜫 𤜬 𤜭 𤜮 𤜯 𤜰 𤜱 𤜲 𤜳 𤜴 𤜵 𤜶 𤜷 𤜸 𤜹 𤜺 𤜻 𤜼 𤜽 𤜾 𤜿 𤝀 𤝁 𤝂 𤝃 𤝄 𤝅 𤝆 𤝇 𤝈 𤝉 𤝊 𤝋 𤝌 𤝍 𤝎 𤝏 𤝐 𤝑 𤝒 𤝓 𤝔 𤝕 𤝖 𤝗 𤝘 𤝙 𤝚 𤝛 𤝜 𤝝 𤝞 𤝟 𤝠 𤝡 𤝢 𤝣 𤝤 𤝥 𤝦 𤝧 𤝨 𤝩 𤝪 𤝫 𤝬 𤝭 𤝮 𤝯 𤝰 𤝱 𤝲 𤝳 𤝴 𤝵 𤝶 𤝷 𤝸 𤝹 𤝺 𤝻 𤝼 𤝽 𤝾 𤝿 𤞀 𤞁 𤞂 𤞃 𤞄 𤞅 𤞆 𤞇 𤞈 𤞉 𤞊 𤞋 𤞌 𤞍 𤞎 𤞏 𤞐 𤞑 𤞒 𤞓 𤞔 𤞕 𤞖 𤞗 𤞘 𤞙 𤞚 𤞛 𤞜 𤞝 𤞞 𤞟 𤞠 𤞡 𤞢 𤞣 𤞤 𤞥 𤞦 𤞧 𤞨 𤞩 𤞪 𤞫 𤞬 𤞭 𤞮 𤞯 𤞰 𤞱 𤞲 𤞳 𤞴 𤞵 𤞶 𤞷 𤞸 𤞹 𤞺 𤞻 𤞼 𤞽 𤞾 𤞿 𤟀 𤟁 𤟂 𤟃 𤟄 𤟅 𤟆 𤟇 𤟈 𤟉 𤟊 𤟋 𤟌 𤟍 𤟎 𤟏 𤟐 𤟑 𤟒 𤟓 𤟔 𤟕 𤟖 𤟗 𤟘 𤟙 𤟚 𤟛 𤟜 𤟝 𤟞 𤟟 𤟠 𤟡 𤟢 𤟣 𤟤 𤟥 𤟦 𤟧 𤟨 𤟩 𤟪 𤟫 𤟬 𤟭 𤟮 𤟯 𤟰 𤟱 𤟲 𤟳 𤟴 𤟵 𤟶 𤟷 𤟸 𤟹 𤟺 𤟻 𤟼 𤟽 𤟾 𤟿</t>
        </is>
      </c>
      <c r="R590" s="43" t="inlineStr">
        <is>
          <t>𤞤 𤞶 𤟱</t>
        </is>
      </c>
      <c r="S590" s="40" t="n"/>
      <c r="V590" s="14">
        <f>(LEN(O590)+1)/2</f>
        <v/>
      </c>
      <c r="W590" s="14">
        <f>ROUNDDOWN((LEN(P590)+1)/2,0)</f>
        <v/>
      </c>
      <c r="X590" s="14">
        <f>ROUNDDOWN((LEN(Q590)+1)/2,0)</f>
        <v/>
      </c>
      <c r="Y590" s="14">
        <f>ROUNDDOWN((LEN(R590)+1)/2,0)</f>
        <v/>
      </c>
      <c r="Z590" s="14">
        <f>ROUNDDOWN((LEN(S590)+1)/2,0)</f>
        <v/>
      </c>
      <c r="AA590" s="56" t="n">
        <v>46150.55878722393</v>
      </c>
    </row>
    <row r="591" ht="102" customHeight="1">
      <c r="B591" s="46" t="inlineStr">
        <is>
          <t>U+24900-U+249FF</t>
        </is>
      </c>
      <c r="C591" s="46" t="inlineStr">
        <is>
          <t>CJK Unified Ideographs Extension B</t>
        </is>
      </c>
      <c r="D591" s="54">
        <f>HEX2DEC(MID(B591,3,FIND("-",E591)-3))</f>
        <v/>
      </c>
      <c r="E591" s="46" t="inlineStr">
        <is>
          <t>U+20000-U+2A6DF</t>
        </is>
      </c>
      <c r="F591" s="12" t="n">
        <v>4</v>
      </c>
      <c r="J591" s="19">
        <f>ROUNDDOWN(W591,0)/$V591</f>
        <v/>
      </c>
      <c r="K591" s="19">
        <f>ROUNDDOWN(X591,0)/$V591</f>
        <v/>
      </c>
      <c r="L591" s="19">
        <f>ROUNDDOWN(Y591,0)/$V591</f>
        <v/>
      </c>
      <c r="M591" s="19">
        <f>ROUNDDOWN(Z591,0)/$V591</f>
        <v/>
      </c>
      <c r="O591" s="36" t="inlineStr">
        <is>
          <t>𤠀 𤠁 𤠂 𤠃 𤠄 𤠅 𤠆 𤠇 𤠈 𤠉 𤠊 𤠋 𤠌 𤠍 𤠎 𤠏 𤠐 𤠑 𤠒 𤠓 𤠔 𤠕 𤠖 𤠗 𤠘 𤠙 𤠚 𤠛 𤠜 𤠝 𤠞 𤠟 𤠠 𤠡 𤠢 𤠣 𤠤 𤠥 𤠦 𤠧 𤠨 𤠩 𤠪 𤠫 𤠬 𤠭 𤠮 𤠯 𤠰 𤠱 𤠲 𤠳 𤠴 𤠵 𤠶 𤠷 𤠸 𤠹 𤠺 𤠻 𤠼 𤠽 𤠾 𤠿 𤡀 𤡁 𤡂 𤡃 𤡄 𤡅 𤡆 𤡇 𤡈 𤡉 𤡊 𤡋 𤡌 𤡍 𤡎 𤡏 𤡐 𤡑 𤡒 𤡓 𤡔 𤡕 𤡖 𤡗 𤡘 𤡙 𤡚 𤡛 𤡜 𤡝 𤡞 𤡟 𤡠 𤡡 𤡢 𤡣 𤡤 𤡥 𤡦 𤡧 𤡨 𤡩 𤡪 𤡫 𤡬 𤡭 𤡮 𤡯 𤡰 𤡱 𤡲 𤡳 𤡴 𤡵 𤡶 𤡷 𤡸 𤡹 𤡺 𤡻 𤡼 𤡽 𤡾 𤡿 𤢀 𤢁 𤢂 𤢃 𤢄 𤢅 𤢆 𤢇 𤢈 𤢉 𤢊 𤢋 𤢌 𤢍 𤢎 𤢏 𤢐 𤢑 𤢒 𤢓 𤢔 𤢕 𤢖 𤢗 𤢘 𤢙 𤢚 𤢛 𤢜 𤢝 𤢞 𤢟 𤢠 𤢡 𤢢 𤢣 𤢤 𤢥 𤢦 𤢧 𤢨 𤢩 𤢪 𤢫 𤢬 𤢭 𤢮 𤢯 𤢰 𤢱 𤢲 𤢳 𤢴 𤢵 𤢶 𤢷 𤢸 𤢹 𤢺 𤢻 𤢼 𤢽 𤢾 𤢿 𤣀 𤣁 𤣂 𤣃 𤣄 𤣅 𤣆 𤣇 𤣈 𤣉 𤣊 𤣋 𤣌 𤣍 𤣎 𤣏 𤣐 𤣑 𤣒 𤣓 𤣔 𤣕 𤣖 𤣗 𤣘 𤣙 𤣚 𤣛 𤣜 𤣝 𤣞 𤣟 𤣠 𤣡 𤣢 𤣣 𤣤 𤣥 𤣦 𤣧 𤣨 𤣩 𤣪 𤣫 𤣬 𤣭 𤣮 𤣯 𤣰 𤣱 𤣲 𤣳 𤣴 𤣵 𤣶 𤣷 𤣸 𤣹 𤣺 𤣻 𤣼 𤣽 𤣾 𤣿</t>
        </is>
      </c>
      <c r="P591" s="37" t="inlineStr">
        <is>
          <t>𤠀 𤠁 𤠂 𤠃 𤠄 𤠅 𤠆 𤠇 𤠈 𤠉 𤠊 𤠋 𤠌 𤠍 𤠎 𤠏 𤠐 𤠑 𤠒 𤠓 𤠔 𤠕 𤠖 𤠗 𤠘 𤠙 𤠚 𤠛 𤠜 𤠝 𤠞 𤠟 𤠠 𤠡 𤠢 𤠣 𤠤 𤠥 𤠦 𤠧 𤠨 𤠩 𤠪 𤠫 𤠬 𤠭 𤠮 𤠯 𤠰 𤠱 𤠲 𤠳 𤠴 𤠵 𤠶 𤠷 𤠸 𤠹 𤠺 𤠻 𤠼 𤠽 𤠾 𤠿 𤡀 𤡁 𤡂 𤡃 𤡄 𤡅 𤡆 𤡇 𤡈 𤡉 𤡊 𤡋 𤡌 𤡍 𤡎 𤡏 𤡐 𤡑 𤡒 𤡓 𤡔 𤡕 𤡖 𤡗 𤡘 𤡙 𤡚 𤡛 𤡜 𤡝 𤡞 𤡟 𤡠 𤡡 𤡢 𤡣 𤡤 𤡥 𤡦 𤡧 𤡨 𤡩 𤡪 𤡫 𤡬 𤡭 𤡮 𤡯 𤡰 𤡱 𤡲 𤡳 𤡴 𤡵 𤡶 𤡷 𤡸 𤡹 𤡺 𤡻 𤡼 𤡽 𤡾 𤡿 𤢀 𤢁 𤢂 𤢃 𤢄 𤢅 𤢆 𤢇 𤢈 𤢉 𤢊 𤢋 𤢌 𤢍 𤢎 𤢏 𤢐 𤢑 𤢒 𤢓 𤢔 𤢕 𤢖 𤢗 𤢘 𤢙 𤢚 𤢛 𤢜 𤢝 𤢞 𤢟 𤢠 𤢡 𤢢 𤢣 𤢤 𤢥 𤢦 𤢧 𤢨 𤢩 𤢪 𤢫 𤢬 𤢭 𤢮 𤢯 𤢰 𤢱 𤢲 𤢳 𤢴 𤢵 𤢶 𤢷 𤢸 𤢹 𤢺 𤢻 𤢼 𤢽 𤢾 𤢿 𤣀 𤣁 𤣂 𤣃 𤣄 𤣅 𤣆 𤣇 𤣈 𤣉 𤣊 𤣋 𤣌 𤣍 𤣎 𤣏 𤣐 𤣑 𤣒 𤣓 𤣔 𤣕 𤣖 𤣗 𤣘 𤣙 𤣚 𤣛 𤣜 𤣝 𤣞 𤣟 𤣠 𤣡 𤣢 𤣣 𤣤 𤣥 𤣦 𤣧 𤣨 𤣩 𤣪 𤣫 𤣬 𤣭 𤣮 𤣯 𤣰 𤣱 𤣲 𤣳 𤣴 𤣵 𤣶 𤣷 𤣸 𤣹 𤣺 𤣻 𤣼 𤣽 𤣾 𤣿</t>
        </is>
      </c>
      <c r="Q591" s="38" t="inlineStr">
        <is>
          <t>𤠀 𤠁 𤠂 𤠃 𤠄 𤠅 𤠆 𤠇 𤠈 𤠉 𤠊 𤠋 𤠌 𤠍 𤠎 𤠏 𤠐 𤠑 𤠒 𤠓 𤠔 𤠕 𤠖 𤠗 𤠘 𤠙 𤠚 𤠛 𤠜 𤠝 𤠞 𤠟 𤠠 𤠡 𤠢 𤠣 𤠤 𤠥 𤠦 𤠧 𤠨 𤠩 𤠪 𤠫 𤠬 𤠭 𤠮 𤠯 𤠰 𤠱 𤠲 𤠳 𤠴 𤠵 𤠶 𤠷 𤠸 𤠹 𤠺 𤠻 𤠼 𤠽 𤠾 𤠿 𤡀 𤡁 𤡂 𤡃 𤡄 𤡅 𤡆 𤡇 𤡈 𤡉 𤡊 𤡋 𤡌 𤡍 𤡎 𤡏 𤡐 𤡑 𤡒 𤡓 𤡔 𤡕 𤡖 𤡗 𤡘 𤡙 𤡚 𤡛 𤡜 𤡝 𤡞 𤡟 𤡠 𤡡 𤡢 𤡣 𤡤 𤡥 𤡦 𤡧 𤡨 𤡩 𤡪 𤡫 𤡬 𤡭 𤡮 𤡯 𤡰 𤡱 𤡲 𤡳 𤡴 𤡵 𤡶 𤡷 𤡸 𤡹 𤡺 𤡻 𤡼 𤡽 𤡾 𤡿 𤢀 𤢁 𤢂 𤢃 𤢄 𤢅 𤢆 𤢇 𤢈 𤢉 𤢊 𤢋 𤢌 𤢍 𤢎 𤢏 𤢐 𤢑 𤢒 𤢓 𤢔 𤢕 𤢖 𤢗 𤢘 𤢙 𤢚 𤢛 𤢜 𤢝 𤢞 𤢟 𤢠 𤢡 𤢢 𤢣 𤢤 𤢥 𤢦 𤢧 𤢨 𤢩 𤢪 𤢫 𤢬 𤢭 𤢮 𤢯 𤢰 𤢱 𤢲 𤢳 𤢴 𤢵 𤢶 𤢷 𤢸 𤢹 𤢺 𤢻 𤢼 𤢽 𤢾 𤢿 𤣀 𤣁 𤣂 𤣃 𤣄 𤣅 𤣆 𤣇 𤣈 𤣉 𤣊 𤣋 𤣌 𤣍 𤣎 𤣏 𤣐 𤣑 𤣒 𤣓 𤣔 𤣕 𤣖 𤣗 𤣘 𤣙 𤣚 𤣛 𤣜 𤣝 𤣞 𤣟 𤣠 𤣡 𤣢 𤣣 𤣤 𤣥 𤣦 𤣧 𤣨 𤣩 𤣪 𤣫 𤣬 𤣭 𤣮 𤣯 𤣰 𤣱 𤣲 𤣳 𤣴 𤣵 𤣶 𤣷 𤣸 𤣹 𤣺 𤣻 𤣼 𤣽 𤣾 𤣿</t>
        </is>
      </c>
      <c r="R591" s="43" t="inlineStr">
        <is>
          <t>𤢖 𤣩</t>
        </is>
      </c>
      <c r="S591" s="40" t="n"/>
      <c r="V591" s="14">
        <f>(LEN(O591)+1)/2</f>
        <v/>
      </c>
      <c r="W591" s="14">
        <f>ROUNDDOWN((LEN(P591)+1)/2,0)</f>
        <v/>
      </c>
      <c r="X591" s="14">
        <f>ROUNDDOWN((LEN(Q591)+1)/2,0)</f>
        <v/>
      </c>
      <c r="Y591" s="14">
        <f>ROUNDDOWN((LEN(R591)+1)/2,0)</f>
        <v/>
      </c>
      <c r="Z591" s="14">
        <f>ROUNDDOWN((LEN(S591)+1)/2,0)</f>
        <v/>
      </c>
      <c r="AA591" s="56" t="n">
        <v>46150.55878839851</v>
      </c>
    </row>
    <row r="592" ht="102" customHeight="1">
      <c r="B592" s="46" t="inlineStr">
        <is>
          <t>U+24A00-U+24AFF</t>
        </is>
      </c>
      <c r="C592" s="46" t="inlineStr">
        <is>
          <t>CJK Unified Ideographs Extension B</t>
        </is>
      </c>
      <c r="D592" s="54">
        <f>HEX2DEC(MID(B592,3,FIND("-",E592)-3))</f>
        <v/>
      </c>
      <c r="E592" s="46" t="inlineStr">
        <is>
          <t>U+20000-U+2A6DF</t>
        </is>
      </c>
      <c r="F592" s="12" t="n">
        <v>4</v>
      </c>
      <c r="J592" s="19">
        <f>ROUNDDOWN(W592,0)/$V592</f>
        <v/>
      </c>
      <c r="K592" s="19">
        <f>ROUNDDOWN(X592,0)/$V592</f>
        <v/>
      </c>
      <c r="L592" s="19">
        <f>ROUNDDOWN(Y592,0)/$V592</f>
        <v/>
      </c>
      <c r="M592" s="19">
        <f>ROUNDDOWN(Z592,0)/$V592</f>
        <v/>
      </c>
      <c r="O592" s="36" t="inlineStr">
        <is>
          <t>𤤀 𤤁 𤤂 𤤃 𤤄 𤤅 𤤆 𤤇 𤤈 𤤉 𤤊 𤤋 𤤌 𤤍 𤤎 𤤏 𤤐 𤤑 𤤒 𤤓 𤤔 𤤕 𤤖 𤤗 𤤘 𤤙 𤤚 𤤛 𤤜 𤤝 𤤞 𤤟 𤤠 𤤡 𤤢 𤤣 𤤤 𤤥 𤤦 𤤧 𤤨 𤤩 𤤪 𤤫 𤤬 𤤭 𤤮 𤤯 𤤰 𤤱 𤤲 𤤳 𤤴 𤤵 𤤶 𤤷 𤤸 𤤹 𤤺 𤤻 𤤼 𤤽 𤤾 𤤿 𤥀 𤥁 𤥂 𤥃 𤥄 𤥅 𤥆 𤥇 𤥈 𤥉 𤥊 𤥋 𤥌 𤥍 𤥎 𤥏 𤥐 𤥑 𤥒 𤥓 𤥔 𤥕 𤥖 𤥗 𤥘 𤥙 𤥚 𤥛 𤥜 𤥝 𤥞 𤥟 𤥠 𤥡 𤥢 𤥣 𤥤 𤥥 𤥦 𤥧 𤥨 𤥩 𤥪 𤥫 𤥬 𤥭 𤥮 𤥯 𤥰 𤥱 𤥲 𤥳 𤥴 𤥵 𤥶 𤥷 𤥸 𤥹 𤥺 𤥻 𤥼 𤥽 𤥾 𤥿 𤦀 𤦁 𤦂 𤦃 𤦄 𤦅 𤦆 𤦇 𤦈 𤦉 𤦊 𤦋 𤦌 𤦍 𤦎 𤦏 𤦐 𤦑 𤦒 𤦓 𤦔 𤦕 𤦖 𤦗 𤦘 𤦙 𤦚 𤦛 𤦜 𤦝 𤦞 𤦟 𤦠 𤦡 𤦢 𤦣 𤦤 𤦥 𤦦 𤦧 𤦨 𤦩 𤦪 𤦫 𤦬 𤦭 𤦮 𤦯 𤦰 𤦱 𤦲 𤦳 𤦴 𤦵 𤦶 𤦷 𤦸 𤦹 𤦺 𤦻 𤦼 𤦽 𤦾 𤦿 𤧀 𤧁 𤧂 𤧃 𤧄 𤧅 𤧆 𤧇 𤧈 𤧉 𤧊 𤧋 𤧌 𤧍 𤧎 𤧏 𤧐 𤧑 𤧒 𤧓 𤧔 𤧕 𤧖 𤧗 𤧘 𤧙 𤧚 𤧛 𤧜 𤧝 𤧞 𤧟 𤧠 𤧡 𤧢 𤧣 𤧤 𤧥 𤧦 𤧧 𤧨 𤧩 𤧪 𤧫 𤧬 𤧭 𤧮 𤧯 𤧰 𤧱 𤧲 𤧳 𤧴 𤧵 𤧶 𤧷 𤧸 𤧹 𤧺 𤧻 𤧼 𤧽 𤧾 𤧿</t>
        </is>
      </c>
      <c r="P592" s="37" t="inlineStr">
        <is>
          <t>𤤀 𤤁 𤤂 𤤃 𤤄 𤤅 𤤆 𤤇 𤤈 𤤉 𤤊 𤤋 𤤌 𤤍 𤤎 𤤏 𤤐 𤤑 𤤒 𤤓 𤤔 𤤕 𤤖 𤤗 𤤘 𤤙 𤤚 𤤛 𤤜 𤤝 𤤞 𤤟 𤤠 𤤡 𤤢 𤤣 𤤤 𤤥 𤤦 𤤧 𤤨 𤤩 𤤪 𤤫 𤤬 𤤭 𤤮 𤤯 𤤰 𤤱 𤤲 𤤳 𤤴 𤤵 𤤶 𤤷 𤤸 𤤹 𤤺 𤤻 𤤼 𤤽 𤤾 𤤿 𤥀 𤥁 𤥂 𤥃 𤥄 𤥅 𤥆 𤥇 𤥈 𤥉 𤥊 𤥋 𤥌 𤥍 𤥎 𤥏 𤥐 𤥑 𤥒 𤥓 𤥔 𤥕 𤥖 𤥗 𤥘 𤥙 𤥚 𤥛 𤥜 𤥝 𤥞 𤥟 𤥠 𤥡 𤥢 𤥣 𤥤 𤥥 𤥦 𤥧 𤥨 𤥩 𤥪 𤥫 𤥬 𤥭 𤥮 𤥯 𤥰 𤥱 𤥲 𤥳 𤥴 𤥵 𤥶 𤥷 𤥸 𤥹 𤥺 𤥻 𤥼 𤥽 𤥾 𤥿 𤦀 𤦁 𤦂 𤦃 𤦄 𤦅 𤦆 𤦇 𤦈 𤦉 𤦊 𤦋 𤦌 𤦍 𤦎 𤦏 𤦐 𤦑 𤦒 𤦓 𤦔 𤦕 𤦖 𤦗 𤦘 𤦙 𤦚 𤦛 𤦜 𤦝 𤦞 𤦟 𤦠 𤦡 𤦢 𤦣 𤦤 𤦥 𤦦 𤦧 𤦨 𤦩 𤦪 𤦫 𤦬 𤦭 𤦮 𤦯 𤦰 𤦱 𤦲 𤦳 𤦴 𤦵 𤦶 𤦷 𤦸 𤦹 𤦺 𤦻 𤦼 𤦽 𤦾 𤦿 𤧀 𤧁 𤧂 𤧃 𤧄 𤧅 𤧆 𤧇 𤧈 𤧉 𤧊 𤧋 𤧌 𤧍 𤧎 𤧏 𤧐 𤧑 𤧒 𤧓 𤧔 𤧕 𤧖 𤧗 𤧘 𤧙 𤧚 𤧛 𤧜 𤧝 𤧞 𤧟 𤧠 𤧡 𤧢 𤧣 𤧤 𤧥 𤧦 𤧧 𤧨 𤧩 𤧪 𤧫 𤧬 𤧭 𤧮 𤧯 𤧰 𤧱 𤧲 𤧳 𤧴 𤧵 𤧶 𤧷 𤧸 𤧹 𤧺 𤧻 𤧼 𤧽 𤧾 𤧿</t>
        </is>
      </c>
      <c r="Q592" s="38" t="inlineStr">
        <is>
          <t>𤤀 𤤁 𤤂 𤤃 𤤄 𤤅 𤤆 𤤇 𤤈 𤤉 𤤊 𤤋 𤤌 𤤍 𤤎 𤤏 𤤐 𤤑 𤤒 𤤓 𤤔 𤤕 𤤖 𤤗 𤤘 𤤙 𤤚 𤤛 𤤜 𤤝 𤤞 𤤟 𤤠 𤤡 𤤢 𤤣 𤤤 𤤥 𤤦 𤤧 𤤨 𤤩 𤤪 𤤫 𤤬 𤤭 𤤮 𤤯 𤤰 𤤱 𤤲 𤤳 𤤴 𤤵 𤤶 𤤷 𤤸 𤤹 𤤺 𤤻 𤤼 𤤽 𤤾 𤤿 𤥀 𤥁 𤥂 𤥃 𤥄 𤥅 𤥆 𤥇 𤥈 𤥉 𤥊 𤥋 𤥌 𤥍 𤥎 𤥏 𤥐 𤥑 𤥒 𤥓 𤥔 𤥕 𤥖 𤥗 𤥘 𤥙 𤥚 𤥛 𤥜 𤥝 𤥞 𤥟 𤥠 𤥡 𤥢 𤥣 𤥤 𤥥 𤥦 𤥧 𤥨 𤥩 𤥪 𤥫 𤥬 𤥭 𤥮 𤥯 𤥰 𤥱 𤥲 𤥳 𤥴 𤥵 𤥶 𤥷 𤥸 𤥹 𤥺 𤥻 𤥼 𤥽 𤥾 𤥿 𤦀 𤦁 𤦂 𤦃 𤦄 𤦅 𤦆 𤦇 𤦈 𤦉 𤦊 𤦋 𤦌 𤦍 𤦎 𤦏 𤦐 𤦑 𤦒 𤦓 𤦔 𤦕 𤦖 𤦗 𤦘 𤦙 𤦚 𤦛 𤦜 𤦝 𤦞 𤦟 𤦠 𤦡 𤦢 𤦣 𤦤 𤦥 𤦦 𤦧 𤦨 𤦩 𤦪 𤦫 𤦬 𤦭 𤦮 𤦯 𤦰 𤦱 𤦲 𤦳 𤦴 𤦵 𤦶 𤦷 𤦸 𤦹 𤦺 𤦻 𤦼 𤦽 𤦾 𤦿 𤧀 𤧁 𤧂 𤧃 𤧄 𤧅 𤧆 𤧇 𤧈 𤧉 𤧊 𤧋 𤧌 𤧍 𤧎 𤧏 𤧐 𤧑 𤧒 𤧓 𤧔 𤧕 𤧖 𤧗 𤧘 𤧙 𤧚 𤧛 𤧜 𤧝 𤧞 𤧟 𤧠 𤧡 𤧢 𤧣 𤧤 𤧥 𤧦 𤧧 𤧨 𤧩 𤧪 𤧫 𤧬 𤧭 𤧮 𤧯 𤧰 𤧱 𤧲 𤧳 𤧴 𤧵 𤧶 𤧷 𤧸 𤧹 𤧺 𤧻 𤧼 𤧽 𤧾 𤧿</t>
        </is>
      </c>
      <c r="R592" s="43" t="inlineStr">
        <is>
          <t>𤧛</t>
        </is>
      </c>
      <c r="S592" s="40" t="n"/>
      <c r="V592" s="14">
        <f>(LEN(O592)+1)/2</f>
        <v/>
      </c>
      <c r="W592" s="14">
        <f>ROUNDDOWN((LEN(P592)+1)/2,0)</f>
        <v/>
      </c>
      <c r="X592" s="14">
        <f>ROUNDDOWN((LEN(Q592)+1)/2,0)</f>
        <v/>
      </c>
      <c r="Y592" s="14">
        <f>ROUNDDOWN((LEN(R592)+1)/2,0)</f>
        <v/>
      </c>
      <c r="Z592" s="14">
        <f>ROUNDDOWN((LEN(S592)+1)/2,0)</f>
        <v/>
      </c>
      <c r="AA592" s="56" t="n">
        <v>46150.55878948838</v>
      </c>
    </row>
    <row r="593" ht="102" customHeight="1">
      <c r="B593" s="46" t="inlineStr">
        <is>
          <t>U+24B00-U+24BFF</t>
        </is>
      </c>
      <c r="C593" s="46" t="inlineStr">
        <is>
          <t>CJK Unified Ideographs Extension B</t>
        </is>
      </c>
      <c r="D593" s="54">
        <f>HEX2DEC(MID(B593,3,FIND("-",E593)-3))</f>
        <v/>
      </c>
      <c r="E593" s="46" t="inlineStr">
        <is>
          <t>U+20000-U+2A6DF</t>
        </is>
      </c>
      <c r="F593" s="12" t="n">
        <v>4</v>
      </c>
      <c r="J593" s="19">
        <f>ROUNDDOWN(W593,0)/$V593</f>
        <v/>
      </c>
      <c r="K593" s="19">
        <f>ROUNDDOWN(X593,0)/$V593</f>
        <v/>
      </c>
      <c r="L593" s="19">
        <f>ROUNDDOWN(Y593,0)/$V593</f>
        <v/>
      </c>
      <c r="M593" s="19">
        <f>ROUNDDOWN(Z593,0)/$V593</f>
        <v/>
      </c>
      <c r="O593" s="36" t="inlineStr">
        <is>
          <t>𤨀 𤨁 𤨂 𤨃 𤨄 𤨅 𤨆 𤨇 𤨈 𤨉 𤨊 𤨋 𤨌 𤨍 𤨎 𤨏 𤨐 𤨑 𤨒 𤨓 𤨔 𤨕 𤨖 𤨗 𤨘 𤨙 𤨚 𤨛 𤨜 𤨝 𤨞 𤨟 𤨠 𤨡 𤨢 𤨣 𤨤 𤨥 𤨦 𤨧 𤨨 𤨩 𤨪 𤨫 𤨬 𤨭 𤨮 𤨯 𤨰 𤨱 𤨲 𤨳 𤨴 𤨵 𤨶 𤨷 𤨸 𤨹 𤨺 𤨻 𤨼 𤨽 𤨾 𤨿 𤩀 𤩁 𤩂 𤩃 𤩄 𤩅 𤩆 𤩇 𤩈 𤩉 𤩊 𤩋 𤩌 𤩍 𤩎 𤩏 𤩐 𤩑 𤩒 𤩓 𤩔 𤩕 𤩖 𤩗 𤩘 𤩙 𤩚 𤩛 𤩜 𤩝 𤩞 𤩟 𤩠 𤩡 𤩢 𤩣 𤩤 𤩥 𤩦 𤩧 𤩨 𤩩 𤩪 𤩫 𤩬 𤩭 𤩮 𤩯 𤩰 𤩱 𤩲 𤩳 𤩴 𤩵 𤩶 𤩷 𤩸 𤩹 𤩺 𤩻 𤩼 𤩽 𤩾 𤩿 𤪀 𤪁 𤪂 𤪃 𤪄 𤪅 𤪆 𤪇 𤪈 𤪉 𤪊 𤪋 𤪌 𤪍 𤪎 𤪏 𤪐 𤪑 𤪒 𤪓 𤪔 𤪕 𤪖 𤪗 𤪘 𤪙 𤪚 𤪛 𤪜 𤪝 𤪞 𤪟 𤪠 𤪡 𤪢 𤪣 𤪤 𤪥 𤪦 𤪧 𤪨 𤪩 𤪪 𤪫 𤪬 𤪭 𤪮 𤪯 𤪰 𤪱 𤪲 𤪳 𤪴 𤪵 𤪶 𤪷 𤪸 𤪹 𤪺 𤪻 𤪼 𤪽 𤪾 𤪿 𤫀 𤫁 𤫂 𤫃 𤫄 𤫅 𤫆 𤫇 𤫈 𤫉 𤫊 𤫋 𤫌 𤫍 𤫎 𤫏 𤫐 𤫑 𤫒 𤫓 𤫔 𤫕 𤫖 𤫗 𤫘 𤫙 𤫚 𤫛 𤫜 𤫝 𤫞 𤫟 𤫠 𤫡 𤫢 𤫣 𤫤 𤫥 𤫦 𤫧 𤫨 𤫩 𤫪 𤫫 𤫬 𤫭 𤫮 𤫯 𤫰 𤫱 𤫲 𤫳 𤫴 𤫵 𤫶 𤫷 𤫸 𤫹 𤫺 𤫻 𤫼 𤫽 𤫾 𤫿</t>
        </is>
      </c>
      <c r="P593" s="37" t="inlineStr">
        <is>
          <t>𤨀 𤨁 𤨂 𤨃 𤨄 𤨅 𤨆 𤨇 𤨈 𤨉 𤨊 𤨋 𤨌 𤨍 𤨎 𤨏 𤨐 𤨑 𤨒 𤨓 𤨔 𤨕 𤨖 𤨗 𤨘 𤨙 𤨚 𤨛 𤨜 𤨝 𤨞 𤨟 𤨠 𤨡 𤨢 𤨣 𤨤 𤨥 𤨦 𤨧 𤨨 𤨩 𤨪 𤨫 𤨬 𤨭 𤨮 𤨯 𤨰 𤨱 𤨲 𤨳 𤨴 𤨵 𤨶 𤨷 𤨸 𤨹 𤨺 𤨻 𤨼 𤨽 𤨾 𤨿 𤩀 𤩁 𤩂 𤩃 𤩄 𤩅 𤩆 𤩇 𤩈 𤩉 𤩊 𤩋 𤩌 𤩍 𤩎 𤩏 𤩐 𤩑 𤩒 𤩓 𤩔 𤩕 𤩖 𤩗 𤩘 𤩙 𤩚 𤩛 𤩜 𤩝 𤩞 𤩟 𤩠 𤩡 𤩢 𤩣 𤩤 𤩥 𤩦 𤩧 𤩨 𤩩 𤩪 𤩫 𤩬 𤩭 𤩮 𤩯 𤩰 𤩱 𤩲 𤩳 𤩴 𤩵 𤩶 𤩷 𤩸 𤩹 𤩺 𤩻 𤩼 𤩽 𤩾 𤩿 𤪀 𤪁 𤪂 𤪃 𤪄 𤪅 𤪆 𤪇 𤪈 𤪉 𤪊 𤪋 𤪌 𤪍 𤪎 𤪏 𤪐 𤪑 𤪒 𤪓 𤪔 𤪕 𤪖 𤪗 𤪘 𤪙 𤪚 𤪛 𤪜 𤪝 𤪞 𤪟 𤪠 𤪡 𤪢 𤪣 𤪤 𤪥 𤪦 𤪧 𤪨 𤪩 𤪪 𤪫 𤪬 𤪭 𤪮 𤪯 𤪰 𤪱 𤪲 𤪳 𤪴 𤪵 𤪶 𤪷 𤪸 𤪹 𤪺 𤪻 𤪼 𤪽 𤪾 𤪿 𤫀 𤫁 𤫂 𤫃 𤫄 𤫅 𤫆 𤫇 𤫈 𤫉 𤫊 𤫋 𤫌 𤫍 𤫎 𤫏 𤫐 𤫑 𤫒 𤫓 𤫔 𤫕 𤫖 𤫗 𤫘 𤫙 𤫚 𤫛 𤫜 𤫝 𤫞 𤫟 𤫠 𤫡 𤫢 𤫣 𤫤 𤫥 𤫦 𤫧 𤫨 𤫩 𤫪 𤫫 𤫬 𤫭 𤫮 𤫯 𤫰 𤫱 𤫲 𤫳 𤫴 𤫵 𤫶 𤫷 𤫸 𤫹 𤫺 𤫻 𤫼 𤫽 𤫾 𤫿</t>
        </is>
      </c>
      <c r="Q593" s="38" t="inlineStr">
        <is>
          <t>𤨀 𤨁 𤨂 𤨃 𤨄 𤨅 𤨆 𤨇 𤨈 𤨉 𤨊 𤨋 𤨌 𤨍 𤨎 𤨏 𤨐 𤨑 𤨒 𤨓 𤨔 𤨕 𤨖 𤨗 𤨘 𤨙 𤨚 𤨛 𤨜 𤨝 𤨞 𤨟 𤨠 𤨡 𤨢 𤨣 𤨤 𤨥 𤨦 𤨧 𤨨 𤨩 𤨪 𤨫 𤨬 𤨭 𤨮 𤨯 𤨰 𤨱 𤨲 𤨳 𤨴 𤨵 𤨶 𤨷 𤨸 𤨹 𤨺 𤨻 𤨼 𤨽 𤨾 𤨿 𤩀 𤩁 𤩂 𤩃 𤩄 𤩅 𤩆 𤩇 𤩈 𤩉 𤩊 𤩋 𤩌 𤩍 𤩎 𤩏 𤩐 𤩑 𤩒 𤩓 𤩔 𤩕 𤩖 𤩗 𤩘 𤩙 𤩚 𤩛 𤩜 𤩝 𤩞 𤩟 𤩠 𤩡 𤩢 𤩣 𤩤 𤩥 𤩦 𤩧 𤩨 𤩩 𤩪 𤩫 𤩬 𤩭 𤩮 𤩯 𤩰 𤩱 𤩲 𤩳 𤩴 𤩵 𤩶 𤩷 𤩸 𤩹 𤩺 𤩻 𤩼 𤩽 𤩾 𤩿 𤪀 𤪁 𤪂 𤪃 𤪄 𤪅 𤪆 𤪇 𤪈 𤪉 𤪊 𤪋 𤪌 𤪍 𤪎 𤪏 𤪐 𤪑 𤪒 𤪓 𤪔 𤪕 𤪖 𤪗 𤪘 𤪙 𤪚 𤪛 𤪜 𤪝 𤪞 𤪟 𤪠 𤪡 𤪢 𤪣 𤪤 𤪥 𤪦 𤪧 𤪨 𤪩 𤪪 𤪫 𤪬 𤪭 𤪮 𤪯 𤪰 𤪱 𤪲 𤪳 𤪴 𤪵 𤪶 𤪷 𤪸 𤪹 𤪺 𤪻 𤪼 𤪽 𤪾 𤪿 𤫀 𤫁 𤫂 𤫃 𤫄 𤫅 𤫆 𤫇 𤫈 𤫉 𤫊 𤫋 𤫌 𤫍 𤫎 𤫏 𤫐 𤫑 𤫒 𤫓 𤫔 𤫕 𤫖 𤫗 𤫘 𤫙 𤫚 𤫛 𤫜 𤫝 𤫞 𤫟 𤫠 𤫡 𤫢 𤫣 𤫤 𤫥 𤫦 𤫧 𤫨 𤫩 𤫪 𤫫 𤫬 𤫭 𤫮 𤫯 𤫰 𤫱 𤫲 𤫳 𤫴 𤫵 𤫶 𤫷 𤫸 𤫹 𤫺 𤫻 𤫼 𤫽 𤫾 𤫿</t>
        </is>
      </c>
      <c r="R593" s="43" t="inlineStr">
        <is>
          <t>𤨁 𤩍 𤩽 𤫉</t>
        </is>
      </c>
      <c r="S593" s="40" t="n"/>
      <c r="V593" s="14">
        <f>(LEN(O593)+1)/2</f>
        <v/>
      </c>
      <c r="W593" s="14">
        <f>ROUNDDOWN((LEN(P593)+1)/2,0)</f>
        <v/>
      </c>
      <c r="X593" s="14">
        <f>ROUNDDOWN((LEN(Q593)+1)/2,0)</f>
        <v/>
      </c>
      <c r="Y593" s="14">
        <f>ROUNDDOWN((LEN(R593)+1)/2,0)</f>
        <v/>
      </c>
      <c r="Z593" s="14">
        <f>ROUNDDOWN((LEN(S593)+1)/2,0)</f>
        <v/>
      </c>
      <c r="AA593" s="56" t="n">
        <v>46150.55879057384</v>
      </c>
    </row>
    <row r="594" ht="102" customHeight="1">
      <c r="B594" s="46" t="inlineStr">
        <is>
          <t>U+24C00-U+24CFF</t>
        </is>
      </c>
      <c r="C594" s="46" t="inlineStr">
        <is>
          <t>CJK Unified Ideographs Extension B</t>
        </is>
      </c>
      <c r="D594" s="54">
        <f>HEX2DEC(MID(B594,3,FIND("-",E594)-3))</f>
        <v/>
      </c>
      <c r="E594" s="46" t="inlineStr">
        <is>
          <t>U+20000-U+2A6DF</t>
        </is>
      </c>
      <c r="F594" s="12" t="n">
        <v>4</v>
      </c>
      <c r="J594" s="19">
        <f>ROUNDDOWN(W594,0)/$V594</f>
        <v/>
      </c>
      <c r="K594" s="19">
        <f>ROUNDDOWN(X594,0)/$V594</f>
        <v/>
      </c>
      <c r="L594" s="19">
        <f>ROUNDDOWN(Y594,0)/$V594</f>
        <v/>
      </c>
      <c r="M594" s="19">
        <f>ROUNDDOWN(Z594,0)/$V594</f>
        <v/>
      </c>
      <c r="O594" s="36" t="inlineStr">
        <is>
          <t>𤬀 𤬁 𤬂 𤬃 𤬄 𤬅 𤬆 𤬇 𤬈 𤬉 𤬊 𤬋 𤬌 𤬍 𤬎 𤬏 𤬐 𤬑 𤬒 𤬓 𤬔 𤬕 𤬖 𤬗 𤬘 𤬙 𤬚 𤬛 𤬜 𤬝 𤬞 𤬟 𤬠 𤬡 𤬢 𤬣 𤬤 𤬥 𤬦 𤬧 𤬨 𤬩 𤬪 𤬫 𤬬 𤬭 𤬮 𤬯 𤬰 𤬱 𤬲 𤬳 𤬴 𤬵 𤬶 𤬷 𤬸 𤬹 𤬺 𤬻 𤬼 𤬽 𤬾 𤬿 𤭀 𤭁 𤭂 𤭃 𤭄 𤭅 𤭆 𤭇 𤭈 𤭉 𤭊 𤭋 𤭌 𤭍 𤭎 𤭏 𤭐 𤭑 𤭒 𤭓 𤭔 𤭕 𤭖 𤭗 𤭘 𤭙 𤭚 𤭛 𤭜 𤭝 𤭞 𤭟 𤭠 𤭡 𤭢 𤭣 𤭤 𤭥 𤭦 𤭧 𤭨 𤭩 𤭪 𤭫 𤭬 𤭭 𤭮 𤭯 𤭰 𤭱 𤭲 𤭳 𤭴 𤭵 𤭶 𤭷 𤭸 𤭹 𤭺 𤭻 𤭼 𤭽 𤭾 𤭿 𤮀 𤮁 𤮂 𤮃 𤮄 𤮅 𤮆 𤮇 𤮈 𤮉 𤮊 𤮋 𤮌 𤮍 𤮎 𤮏 𤮐 𤮑 𤮒 𤮓 𤮔 𤮕 𤮖 𤮗 𤮘 𤮙 𤮚 𤮛 𤮜 𤮝 𤮞 𤮟 𤮠 𤮡 𤮢 𤮣 𤮤 𤮥 𤮦 𤮧 𤮨 𤮩 𤮪 𤮫 𤮬 𤮭 𤮮 𤮯 𤮰 𤮱 𤮲 𤮳 𤮴 𤮵 𤮶 𤮷 𤮸 𤮹 𤮺 𤮻 𤮼 𤮽 𤮾 𤮿 𤯀 𤯁 𤯂 𤯃 𤯄 𤯅 𤯆 𤯇 𤯈 𤯉 𤯊 𤯋 𤯌 𤯍 𤯎 𤯏 𤯐 𤯑 𤯒 𤯓 𤯔 𤯕 𤯖 𤯗 𤯘 𤯙 𤯚 𤯛 𤯜 𤯝 𤯞 𤯟 𤯠 𤯡 𤯢 𤯣 𤯤 𤯥 𤯦 𤯧 𤯨 𤯩 𤯪 𤯫 𤯬 𤯭 𤯮 𤯯 𤯰 𤯱 𤯲 𤯳 𤯴 𤯵 𤯶 𤯷 𤯸 𤯹 𤯺 𤯻 𤯼 𤯽 𤯾 𤯿</t>
        </is>
      </c>
      <c r="P594" s="37" t="inlineStr">
        <is>
          <t>𤬀 𤬁 𤬂 𤬃 𤬄 𤬅 𤬆 𤬇 𤬈 𤬉 𤬊 𤬋 𤬌 𤬍 𤬎 𤬏 𤬐 𤬑 𤬒 𤬓 𤬔 𤬕 𤬖 𤬗 𤬘 𤬙 𤬚 𤬛 𤬜 𤬝 𤬞 𤬟 𤬠 𤬡 𤬢 𤬣 𤬤 𤬥 𤬦 𤬧 𤬨 𤬩 𤬪 𤬫 𤬬 𤬭 𤬮 𤬯 𤬰 𤬱 𤬲 𤬳 𤬴 𤬵 𤬶 𤬷 𤬸 𤬹 𤬺 𤬻 𤬼 𤬽 𤬾 𤬿 𤭀 𤭁 𤭂 𤭃 𤭄 𤭅 𤭆 𤭇 𤭈 𤭉 𤭊 𤭋 𤭌 𤭍 𤭎 𤭏 𤭐 𤭑 𤭒 𤭓 𤭔 𤭕 𤭖 𤭗 𤭘 𤭙 𤭚 𤭛 𤭜 𤭝 𤭞 𤭟 𤭠 𤭡 𤭢 𤭣 𤭤 𤭥 𤭦 𤭧 𤭨 𤭩 𤭪 𤭫 𤭬 𤭭 𤭮 𤭯 𤭰 𤭱 𤭲 𤭳 𤭴 𤭵 𤭶 𤭷 𤭸 𤭹 𤭺 𤭻 𤭼 𤭽 𤭾 𤭿 𤮀 𤮁 𤮂 𤮃 𤮄 𤮅 𤮆 𤮇 𤮈 𤮉 𤮊 𤮋 𤮌 𤮍 𤮎 𤮏 𤮐 𤮑 𤮒 𤮓 𤮔 𤮕 𤮖 𤮗 𤮘 𤮙 𤮚 𤮛 𤮜 𤮝 𤮞 𤮟 𤮠 𤮡 𤮢 𤮣 𤮤 𤮥 𤮦 𤮧 𤮨 𤮩 𤮪 𤮫 𤮬 𤮭 𤮮 𤮯 𤮰 𤮱 𤮲 𤮳 𤮴 𤮵 𤮶 𤮷 𤮸 𤮹 𤮺 𤮻 𤮼 𤮽 𤮾 𤮿 𤯀 𤯁 𤯂 𤯃 𤯄 𤯅 𤯆 𤯇 𤯈 𤯉 𤯊 𤯋 𤯌 𤯍 𤯎 𤯏 𤯐 𤯑 𤯒 𤯓 𤯔 𤯕 𤯖 𤯗 𤯘 𤯙 𤯚 𤯛 𤯜 𤯝 𤯞 𤯟 𤯠 𤯡 𤯢 𤯣 𤯤 𤯥 𤯦 𤯧 𤯨 𤯩 𤯪 𤯫 𤯬 𤯭 𤯮 𤯯 𤯰 𤯱 𤯲 𤯳 𤯴 𤯵 𤯶 𤯷 𤯸 𤯹 𤯺 𤯻 𤯼 𤯽 𤯾 𤯿</t>
        </is>
      </c>
      <c r="Q594" s="38" t="inlineStr">
        <is>
          <t>𤬀 𤬁 𤬂 𤬃 𤬄 𤬅 𤬆 𤬇 𤬈 𤬉 𤬊 𤬋 𤬌 𤬍 𤬎 𤬏 𤬐 𤬑 𤬒 𤬓 𤬔 𤬕 𤬖 𤬗 𤬘 𤬙 𤬚 𤬛 𤬜 𤬝 𤬞 𤬟 𤬠 𤬡 𤬢 𤬣 𤬤 𤬥 𤬦 𤬧 𤬨 𤬩 𤬪 𤬫 𤬬 𤬭 𤬮 𤬯 𤬰 𤬱 𤬲 𤬳 𤬴 𤬵 𤬶 𤬷 𤬸 𤬹 𤬺 𤬻 𤬼 𤬽 𤬾 𤬿 𤭀 𤭁 𤭂 𤭃 𤭄 𤭅 𤭆 𤭇 𤭈 𤭉 𤭊 𤭋 𤭌 𤭍 𤭎 𤭏 𤭐 𤭑 𤭒 𤭓 𤭔 𤭕 𤭖 𤭗 𤭘 𤭙 𤭚 𤭛 𤭜 𤭝 𤭞 𤭟 𤭠 𤭡 𤭢 𤭣 𤭤 𤭥 𤭦 𤭧 𤭨 𤭩 𤭪 𤭫 𤭬 𤭭 𤭮 𤭯 𤭰 𤭱 𤭲 𤭳 𤭴 𤭵 𤭶 𤭷 𤭸 𤭹 𤭺 𤭻 𤭼 𤭽 𤭾 𤭿 𤮀 𤮁 𤮂 𤮃 𤮄 𤮅 𤮆 𤮇 𤮈 𤮉 𤮊 𤮋 𤮌 𤮍 𤮎 𤮏 𤮐 𤮑 𤮒 𤮓 𤮔 𤮕 𤮖 𤮗 𤮘 𤮙 𤮚 𤮛 𤮜 𤮝 𤮞 𤮟 𤮠 𤮡 𤮢 𤮣 𤮤 𤮥 𤮦 𤮧 𤮨 𤮩 𤮪 𤮫 𤮬 𤮭 𤮮 𤮯 𤮰 𤮱 𤮲 𤮳 𤮴 𤮵 𤮶 𤮷 𤮸 𤮹 𤮺 𤮻 𤮼 𤮽 𤮾 𤮿 𤯀 𤯁 𤯂 𤯃 𤯄 𤯅 𤯆 𤯇 𤯈 𤯉 𤯊 𤯋 𤯌 𤯍 𤯎 𤯏 𤯐 𤯑 𤯒 𤯓 𤯔 𤯕 𤯖 𤯗 𤯘 𤯙 𤯚 𤯛 𤯜 𤯝 𤯞 𤯟 𤯠 𤯡 𤯢 𤯣 𤯤 𤯥 𤯦 𤯧 𤯨 𤯩 𤯪 𤯫 𤯬 𤯭 𤯮 𤯯 𤯰 𤯱 𤯲 𤯳 𤯴 𤯵 𤯶 𤯷 𤯸 𤯹 𤯺 𤯻 𤯼 𤯽 𤯾 𤯿</t>
        </is>
      </c>
      <c r="R594" s="43" t="inlineStr">
        <is>
          <t>𤭖 𤭢 𤭯 𤯥</t>
        </is>
      </c>
      <c r="S594" s="40" t="n"/>
      <c r="V594" s="14">
        <f>(LEN(O594)+1)/2</f>
        <v/>
      </c>
      <c r="W594" s="14">
        <f>ROUNDDOWN((LEN(P594)+1)/2,0)</f>
        <v/>
      </c>
      <c r="X594" s="14">
        <f>ROUNDDOWN((LEN(Q594)+1)/2,0)</f>
        <v/>
      </c>
      <c r="Y594" s="14">
        <f>ROUNDDOWN((LEN(R594)+1)/2,0)</f>
        <v/>
      </c>
      <c r="Z594" s="14">
        <f>ROUNDDOWN((LEN(S594)+1)/2,0)</f>
        <v/>
      </c>
      <c r="AA594" s="56" t="n">
        <v>46150.55879165946</v>
      </c>
    </row>
    <row r="595" ht="102" customHeight="1">
      <c r="B595" s="46" t="inlineStr">
        <is>
          <t>U+24D00-U+24DFF</t>
        </is>
      </c>
      <c r="C595" s="46" t="inlineStr">
        <is>
          <t>CJK Unified Ideographs Extension B</t>
        </is>
      </c>
      <c r="D595" s="54">
        <f>HEX2DEC(MID(B595,3,FIND("-",E595)-3))</f>
        <v/>
      </c>
      <c r="E595" s="46" t="inlineStr">
        <is>
          <t>U+20000-U+2A6DF</t>
        </is>
      </c>
      <c r="F595" s="12" t="n">
        <v>4</v>
      </c>
      <c r="J595" s="19">
        <f>ROUNDDOWN(W595,0)/$V595</f>
        <v/>
      </c>
      <c r="K595" s="19">
        <f>ROUNDDOWN(X595,0)/$V595</f>
        <v/>
      </c>
      <c r="L595" s="19">
        <f>ROUNDDOWN(Y595,0)/$V595</f>
        <v/>
      </c>
      <c r="M595" s="19">
        <f>ROUNDDOWN(Z595,0)/$V595</f>
        <v/>
      </c>
      <c r="O595" s="36" t="inlineStr">
        <is>
          <t>𤰀 𤰁 𤰂 𤰃 𤰄 𤰅 𤰆 𤰇 𤰈 𤰉 𤰊 𤰋 𤰌 𤰍 𤰎 𤰏 𤰐 𤰑 𤰒 𤰓 𤰔 𤰕 𤰖 𤰗 𤰘 𤰙 𤰚 𤰛 𤰜 𤰝 𤰞 𤰟 𤰠 𤰡 𤰢 𤰣 𤰤 𤰥 𤰦 𤰧 𤰨 𤰩 𤰪 𤰫 𤰬 𤰭 𤰮 𤰯 𤰰 𤰱 𤰲 𤰳 𤰴 𤰵 𤰶 𤰷 𤰸 𤰹 𤰺 𤰻 𤰼 𤰽 𤰾 𤰿 𤱀 𤱁 𤱂 𤱃 𤱄 𤱅 𤱆 𤱇 𤱈 𤱉 𤱊 𤱋 𤱌 𤱍 𤱎 𤱏 𤱐 𤱑 𤱒 𤱓 𤱔 𤱕 𤱖 𤱗 𤱘 𤱙 𤱚 𤱛 𤱜 𤱝 𤱞 𤱟 𤱠 𤱡 𤱢 𤱣 𤱤 𤱥 𤱦 𤱧 𤱨 𤱩 𤱪 𤱫 𤱬 𤱭 𤱮 𤱯 𤱰 𤱱 𤱲 𤱳 𤱴 𤱵 𤱶 𤱷 𤱸 𤱹 𤱺 𤱻 𤱼 𤱽 𤱾 𤱿 𤲀 𤲁 𤲂 𤲃 𤲄 𤲅 𤲆 𤲇 𤲈 𤲉 𤲊 𤲋 𤲌 𤲍 𤲎 𤲏 𤲐 𤲑 𤲒 𤲓 𤲔 𤲕 𤲖 𤲗 𤲘 𤲙 𤲚 𤲛 𤲜 𤲝 𤲞 𤲟 𤲠 𤲡 𤲢 𤲣 𤲤 𤲥 𤲦 𤲧 𤲨 𤲩 𤲪 𤲫 𤲬 𤲭 𤲮 𤲯 𤲰 𤲱 𤲲 𤲳 𤲴 𤲵 𤲶 𤲷 𤲸 𤲹 𤲺 𤲻 𤲼 𤲽 𤲾 𤲿 𤳀 𤳁 𤳂 𤳃 𤳄 𤳅 𤳆 𤳇 𤳈 𤳉 𤳊 𤳋 𤳌 𤳍 𤳎 𤳏 𤳐 𤳑 𤳒 𤳓 𤳔 𤳕 𤳖 𤳗 𤳘 𤳙 𤳚 𤳛 𤳜 𤳝 𤳞 𤳟 𤳠 𤳡 𤳢 𤳣 𤳤 𤳥 𤳦 𤳧 𤳨 𤳩 𤳪 𤳫 𤳬 𤳭 𤳮 𤳯 𤳰 𤳱 𤳲 𤳳 𤳴 𤳵 𤳶 𤳷 𤳸 𤳹 𤳺 𤳻 𤳼 𤳽 𤳾 𤳿</t>
        </is>
      </c>
      <c r="P595" s="37" t="inlineStr">
        <is>
          <t>𤰀 𤰁 𤰂 𤰃 𤰄 𤰅 𤰆 𤰇 𤰈 𤰉 𤰊 𤰋 𤰌 𤰍 𤰎 𤰏 𤰐 𤰑 𤰒 𤰓 𤰔 𤰕 𤰖 𤰗 𤰘 𤰙 𤰚 𤰛 𤰜 𤰝 𤰞 𤰟 𤰠 𤰡 𤰢 𤰣 𤰤 𤰥 𤰦 𤰧 𤰨 𤰩 𤰪 𤰫 𤰬 𤰭 𤰮 𤰯 𤰰 𤰱 𤰲 𤰳 𤰴 𤰵 𤰶 𤰷 𤰸 𤰹 𤰺 𤰻 𤰼 𤰽 𤰾 𤰿 𤱀 𤱁 𤱂 𤱃 𤱄 𤱅 𤱆 𤱇 𤱈 𤱉 𤱊 𤱋 𤱌 𤱍 𤱎 𤱏 𤱐 𤱑 𤱒 𤱓 𤱔 𤱕 𤱖 𤱗 𤱘 𤱙 𤱚 𤱛 𤱜 𤱝 𤱞 𤱟 𤱠 𤱡 𤱢 𤱣 𤱤 𤱥 𤱦 𤱧 𤱨 𤱩 𤱪 𤱫 𤱬 𤱭 𤱮 𤱯 𤱰 𤱱 𤱲 𤱳 𤱴 𤱵 𤱶 𤱷 𤱸 𤱹 𤱺 𤱻 𤱼 𤱽 𤱾 𤱿 𤲀 𤲁 𤲂 𤲃 𤲄 𤲅 𤲆 𤲇 𤲈 𤲉 𤲊 𤲋 𤲌 𤲍 𤲎 𤲏 𤲐 𤲑 𤲒 𤲓 𤲔 𤲕 𤲖 𤲗 𤲘 𤲙 𤲚 𤲛 𤲜 𤲝 𤲞 𤲟 𤲠 𤲡 𤲢 𤲣 𤲤 𤲥 𤲦 𤲧 𤲨 𤲩 𤲪 𤲫 𤲬 𤲭 𤲮 𤲯 𤲰 𤲱 𤲲 𤲳 𤲴 𤲵 𤲶 𤲷 𤲸 𤲹 𤲺 𤲻 𤲼 𤲽 𤲾 𤲿 𤳀 𤳁 𤳂 𤳃 𤳄 𤳅 𤳆 𤳇 𤳈 𤳉 𤳊 𤳋 𤳌 𤳍 𤳎 𤳏 𤳐 𤳑 𤳒 𤳓 𤳔 𤳕 𤳖 𤳗 𤳘 𤳙 𤳚 𤳛 𤳜 𤳝 𤳞 𤳟 𤳠 𤳡 𤳢 𤳣 𤳤 𤳥 𤳦 𤳧 𤳨 𤳩 𤳪 𤳫 𤳬 𤳭 𤳮 𤳯 𤳰 𤳱 𤳲 𤳳 𤳴 𤳵 𤳶 𤳷 𤳸 𤳹 𤳺 𤳻 𤳼 𤳽 𤳾 𤳿</t>
        </is>
      </c>
      <c r="Q595" s="38" t="inlineStr">
        <is>
          <t>𤰀 𤰁 𤰂 𤰃 𤰄 𤰅 𤰆 𤰇 𤰈 𤰉 𤰊 𤰋 𤰌 𤰍 𤰎 𤰏 𤰐 𤰑 𤰒 𤰓 𤰔 𤰕 𤰖 𤰗 𤰘 𤰙 𤰚 𤰛 𤰜 𤰝 𤰞 𤰟 𤰠 𤰡 𤰢 𤰣 𤰤 𤰥 𤰦 𤰧 𤰨 𤰩 𤰪 𤰫 𤰬 𤰭 𤰮 𤰯 𤰰 𤰱 𤰲 𤰳 𤰴 𤰵 𤰶 𤰷 𤰸 𤰹 𤰺 𤰻 𤰼 𤰽 𤰾 𤰿 𤱀 𤱁 𤱂 𤱃 𤱄 𤱅 𤱆 𤱇 𤱈 𤱉 𤱊 𤱋 𤱌 𤱍 𤱎 𤱏 𤱐 𤱑 𤱒 𤱓 𤱔 𤱕 𤱖 𤱗 𤱘 𤱙 𤱚 𤱛 𤱜 𤱝 𤱞 𤱟 𤱠 𤱡 𤱢 𤱣 𤱤 𤱥 𤱦 𤱧 𤱨 𤱩 𤱪 𤱫 𤱬 𤱭 𤱮 𤱯 𤱰 𤱱 𤱲 𤱳 𤱴 𤱵 𤱶 𤱷 𤱸 𤱹 𤱺 𤱻 𤱼 𤱽 𤱾 𤱿 𤲀 𤲁 𤲂 𤲃 𤲄 𤲅 𤲆 𤲇 𤲈 𤲉 𤲊 𤲋 𤲌 𤲍 𤲎 𤲏 𤲐 𤲑 𤲒 𤲓 𤲔 𤲕 𤲖 𤲗 𤲘 𤲙 𤲚 𤲛 𤲜 𤲝 𤲞 𤲟 𤲠 𤲡 𤲢 𤲣 𤲤 𤲥 𤲦 𤲧 𤲨 𤲩 𤲪 𤲫 𤲬 𤲭 𤲮 𤲯 𤲰 𤲱 𤲲 𤲳 𤲴 𤲵 𤲶 𤲷 𤲸 𤲹 𤲺 𤲻 𤲼 𤲽 𤲾 𤲿 𤳀 𤳁 𤳂 𤳃 𤳄 𤳅 𤳆 𤳇 𤳈 𤳉 𤳊 𤳋 𤳌 𤳍 𤳎 𤳏 𤳐 𤳑 𤳒 𤳓 𤳔 𤳕 𤳖 𤳗 𤳘 𤳙 𤳚 𤳛 𤳜 𤳝 𤳞 𤳟 𤳠 𤳡 𤳢 𤳣 𤳤 𤳥 𤳦 𤳧 𤳨 𤳩 𤳪 𤳫 𤳬 𤳭 𤳮 𤳯 𤳰 𤳱 𤳲 𤳳 𤳴 𤳵 𤳶 𤳷 𤳸 𤳹 𤳺 𤳻 𤳼 𤳽 𤳾 𤳿</t>
        </is>
      </c>
      <c r="R595" s="43" t="inlineStr">
        <is>
          <t>𤰖</t>
        </is>
      </c>
      <c r="S595" s="40" t="n"/>
      <c r="V595" s="14">
        <f>(LEN(O595)+1)/2</f>
        <v/>
      </c>
      <c r="W595" s="14">
        <f>ROUNDDOWN((LEN(P595)+1)/2,0)</f>
        <v/>
      </c>
      <c r="X595" s="14">
        <f>ROUNDDOWN((LEN(Q595)+1)/2,0)</f>
        <v/>
      </c>
      <c r="Y595" s="14">
        <f>ROUNDDOWN((LEN(R595)+1)/2,0)</f>
        <v/>
      </c>
      <c r="Z595" s="14">
        <f>ROUNDDOWN((LEN(S595)+1)/2,0)</f>
        <v/>
      </c>
      <c r="AA595" s="56" t="n">
        <v>46150.55879273974</v>
      </c>
    </row>
    <row r="596" ht="102" customHeight="1">
      <c r="B596" s="46" t="inlineStr">
        <is>
          <t>U+24E00-U+24EFF</t>
        </is>
      </c>
      <c r="C596" s="46" t="inlineStr">
        <is>
          <t>CJK Unified Ideographs Extension B</t>
        </is>
      </c>
      <c r="D596" s="54">
        <f>HEX2DEC(MID(B596,3,FIND("-",E596)-3))</f>
        <v/>
      </c>
      <c r="E596" s="46" t="inlineStr">
        <is>
          <t>U+20000-U+2A6DF</t>
        </is>
      </c>
      <c r="F596" s="12" t="n">
        <v>4</v>
      </c>
      <c r="J596" s="19">
        <f>ROUNDDOWN(W596,0)/$V596</f>
        <v/>
      </c>
      <c r="K596" s="19">
        <f>ROUNDDOWN(X596,0)/$V596</f>
        <v/>
      </c>
      <c r="L596" s="19">
        <f>ROUNDDOWN(Y596,0)/$V596</f>
        <v/>
      </c>
      <c r="M596" s="19">
        <f>ROUNDDOWN(Z596,0)/$V596</f>
        <v/>
      </c>
      <c r="O596" s="36" t="inlineStr">
        <is>
          <t>𤴀 𤴁 𤴂 𤴃 𤴄 𤴅 𤴆 𤴇 𤴈 𤴉 𤴊 𤴋 𤴌 𤴍 𤴎 𤴏 𤴐 𤴑 𤴒 𤴓 𤴔 𤴕 𤴖 𤴗 𤴘 𤴙 𤴚 𤴛 𤴜 𤴝 𤴞 𤴟 𤴠 𤴡 𤴢 𤴣 𤴤 𤴥 𤴦 𤴧 𤴨 𤴩 𤴪 𤴫 𤴬 𤴭 𤴮 𤴯 𤴰 𤴱 𤴲 𤴳 𤴴 𤴵 𤴶 𤴷 𤴸 𤴹 𤴺 𤴻 𤴼 𤴽 𤴾 𤴿 𤵀 𤵁 𤵂 𤵃 𤵄 𤵅 𤵆 𤵇 𤵈 𤵉 𤵊 𤵋 𤵌 𤵍 𤵎 𤵏 𤵐 𤵑 𤵒 𤵓 𤵔 𤵕 𤵖 𤵗 𤵘 𤵙 𤵚 𤵛 𤵜 𤵝 𤵞 𤵟 𤵠 𤵡 𤵢 𤵣 𤵤 𤵥 𤵦 𤵧 𤵨 𤵩 𤵪 𤵫 𤵬 𤵭 𤵮 𤵯 𤵰 𤵱 𤵲 𤵳 𤵴 𤵵 𤵶 𤵷 𤵸 𤵹 𤵺 𤵻 𤵼 𤵽 𤵾 𤵿 𤶀 𤶁 𤶂 𤶃 𤶄 𤶅 𤶆 𤶇 𤶈 𤶉 𤶊 𤶋 𤶌 𤶍 𤶎 𤶏 𤶐 𤶑 𤶒 𤶓 𤶔 𤶕 𤶖 𤶗 𤶘 𤶙 𤶚 𤶛 𤶜 𤶝 𤶞 𤶟 𤶠 𤶡 𤶢 𤶣 𤶤 𤶥 𤶦 𤶧 𤶨 𤶩 𤶪 𤶫 𤶬 𤶭 𤶮 𤶯 𤶰 𤶱 𤶲 𤶳 𤶴 𤶵 𤶶 𤶷 𤶸 𤶹 𤶺 𤶻 𤶼 𤶽 𤶾 𤶿 𤷀 𤷁 𤷂 𤷃 𤷄 𤷅 𤷆 𤷇 𤷈 𤷉 𤷊 𤷋 𤷌 𤷍 𤷎 𤷏 𤷐 𤷑 𤷒 𤷓 𤷔 𤷕 𤷖 𤷗 𤷘 𤷙 𤷚 𤷛 𤷜 𤷝 𤷞 𤷟 𤷠 𤷡 𤷢 𤷣 𤷤 𤷥 𤷦 𤷧 𤷨 𤷩 𤷪 𤷫 𤷬 𤷭 𤷮 𤷯 𤷰 𤷱 𤷲 𤷳 𤷴 𤷵 𤷶 𤷷 𤷸 𤷹 𤷺 𤷻 𤷼 𤷽 𤷾 𤷿</t>
        </is>
      </c>
      <c r="P596" s="37" t="inlineStr">
        <is>
          <t>𤴀 𤴁 𤴂 𤴃 𤴄 𤴅 𤴆 𤴇 𤴈 𤴉 𤴊 𤴋 𤴌 𤴍 𤴎 𤴏 𤴐 𤴑 𤴒 𤴓 𤴔 𤴕 𤴖 𤴗 𤴘 𤴙 𤴚 𤴛 𤴜 𤴝 𤴞 𤴟 𤴠 𤴡 𤴢 𤴣 𤴤 𤴥 𤴦 𤴧 𤴨 𤴩 𤴪 𤴫 𤴬 𤴭 𤴮 𤴯 𤴰 𤴱 𤴲 𤴳 𤴴 𤴵 𤴶 𤴷 𤴸 𤴹 𤴺 𤴻 𤴼 𤴽 𤴾 𤴿 𤵀 𤵁 𤵂 𤵃 𤵄 𤵅 𤵆 𤵇 𤵈 𤵉 𤵊 𤵋 𤵌 𤵍 𤵎 𤵏 𤵐 𤵑 𤵒 𤵓 𤵔 𤵕 𤵖 𤵗 𤵘 𤵙 𤵚 𤵛 𤵜 𤵝 𤵞 𤵟 𤵠 𤵡 𤵢 𤵣 𤵤 𤵥 𤵦 𤵧 𤵨 𤵩 𤵪 𤵫 𤵬 𤵭 𤵮 𤵯 𤵰 𤵱 𤵲 𤵳 𤵴 𤵵 𤵶 𤵷 𤵸 𤵹 𤵺 𤵻 𤵼 𤵽 𤵾 𤵿 𤶀 𤶁 𤶂 𤶃 𤶄 𤶅 𤶆 𤶇 𤶈 𤶉 𤶊 𤶋 𤶌 𤶍 𤶎 𤶏 𤶐 𤶑 𤶒 𤶓 𤶔 𤶕 𤶖 𤶗 𤶘 𤶙 𤶚 𤶛 𤶜 𤶝 𤶞 𤶟 𤶠 𤶡 𤶢 𤶣 𤶤 𤶥 𤶦 𤶧 𤶨 𤶩 𤶪 𤶫 𤶬 𤶭 𤶮 𤶯 𤶰 𤶱 𤶲 𤶳 𤶴 𤶵 𤶶 𤶷 𤶸 𤶹 𤶺 𤶻 𤶼 𤶽 𤶾 𤶿 𤷀 𤷁 𤷂 𤷃 𤷄 𤷅 𤷆 𤷇 𤷈 𤷉 𤷊 𤷋 𤷌 𤷍 𤷎 𤷏 𤷐 𤷑 𤷒 𤷓 𤷔 𤷕 𤷖 𤷗 𤷘 𤷙 𤷚 𤷛 𤷜 𤷝 𤷞 𤷟 𤷠 𤷡 𤷢 𤷣 𤷤 𤷥 𤷦 𤷧 𤷨 𤷩 𤷪 𤷫 𤷬 𤷭 𤷮 𤷯 𤷰 𤷱 𤷲 𤷳 𤷴 𤷵 𤷶 𤷷 𤷸 𤷹 𤷺 𤷻 𤷼 𤷽 𤷾 𤷿</t>
        </is>
      </c>
      <c r="Q596" s="38" t="inlineStr">
        <is>
          <t>𤴀 𤴁 𤴂 𤴃 𤴄 𤴅 𤴆 𤴇 𤴈 𤴉 𤴊 𤴋 𤴌 𤴍 𤴎 𤴏 𤴐 𤴑 𤴒 𤴓 𤴔 𤴕 𤴖 𤴗 𤴘 𤴙 𤴚 𤴛 𤴜 𤴝 𤴞 𤴟 𤴠 𤴡 𤴢 𤴣 𤴤 𤴥 𤴦 𤴧 𤴨 𤴩 𤴪 𤴫 𤴬 𤴭 𤴮 𤴯 𤴰 𤴱 𤴲 𤴳 𤴴 𤴵 𤴶 𤴷 𤴸 𤴹 𤴺 𤴻 𤴼 𤴽 𤴾 𤴿 𤵀 𤵁 𤵂 𤵃 𤵄 𤵅 𤵆 𤵇 𤵈 𤵉 𤵊 𤵋 𤵌 𤵍 𤵎 𤵏 𤵐 𤵑 𤵒 𤵓 𤵔 𤵕 𤵖 𤵗 𤵘 𤵙 𤵚 𤵛 𤵜 𤵝 𤵞 𤵟 𤵠 𤵡 𤵢 𤵣 𤵤 𤵥 𤵦 𤵧 𤵨 𤵩 𤵪 𤵫 𤵬 𤵭 𤵮 𤵯 𤵰 𤵱 𤵲 𤵳 𤵴 𤵵 𤵶 𤵷 𤵸 𤵹 𤵺 𤵻 𤵼 𤵽 𤵾 𤵿 𤶀 𤶁 𤶂 𤶃 𤶄 𤶅 𤶆 𤶇 𤶈 𤶉 𤶊 𤶋 𤶌 𤶍 𤶎 𤶏 𤶐 𤶑 𤶒 𤶓 𤶔 𤶕 𤶖 𤶗 𤶘 𤶙 𤶚 𤶛 𤶜 𤶝 𤶞 𤶟 𤶠 𤶡 𤶢 𤶣 𤶤 𤶥 𤶦 𤶧 𤶨 𤶩 𤶪 𤶫 𤶬 𤶭 𤶮 𤶯 𤶰 𤶱 𤶲 𤶳 𤶴 𤶵 𤶶 𤶷 𤶸 𤶹 𤶺 𤶻 𤶼 𤶽 𤶾 𤶿 𤷀 𤷁 𤷂 𤷃 𤷄 𤷅 𤷆 𤷇 𤷈 𤷉 𤷊 𤷋 𤷌 𤷍 𤷎 𤷏 𤷐 𤷑 𤷒 𤷓 𤷔 𤷕 𤷖 𤷗 𤷘 𤷙 𤷚 𤷛 𤷜 𤷝 𤷞 𤷟 𤷠 𤷡 𤷢 𤷣 𤷤 𤷥 𤷦 𤷧 𤷨 𤷩 𤷪 𤷫 𤷬 𤷭 𤷮 𤷯 𤷰 𤷱 𤷲 𤷳 𤷴 𤷵 𤷶 𤷷 𤷸 𤷹 𤷺 𤷻 𤷼 𤷽 𤷾 𤷿</t>
        </is>
      </c>
      <c r="R596" s="43" t="inlineStr">
        <is>
          <t>𤴔 𤶀 𤶃 𤶸 𤷪</t>
        </is>
      </c>
      <c r="S596" s="40" t="n"/>
      <c r="V596" s="14">
        <f>(LEN(O596)+1)/2</f>
        <v/>
      </c>
      <c r="W596" s="14">
        <f>ROUNDDOWN((LEN(P596)+1)/2,0)</f>
        <v/>
      </c>
      <c r="X596" s="14">
        <f>ROUNDDOWN((LEN(Q596)+1)/2,0)</f>
        <v/>
      </c>
      <c r="Y596" s="14">
        <f>ROUNDDOWN((LEN(R596)+1)/2,0)</f>
        <v/>
      </c>
      <c r="Z596" s="14">
        <f>ROUNDDOWN((LEN(S596)+1)/2,0)</f>
        <v/>
      </c>
      <c r="AA596" s="56" t="n">
        <v>46150.55879384556</v>
      </c>
    </row>
    <row r="597" ht="102" customHeight="1">
      <c r="B597" s="46" t="inlineStr">
        <is>
          <t>U+24F00-U+24FFF</t>
        </is>
      </c>
      <c r="C597" s="46" t="inlineStr">
        <is>
          <t>CJK Unified Ideographs Extension B</t>
        </is>
      </c>
      <c r="D597" s="54">
        <f>HEX2DEC(MID(B597,3,FIND("-",E597)-3))</f>
        <v/>
      </c>
      <c r="E597" s="46" t="inlineStr">
        <is>
          <t>U+20000-U+2A6DF</t>
        </is>
      </c>
      <c r="F597" s="12" t="n">
        <v>4</v>
      </c>
      <c r="J597" s="19">
        <f>ROUNDDOWN(W597,0)/$V597</f>
        <v/>
      </c>
      <c r="K597" s="19">
        <f>ROUNDDOWN(X597,0)/$V597</f>
        <v/>
      </c>
      <c r="L597" s="19">
        <f>ROUNDDOWN(Y597,0)/$V597</f>
        <v/>
      </c>
      <c r="M597" s="19">
        <f>ROUNDDOWN(Z597,0)/$V597</f>
        <v/>
      </c>
      <c r="O597" s="36" t="inlineStr">
        <is>
          <t>𤸀 𤸁 𤸂 𤸃 𤸄 𤸅 𤸆 𤸇 𤸈 𤸉 𤸊 𤸋 𤸌 𤸍 𤸎 𤸏 𤸐 𤸑 𤸒 𤸓 𤸔 𤸕 𤸖 𤸗 𤸘 𤸙 𤸚 𤸛 𤸜 𤸝 𤸞 𤸟 𤸠 𤸡 𤸢 𤸣 𤸤 𤸥 𤸦 𤸧 𤸨 𤸩 𤸪 𤸫 𤸬 𤸭 𤸮 𤸯 𤸰 𤸱 𤸲 𤸳 𤸴 𤸵 𤸶 𤸷 𤸸 𤸹 𤸺 𤸻 𤸼 𤸽 𤸾 𤸿 𤹀 𤹁 𤹂 𤹃 𤹄 𤹅 𤹆 𤹇 𤹈 𤹉 𤹊 𤹋 𤹌 𤹍 𤹎 𤹏 𤹐 𤹑 𤹒 𤹓 𤹔 𤹕 𤹖 𤹗 𤹘 𤹙 𤹚 𤹛 𤹜 𤹝 𤹞 𤹟 𤹠 𤹡 𤹢 𤹣 𤹤 𤹥 𤹦 𤹧 𤹨 𤹩 𤹪 𤹫 𤹬 𤹭 𤹮 𤹯 𤹰 𤹱 𤹲 𤹳 𤹴 𤹵 𤹶 𤹷 𤹸 𤹹 𤹺 𤹻 𤹼 𤹽 𤹾 𤹿 𤺀 𤺁 𤺂 𤺃 𤺄 𤺅 𤺆 𤺇 𤺈 𤺉 𤺊 𤺋 𤺌 𤺍 𤺎 𤺏 𤺐 𤺑 𤺒 𤺓 𤺔 𤺕 𤺖 𤺗 𤺘 𤺙 𤺚 𤺛 𤺜 𤺝 𤺞 𤺟 𤺠 𤺡 𤺢 𤺣 𤺤 𤺥 𤺦 𤺧 𤺨 𤺩 𤺪 𤺫 𤺬 𤺭 𤺮 𤺯 𤺰 𤺱 𤺲 𤺳 𤺴 𤺵 𤺶 𤺷 𤺸 𤺹 𤺺 𤺻 𤺼 𤺽 𤺾 𤺿 𤻀 𤻁 𤻂 𤻃 𤻄 𤻅 𤻆 𤻇 𤻈 𤻉 𤻊 𤻋 𤻌 𤻍 𤻎 𤻏 𤻐 𤻑 𤻒 𤻓 𤻔 𤻕 𤻖 𤻗 𤻘 𤻙 𤻚 𤻛 𤻜 𤻝 𤻞 𤻟 𤻠 𤻡 𤻢 𤻣 𤻤 𤻥 𤻦 𤻧 𤻨 𤻩 𤻪 𤻫 𤻬 𤻭 𤻮 𤻯 𤻰 𤻱 𤻲 𤻳 𤻴 𤻵 𤻶 𤻷 𤻸 𤻹 𤻺 𤻻 𤻼 𤻽 𤻾 𤻿</t>
        </is>
      </c>
      <c r="P597" s="37" t="inlineStr">
        <is>
          <t>𤸀 𤸁 𤸂 𤸃 𤸄 𤸅 𤸆 𤸇 𤸈 𤸉 𤸊 𤸋 𤸌 𤸍 𤸎 𤸏 𤸐 𤸑 𤸒 𤸓 𤸔 𤸕 𤸖 𤸗 𤸘 𤸙 𤸚 𤸛 𤸜 𤸝 𤸞 𤸟 𤸠 𤸡 𤸢 𤸣 𤸤 𤸥 𤸦 𤸧 𤸨 𤸩 𤸪 𤸫 𤸬 𤸭 𤸮 𤸯 𤸰 𤸱 𤸲 𤸳 𤸴 𤸵 𤸶 𤸷 𤸸 𤸹 𤸺 𤸻 𤸼 𤸽 𤸾 𤸿 𤹀 𤹁 𤹂 𤹃 𤹄 𤹅 𤹆 𤹇 𤹈 𤹉 𤹊 𤹋 𤹌 𤹍 𤹎 𤹏 𤹐 𤹑 𤹒 𤹓 𤹔 𤹕 𤹖 𤹗 𤹘 𤹙 𤹚 𤹛 𤹜 𤹝 𤹞 𤹟 𤹠 𤹡 𤹢 𤹣 𤹤 𤹥 𤹦 𤹧 𤹨 𤹩 𤹪 𤹫 𤹬 𤹭 𤹮 𤹯 𤹰 𤹱 𤹲 𤹳 𤹴 𤹵 𤹶 𤹷 𤹸 𤹹 𤹺 𤹻 𤹼 𤹽 𤹾 𤹿 𤺀 𤺁 𤺂 𤺃 𤺄 𤺅 𤺆 𤺇 𤺈 𤺉 𤺊 𤺋 𤺌 𤺍 𤺎 𤺏 𤺐 𤺑 𤺒 𤺓 𤺔 𤺕 𤺖 𤺗 𤺘 𤺙 𤺚 𤺛 𤺜 𤺝 𤺞 𤺟 𤺠 𤺡 𤺢 𤺣 𤺤 𤺥 𤺦 𤺧 𤺨 𤺩 𤺪 𤺫 𤺬 𤺭 𤺮 𤺯 𤺰 𤺱 𤺲 𤺳 𤺴 𤺵 𤺶 𤺷 𤺸 𤺹 𤺺 𤺻 𤺼 𤺽 𤺾 𤺿 𤻀 𤻁 𤻂 𤻃 𤻄 𤻅 𤻆 𤻇 𤻈 𤻉 𤻊 𤻋 𤻌 𤻍 𤻎 𤻏 𤻐 𤻑 𤻒 𤻓 𤻔 𤻕 𤻖 𤻗 𤻘 𤻙 𤻚 𤻛 𤻜 𤻝 𤻞 𤻟 𤻠 𤻡 𤻢 𤻣 𤻤 𤻥 𤻦 𤻧 𤻨 𤻩 𤻪 𤻫 𤻬 𤻭 𤻮 𤻯 𤻰 𤻱 𤻲 𤻳 𤻴 𤻵 𤻶 𤻷 𤻸 𤻹 𤻺 𤻻 𤻼 𤻽 𤻾 𤻿</t>
        </is>
      </c>
      <c r="Q597" s="38" t="inlineStr">
        <is>
          <t>𤸀 𤸁 𤸂 𤸃 𤸄 𤸅 𤸆 𤸇 𤸈 𤸉 𤸊 𤸋 𤸌 𤸍 𤸎 𤸏 𤸐 𤸑 𤸒 𤸓 𤸔 𤸕 𤸖 𤸗 𤸘 𤸙 𤸚 𤸛 𤸜 𤸝 𤸞 𤸟 𤸠 𤸡 𤸢 𤸣 𤸤 𤸥 𤸦 𤸧 𤸨 𤸩 𤸪 𤸫 𤸬 𤸭 𤸮 𤸯 𤸰 𤸱 𤸲 𤸳 𤸴 𤸵 𤸶 𤸷 𤸸 𤸹 𤸺 𤸻 𤸼 𤸽 𤸾 𤸿 𤹀 𤹁 𤹂 𤹃 𤹄 𤹅 𤹆 𤹇 𤹈 𤹉 𤹊 𤹋 𤹌 𤹍 𤹎 𤹏 𤹐 𤹑 𤹒 𤹓 𤹔 𤹕 𤹖 𤹗 𤹘 𤹙 𤹚 𤹛 𤹜 𤹝 𤹞 𤹟 𤹠 𤹡 𤹢 𤹣 𤹤 𤹥 𤹦 𤹧 𤹨 𤹩 𤹪 𤹫 𤹬 𤹭 𤹮 𤹯 𤹰 𤹱 𤹲 𤹳 𤹴 𤹵 𤹶 𤹷 𤹸 𤹹 𤹺 𤹻 𤹼 𤹽 𤹾 𤹿 𤺀 𤺁 𤺂 𤺃 𤺄 𤺅 𤺆 𤺇 𤺈 𤺉 𤺊 𤺋 𤺌 𤺍 𤺎 𤺏 𤺐 𤺑 𤺒 𤺓 𤺔 𤺕 𤺖 𤺗 𤺘 𤺙 𤺚 𤺛 𤺜 𤺝 𤺞 𤺟 𤺠 𤺡 𤺢 𤺣 𤺤 𤺥 𤺦 𤺧 𤺨 𤺩 𤺪 𤺫 𤺬 𤺭 𤺮 𤺯 𤺰 𤺱 𤺲 𤺳 𤺴 𤺵 𤺶 𤺷 𤺸 𤺹 𤺺 𤺻 𤺼 𤺽 𤺾 𤺿 𤻀 𤻁 𤻂 𤻃 𤻄 𤻅 𤻆 𤻇 𤻈 𤻉 𤻊 𤻋 𤻌 𤻍 𤻎 𤻏 𤻐 𤻑 𤻒 𤻓 𤻔 𤻕 𤻖 𤻗 𤻘 𤻙 𤻚 𤻛 𤻜 𤻝 𤻞 𤻟 𤻠 𤻡 𤻢 𤻣 𤻤 𤻥 𤻦 𤻧 𤻨 𤻩 𤻪 𤻫 𤻬 𤻭 𤻮 𤻯 𤻰 𤻱 𤻲 𤻳 𤻴 𤻵 𤻶 𤻷 𤻸 𤻹 𤻺 𤻻 𤻼 𤻽 𤻾 𤻿</t>
        </is>
      </c>
      <c r="R597" s="43" t="inlineStr">
        <is>
          <t>𤸁 𤸎 𤸱 𤸷 𤹪 𤺅 𤺋 𤺧 𤺪 𤻊</t>
        </is>
      </c>
      <c r="S597" s="40" t="n"/>
      <c r="V597" s="14">
        <f>(LEN(O597)+1)/2</f>
        <v/>
      </c>
      <c r="W597" s="14">
        <f>ROUNDDOWN((LEN(P597)+1)/2,0)</f>
        <v/>
      </c>
      <c r="X597" s="14">
        <f>ROUNDDOWN((LEN(Q597)+1)/2,0)</f>
        <v/>
      </c>
      <c r="Y597" s="14">
        <f>ROUNDDOWN((LEN(R597)+1)/2,0)</f>
        <v/>
      </c>
      <c r="Z597" s="14">
        <f>ROUNDDOWN((LEN(S597)+1)/2,0)</f>
        <v/>
      </c>
      <c r="AA597" s="56" t="n">
        <v>46150.55879498438</v>
      </c>
    </row>
    <row r="598" ht="102" customHeight="1">
      <c r="B598" s="46" t="inlineStr">
        <is>
          <t>U+25000-U+250FF</t>
        </is>
      </c>
      <c r="C598" s="46" t="inlineStr">
        <is>
          <t>CJK Unified Ideographs Extension B</t>
        </is>
      </c>
      <c r="D598" s="54">
        <f>HEX2DEC(MID(B598,3,FIND("-",E598)-3))</f>
        <v/>
      </c>
      <c r="E598" s="46" t="inlineStr">
        <is>
          <t>U+20000-U+2A6DF</t>
        </is>
      </c>
      <c r="F598" s="12" t="n">
        <v>4</v>
      </c>
      <c r="J598" s="19">
        <f>ROUNDDOWN(W598,0)/$V598</f>
        <v/>
      </c>
      <c r="K598" s="19">
        <f>ROUNDDOWN(X598,0)/$V598</f>
        <v/>
      </c>
      <c r="L598" s="19">
        <f>ROUNDDOWN(Y598,0)/$V598</f>
        <v/>
      </c>
      <c r="M598" s="19">
        <f>ROUNDDOWN(Z598,0)/$V598</f>
        <v/>
      </c>
      <c r="O598" s="36" t="inlineStr">
        <is>
          <t>𤼀 𤼁 𤼂 𤼃 𤼄 𤼅 𤼆 𤼇 𤼈 𤼉 𤼊 𤼋 𤼌 𤼍 𤼎 𤼏 𤼐 𤼑 𤼒 𤼓 𤼔 𤼕 𤼖 𤼗 𤼘 𤼙 𤼚 𤼛 𤼜 𤼝 𤼞 𤼟 𤼠 𤼡 𤼢 𤼣 𤼤 𤼥 𤼦 𤼧 𤼨 𤼩 𤼪 𤼫 𤼬 𤼭 𤼮 𤼯 𤼰 𤼱 𤼲 𤼳 𤼴 𤼵 𤼶 𤼷 𤼸 𤼹 𤼺 𤼻 𤼼 𤼽 𤼾 𤼿 𤽀 𤽁 𤽂 𤽃 𤽄 𤽅 𤽆 𤽇 𤽈 𤽉 𤽊 𤽋 𤽌 𤽍 𤽎 𤽏 𤽐 𤽑 𤽒 𤽓 𤽔 𤽕 𤽖 𤽗 𤽘 𤽙 𤽚 𤽛 𤽜 𤽝 𤽞 𤽟 𤽠 𤽡 𤽢 𤽣 𤽤 𤽥 𤽦 𤽧 𤽨 𤽩 𤽪 𤽫 𤽬 𤽭 𤽮 𤽯 𤽰 𤽱 𤽲 𤽳 𤽴 𤽵 𤽶 𤽷 𤽸 𤽹 𤽺 𤽻 𤽼 𤽽 𤽾 𤽿 𤾀 𤾁 𤾂 𤾃 𤾄 𤾅 𤾆 𤾇 𤾈 𤾉 𤾊 𤾋 𤾌 𤾍 𤾎 𤾏 𤾐 𤾑 𤾒 𤾓 𤾔 𤾕 𤾖 𤾗 𤾘 𤾙 𤾚 𤾛 𤾜 𤾝 𤾞 𤾟 𤾠 𤾡 𤾢 𤾣 𤾤 𤾥 𤾦 𤾧 𤾨 𤾩 𤾪 𤾫 𤾬 𤾭 𤾮 𤾯 𤾰 𤾱 𤾲 𤾳 𤾴 𤾵 𤾶 𤾷 𤾸 𤾹 𤾺 𤾻 𤾼 𤾽 𤾾 𤾿 𤿀 𤿁 𤿂 𤿃 𤿄 𤿅 𤿆 𤿇 𤿈 𤿉 𤿊 𤿋 𤿌 𤿍 𤿎 𤿏 𤿐 𤿑 𤿒 𤿓 𤿔 𤿕 𤿖 𤿗 𤿘 𤿙 𤿚 𤿛 𤿜 𤿝 𤿞 𤿟 𤿠 𤿡 𤿢 𤿣 𤿤 𤿥 𤿦 𤿧 𤿨 𤿩 𤿪 𤿫 𤿬 𤿭 𤿮 𤿯 𤿰 𤿱 𤿲 𤿳 𤿴 𤿵 𤿶 𤿷 𤿸 𤿹 𤿺 𤿻 𤿼 𤿽 𤿾 𤿿</t>
        </is>
      </c>
      <c r="P598" s="37" t="inlineStr">
        <is>
          <t>𤼀 𤼁 𤼂 𤼃 𤼄 𤼅 𤼆 𤼇 𤼈 𤼉 𤼊 𤼋 𤼌 𤼍 𤼎 𤼏 𤼐 𤼑 𤼒 𤼓 𤼔 𤼕 𤼖 𤼗 𤼘 𤼙 𤼚 𤼛 𤼜 𤼝 𤼞 𤼟 𤼠 𤼡 𤼢 𤼣 𤼤 𤼥 𤼦 𤼧 𤼨 𤼩 𤼪 𤼫 𤼬 𤼭 𤼮 𤼯 𤼰 𤼱 𤼲 𤼳 𤼴 𤼵 𤼶 𤼷 𤼸 𤼹 𤼺 𤼻 𤼼 𤼽 𤼾 𤼿 𤽀 𤽁 𤽂 𤽃 𤽄 𤽅 𤽆 𤽇 𤽈 𤽉 𤽊 𤽋 𤽌 𤽍 𤽎 𤽏 𤽐 𤽑 𤽒 𤽓 𤽔 𤽕 𤽖 𤽗 𤽘 𤽙 𤽚 𤽛 𤽜 𤽝 𤽞 𤽟 𤽠 𤽡 𤽢 𤽣 𤽤 𤽥 𤽦 𤽧 𤽨 𤽩 𤽪 𤽫 𤽬 𤽭 𤽮 𤽯 𤽰 𤽱 𤽲 𤽳 𤽴 𤽵 𤽶 𤽷 𤽸 𤽹 𤽺 𤽻 𤽼 𤽽 𤽾 𤽿 𤾀 𤾁 𤾂 𤾃 𤾄 𤾅 𤾆 𤾇 𤾈 𤾉 𤾊 𤾋 𤾌 𤾍 𤾎 𤾏 𤾐 𤾑 𤾒 𤾓 𤾔 𤾕 𤾖 𤾗 𤾘 𤾙 𤾚 𤾛 𤾜 𤾝 𤾞 𤾟 𤾠 𤾡 𤾢 𤾣 𤾤 𤾥 𤾦 𤾧 𤾨 𤾩 𤾪 𤾫 𤾬 𤾭 𤾮 𤾯 𤾰 𤾱 𤾲 𤾳 𤾴 𤾵 𤾶 𤾷 𤾸 𤾹 𤾺 𤾻 𤾼 𤾽 𤾾 𤾿 𤿀 𤿁 𤿂 𤿃 𤿄 𤿅 𤿆 𤿇 𤿈 𤿉 𤿊 𤿋 𤿌 𤿍 𤿎 𤿏 𤿐 𤿑 𤿒 𤿓 𤿔 𤿕 𤿖 𤿗 𤿘 𤿙 𤿚 𤿛 𤿜 𤿝 𤿞 𤿟 𤿠 𤿡 𤿢 𤿣 𤿤 𤿥 𤿦 𤿧 𤿨 𤿩 𤿪 𤿫 𤿬 𤿭 𤿮 𤿯 𤿰 𤿱 𤿲 𤿳 𤿴 𤿵 𤿶 𤿷 𤿸 𤿹 𤿺 𤿻 𤿼 𤿽 𤿾 𤿿</t>
        </is>
      </c>
      <c r="Q598" s="38" t="inlineStr">
        <is>
          <t>𤼀 𤼁 𤼂 𤼃 𤼄 𤼅 𤼆 𤼇 𤼈 𤼉 𤼊 𤼋 𤼌 𤼍 𤼎 𤼏 𤼐 𤼑 𤼒 𤼓 𤼔 𤼕 𤼖 𤼗 𤼘 𤼙 𤼚 𤼛 𤼜 𤼝 𤼞 𤼟 𤼠 𤼡 𤼢 𤼣 𤼤 𤼥 𤼦 𤼧 𤼨 𤼩 𤼪 𤼫 𤼬 𤼭 𤼮 𤼯 𤼰 𤼱 𤼲 𤼳 𤼴 𤼵 𤼶 𤼷 𤼸 𤼹 𤼺 𤼻 𤼼 𤼽 𤼾 𤼿 𤽀 𤽁 𤽂 𤽃 𤽄 𤽅 𤽆 𤽇 𤽈 𤽉 𤽊 𤽋 𤽌 𤽍 𤽎 𤽏 𤽐 𤽑 𤽒 𤽓 𤽔 𤽕 𤽖 𤽗 𤽘 𤽙 𤽚 𤽛 𤽜 𤽝 𤽞 𤽟 𤽠 𤽡 𤽢 𤽣 𤽤 𤽥 𤽦 𤽧 𤽨 𤽩 𤽪 𤽫 𤽬 𤽭 𤽮 𤽯 𤽰 𤽱 𤽲 𤽳 𤽴 𤽵 𤽶 𤽷 𤽸 𤽹 𤽺 𤽻 𤽼 𤽽 𤽾 𤽿 𤾀 𤾁 𤾂 𤾃 𤾄 𤾅 𤾆 𤾇 𤾈 𤾉 𤾊 𤾋 𤾌 𤾍 𤾎 𤾏 𤾐 𤾑 𤾒 𤾓 𤾔 𤾕 𤾖 𤾗 𤾘 𤾙 𤾚 𤾛 𤾜 𤾝 𤾞 𤾟 𤾠 𤾡 𤾢 𤾣 𤾤 𤾥 𤾦 𤾧 𤾨 𤾩 𤾪 𤾫 𤾬 𤾭 𤾮 𤾯 𤾰 𤾱 𤾲 𤾳 𤾴 𤾵 𤾶 𤾷 𤾸 𤾹 𤾺 𤾻 𤾼 𤾽 𤾾 𤾿 𤿀 𤿁 𤿂 𤿃 𤿄 𤿅 𤿆 𤿇 𤿈 𤿉 𤿊 𤿋 𤿌 𤿍 𤿎 𤿏 𤿐 𤿑 𤿒 𤿓 𤿔 𤿕 𤿖 𤿗 𤿘 𤿙 𤿚 𤿛 𤿜 𤿝 𤿞 𤿟 𤿠 𤿡 𤿢 𤿣 𤿤 𤿥 𤿦 𤿧 𤿨 𤿩 𤿪 𤿫 𤿬 𤿭 𤿮 𤿯 𤿰 𤿱 𤿲 𤿳 𤿴 𤿵 𤿶 𤿷 𤿸 𤿹 𤿺 𤿻 𤿼 𤿽 𤿾 𤿿</t>
        </is>
      </c>
      <c r="R598" s="43" t="inlineStr"/>
      <c r="S598" s="40" t="n"/>
      <c r="V598" s="14">
        <f>(LEN(O598)+1)/2</f>
        <v/>
      </c>
      <c r="W598" s="14">
        <f>ROUNDDOWN((LEN(P598)+1)/2,0)</f>
        <v/>
      </c>
      <c r="X598" s="14">
        <f>ROUNDDOWN((LEN(Q598)+1)/2,0)</f>
        <v/>
      </c>
      <c r="Y598" s="14">
        <f>ROUNDDOWN((LEN(R598)+1)/2,0)</f>
        <v/>
      </c>
      <c r="Z598" s="14">
        <f>ROUNDDOWN((LEN(S598)+1)/2,0)</f>
        <v/>
      </c>
      <c r="AA598" s="56" t="n">
        <v>46150.55879605197</v>
      </c>
    </row>
    <row r="599" ht="102" customHeight="1">
      <c r="B599" s="46" t="inlineStr">
        <is>
          <t>U+25100-U+251FF</t>
        </is>
      </c>
      <c r="C599" s="46" t="inlineStr">
        <is>
          <t>CJK Unified Ideographs Extension B</t>
        </is>
      </c>
      <c r="D599" s="54">
        <f>HEX2DEC(MID(B599,3,FIND("-",E599)-3))</f>
        <v/>
      </c>
      <c r="E599" s="46" t="inlineStr">
        <is>
          <t>U+20000-U+2A6DF</t>
        </is>
      </c>
      <c r="F599" s="12" t="n">
        <v>4</v>
      </c>
      <c r="J599" s="19">
        <f>ROUNDDOWN(W599,0)/$V599</f>
        <v/>
      </c>
      <c r="K599" s="19">
        <f>ROUNDDOWN(X599,0)/$V599</f>
        <v/>
      </c>
      <c r="L599" s="19">
        <f>ROUNDDOWN(Y599,0)/$V599</f>
        <v/>
      </c>
      <c r="M599" s="19">
        <f>ROUNDDOWN(Z599,0)/$V599</f>
        <v/>
      </c>
      <c r="O599" s="36" t="inlineStr">
        <is>
          <t>𥀀 𥀁 𥀂 𥀃 𥀄 𥀅 𥀆 𥀇 𥀈 𥀉 𥀊 𥀋 𥀌 𥀍 𥀎 𥀏 𥀐 𥀑 𥀒 𥀓 𥀔 𥀕 𥀖 𥀗 𥀘 𥀙 𥀚 𥀛 𥀜 𥀝 𥀞 𥀟 𥀠 𥀡 𥀢 𥀣 𥀤 𥀥 𥀦 𥀧 𥀨 𥀩 𥀪 𥀫 𥀬 𥀭 𥀮 𥀯 𥀰 𥀱 𥀲 𥀳 𥀴 𥀵 𥀶 𥀷 𥀸 𥀹 𥀺 𥀻 𥀼 𥀽 𥀾 𥀿 𥁀 𥁁 𥁂 𥁃 𥁄 𥁅 𥁆 𥁇 𥁈 𥁉 𥁊 𥁋 𥁌 𥁍 𥁎 𥁏 𥁐 𥁑 𥁒 𥁓 𥁔 𥁕 𥁖 𥁗 𥁘 𥁙 𥁚 𥁛 𥁜 𥁝 𥁞 𥁟 𥁠 𥁡 𥁢 𥁣 𥁤 𥁥 𥁦 𥁧 𥁨 𥁩 𥁪 𥁫 𥁬 𥁭 𥁮 𥁯 𥁰 𥁱 𥁲 𥁳 𥁴 𥁵 𥁶 𥁷 𥁸 𥁹 𥁺 𥁻 𥁼 𥁽 𥁾 𥁿 𥂀 𥂁 𥂂 𥂃 𥂄 𥂅 𥂆 𥂇 𥂈 𥂉 𥂊 𥂋 𥂌 𥂍 𥂎 𥂏 𥂐 𥂑 𥂒 𥂓 𥂔 𥂕 𥂖 𥂗 𥂘 𥂙 𥂚 𥂛 𥂜 𥂝 𥂞 𥂟 𥂠 𥂡 𥂢 𥂣 𥂤 𥂥 𥂦 𥂧 𥂨 𥂩 𥂪 𥂫 𥂬 𥂭 𥂮 𥂯 𥂰 𥂱 𥂲 𥂳 𥂴 𥂵 𥂶 𥂷 𥂸 𥂹 𥂺 𥂻 𥂼 𥂽 𥂾 𥂿 𥃀 𥃁 𥃂 𥃃 𥃄 𥃅 𥃆 𥃇 𥃈 𥃉 𥃊 𥃋 𥃌 𥃍 𥃎 𥃏 𥃐 𥃑 𥃒 𥃓 𥃔 𥃕 𥃖 𥃗 𥃘 𥃙 𥃚 𥃛 𥃜 𥃝 𥃞 𥃟 𥃠 𥃡 𥃢 𥃣 𥃤 𥃥 𥃦 𥃧 𥃨 𥃩 𥃪 𥃫 𥃬 𥃭 𥃮 𥃯 𥃰 𥃱 𥃲 𥃳 𥃴 𥃵 𥃶 𥃷 𥃸 𥃹 𥃺 𥃻 𥃼 𥃽 𥃾 𥃿</t>
        </is>
      </c>
      <c r="P599" s="37" t="inlineStr">
        <is>
          <t>𥀀 𥀁 𥀂 𥀃 𥀄 𥀅 𥀆 𥀇 𥀈 𥀉 𥀊 𥀋 𥀌 𥀍 𥀎 𥀏 𥀐 𥀑 𥀒 𥀓 𥀔 𥀕 𥀖 𥀗 𥀘 𥀙 𥀚 𥀛 𥀜 𥀝 𥀞 𥀟 𥀠 𥀡 𥀢 𥀣 𥀤 𥀥 𥀦 𥀧 𥀨 𥀩 𥀪 𥀫 𥀬 𥀭 𥀮 𥀯 𥀰 𥀱 𥀲 𥀳 𥀴 𥀵 𥀶 𥀷 𥀸 𥀹 𥀺 𥀻 𥀼 𥀽 𥀾 𥀿 𥁀 𥁁 𥁂 𥁃 𥁄 𥁅 𥁆 𥁇 𥁈 𥁉 𥁊 𥁋 𥁌 𥁍 𥁎 𥁏 𥁐 𥁑 𥁒 𥁓 𥁔 𥁕 𥁖 𥁗 𥁘 𥁙 𥁚 𥁛 𥁜 𥁝 𥁞 𥁟 𥁠 𥁡 𥁢 𥁣 𥁤 𥁥 𥁦 𥁧 𥁨 𥁩 𥁪 𥁫 𥁬 𥁭 𥁮 𥁯 𥁰 𥁱 𥁲 𥁳 𥁴 𥁵 𥁶 𥁷 𥁸 𥁹 𥁺 𥁻 𥁼 𥁽 𥁾 𥁿 𥂀 𥂁 𥂂 𥂃 𥂄 𥂅 𥂆 𥂇 𥂈 𥂉 𥂊 𥂋 𥂌 𥂍 𥂎 𥂏 𥂐 𥂑 𥂒 𥂓 𥂔 𥂕 𥂖 𥂗 𥂘 𥂙 𥂚 𥂛 𥂜 𥂝 𥂞 𥂟 𥂠 𥂡 𥂢 𥂣 𥂤 𥂥 𥂦 𥂧 𥂨 𥂩 𥂪 𥂫 𥂬 𥂭 𥂮 𥂯 𥂰 𥂱 𥂲 𥂳 𥂴 𥂵 𥂶 𥂷 𥂸 𥂹 𥂺 𥂻 𥂼 𥂽 𥂾 𥂿 𥃀 𥃁 𥃂 𥃃 𥃄 𥃅 𥃆 𥃇 𥃈 𥃉 𥃊 𥃋 𥃌 𥃍 𥃎 𥃏 𥃐 𥃑 𥃒 𥃓 𥃔 𥃕 𥃖 𥃗 𥃘 𥃙 𥃚 𥃛 𥃜 𥃝 𥃞 𥃟 𥃠 𥃡 𥃢 𥃣 𥃤 𥃥 𥃦 𥃧 𥃨 𥃩 𥃪 𥃫 𥃬 𥃭 𥃮 𥃯 𥃰 𥃱 𥃲 𥃳 𥃴 𥃵 𥃶 𥃷 𥃸 𥃹 𥃺 𥃻 𥃼 𥃽 𥃾 𥃿</t>
        </is>
      </c>
      <c r="Q599" s="38" t="inlineStr">
        <is>
          <t>𥀀 𥀁 𥀂 𥀃 𥀄 𥀅 𥀆 𥀇 𥀈 𥀉 𥀊 𥀋 𥀌 𥀍 𥀎 𥀏 𥀐 𥀑 𥀒 𥀓 𥀔 𥀕 𥀖 𥀗 𥀘 𥀙 𥀚 𥀛 𥀜 𥀝 𥀞 𥀟 𥀠 𥀡 𥀢 𥀣 𥀤 𥀥 𥀦 𥀧 𥀨 𥀩 𥀪 𥀫 𥀬 𥀭 𥀮 𥀯 𥀰 𥀱 𥀲 𥀳 𥀴 𥀵 𥀶 𥀷 𥀸 𥀹 𥀺 𥀻 𥀼 𥀽 𥀾 𥀿 𥁀 𥁁 𥁂 𥁃 𥁄 𥁅 𥁆 𥁇 𥁈 𥁉 𥁊 𥁋 𥁌 𥁍 𥁎 𥁏 𥁐 𥁑 𥁒 𥁓 𥁔 𥁕 𥁖 𥁗 𥁘 𥁙 𥁚 𥁛 𥁜 𥁝 𥁞 𥁟 𥁠 𥁡 𥁢 𥁣 𥁤 𥁥 𥁦 𥁧 𥁨 𥁩 𥁪 𥁫 𥁬 𥁭 𥁮 𥁯 𥁰 𥁱 𥁲 𥁳 𥁴 𥁵 𥁶 𥁷 𥁸 𥁹 𥁺 𥁻 𥁼 𥁽 𥁾 𥁿 𥂀 𥂁 𥂂 𥂃 𥂄 𥂅 𥂆 𥂇 𥂈 𥂉 𥂊 𥂋 𥂌 𥂍 𥂎 𥂏 𥂐 𥂑 𥂒 𥂓 𥂔 𥂕 𥂖 𥂗 𥂘 𥂙 𥂚 𥂛 𥂜 𥂝 𥂞 𥂟 𥂠 𥂡 𥂢 𥂣 𥂤 𥂥 𥂦 𥂧 𥂨 𥂩 𥂪 𥂫 𥂬 𥂭 𥂮 𥂯 𥂰 𥂱 𥂲 𥂳 𥂴 𥂵 𥂶 𥂷 𥂸 𥂹 𥂺 𥂻 𥂼 𥂽 𥂾 𥂿 𥃀 𥃁 𥃂 𥃃 𥃄 𥃅 𥃆 𥃇 𥃈 𥃉 𥃊 𥃋 𥃌 𥃍 𥃎 𥃏 𥃐 𥃑 𥃒 𥃓 𥃔 𥃕 𥃖 𥃗 𥃘 𥃙 𥃚 𥃛 𥃜 𥃝 𥃞 𥃟 𥃠 𥃡 𥃢 𥃣 𥃤 𥃥 𥃦 𥃧 𥃨 𥃩 𥃪 𥃫 𥃬 𥃭 𥃮 𥃯 𥃰 𥃱 𥃲 𥃳 𥃴 𥃵 𥃶 𥃷 𥃸 𥃹 𥃺 𥃻 𥃼 𥃽 𥃾 𥃿</t>
        </is>
      </c>
      <c r="R599" s="43" t="inlineStr">
        <is>
          <t>𥁊 𥁕</t>
        </is>
      </c>
      <c r="S599" s="40" t="n"/>
      <c r="V599" s="14">
        <f>(LEN(O599)+1)/2</f>
        <v/>
      </c>
      <c r="W599" s="14">
        <f>ROUNDDOWN((LEN(P599)+1)/2,0)</f>
        <v/>
      </c>
      <c r="X599" s="14">
        <f>ROUNDDOWN((LEN(Q599)+1)/2,0)</f>
        <v/>
      </c>
      <c r="Y599" s="14">
        <f>ROUNDDOWN((LEN(R599)+1)/2,0)</f>
        <v/>
      </c>
      <c r="Z599" s="14">
        <f>ROUNDDOWN((LEN(S599)+1)/2,0)</f>
        <v/>
      </c>
      <c r="AA599" s="56" t="n">
        <v>46150.55879716744</v>
      </c>
    </row>
    <row r="600" ht="102" customHeight="1">
      <c r="B600" s="46" t="inlineStr">
        <is>
          <t>U+25200-U+252FF</t>
        </is>
      </c>
      <c r="C600" s="46" t="inlineStr">
        <is>
          <t>CJK Unified Ideographs Extension B</t>
        </is>
      </c>
      <c r="D600" s="54">
        <f>HEX2DEC(MID(B600,3,FIND("-",E600)-3))</f>
        <v/>
      </c>
      <c r="E600" s="46" t="inlineStr">
        <is>
          <t>U+20000-U+2A6DF</t>
        </is>
      </c>
      <c r="F600" s="12" t="n">
        <v>4</v>
      </c>
      <c r="J600" s="19">
        <f>ROUNDDOWN(W600,0)/$V600</f>
        <v/>
      </c>
      <c r="K600" s="19">
        <f>ROUNDDOWN(X600,0)/$V600</f>
        <v/>
      </c>
      <c r="L600" s="19">
        <f>ROUNDDOWN(Y600,0)/$V600</f>
        <v/>
      </c>
      <c r="M600" s="19">
        <f>ROUNDDOWN(Z600,0)/$V600</f>
        <v/>
      </c>
      <c r="O600" s="36" t="inlineStr">
        <is>
          <t>𥄀 𥄁 𥄂 𥄃 𥄄 𥄅 𥄆 𥄇 𥄈 𥄉 𥄊 𥄋 𥄌 𥄍 𥄎 𥄏 𥄐 𥄑 𥄒 𥄓 𥄔 𥄕 𥄖 𥄗 𥄘 𥄙 𥄚 𥄛 𥄜 𥄝 𥄞 𥄟 𥄠 𥄡 𥄢 𥄣 𥄤 𥄥 𥄦 𥄧 𥄨 𥄩 𥄪 𥄫 𥄬 𥄭 𥄮 𥄯 𥄰 𥄱 𥄲 𥄳 𥄴 𥄵 𥄶 𥄷 𥄸 𥄹 𥄺 𥄻 𥄼 𥄽 𥄾 𥄿 𥅀 𥅁 𥅂 𥅃 𥅄 𥅅 𥅆 𥅇 𥅈 𥅉 𥅊 𥅋 𥅌 𥅍 𥅎 𥅏 𥅐 𥅑 𥅒 𥅓 𥅔 𥅕 𥅖 𥅗 𥅘 𥅙 𥅚 𥅛 𥅜 𥅝 𥅞 𥅟 𥅠 𥅡 𥅢 𥅣 𥅤 𥅥 𥅦 𥅧 𥅨 𥅩 𥅪 𥅫 𥅬 𥅭 𥅮 𥅯 𥅰 𥅱 𥅲 𥅳 𥅴 𥅵 𥅶 𥅷 𥅸 𥅹 𥅺 𥅻 𥅼 𥅽 𥅾 𥅿 𥆀 𥆁 𥆂 𥆃 𥆄 𥆅 𥆆 𥆇 𥆈 𥆉 𥆊 𥆋 𥆌 𥆍 𥆎 𥆏 𥆐 𥆑 𥆒 𥆓 𥆔 𥆕 𥆖 𥆗 𥆘 𥆙 𥆚 𥆛 𥆜 𥆝 𥆞 𥆟 𥆠 𥆡 𥆢 𥆣 𥆤 𥆥 𥆦 𥆧 𥆨 𥆩 𥆪 𥆫 𥆬 𥆭 𥆮 𥆯 𥆰 𥆱 𥆲 𥆳 𥆴 𥆵 𥆶 𥆷 𥆸 𥆹 𥆺 𥆻 𥆼 𥆽 𥆾 𥆿 𥇀 𥇁 𥇂 𥇃 𥇄 𥇅 𥇆 𥇇 𥇈 𥇉 𥇊 𥇋 𥇌 𥇍 𥇎 𥇏 𥇐 𥇑 𥇒 𥇓 𥇔 𥇕 𥇖 𥇗 𥇘 𥇙 𥇚 𥇛 𥇜 𥇝 𥇞 𥇟 𥇠 𥇡 𥇢 𥇣 𥇤 𥇥 𥇦 𥇧 𥇨 𥇩 𥇪 𥇫 𥇬 𥇭 𥇮 𥇯 𥇰 𥇱 𥇲 𥇳 𥇴 𥇵 𥇶 𥇷 𥇸 𥇹 𥇺 𥇻 𥇼 𥇽 𥇾 𥇿</t>
        </is>
      </c>
      <c r="P600" s="37" t="inlineStr">
        <is>
          <t>𥄀 𥄁 𥄂 𥄃 𥄄 𥄅 𥄆 𥄇 𥄈 𥄉 𥄊 𥄋 𥄌 𥄍 𥄎 𥄏 𥄐 𥄑 𥄒 𥄓 𥄔 𥄕 𥄖 𥄗 𥄘 𥄙 𥄚 𥄛 𥄜 𥄝 𥄞 𥄟 𥄠 𥄡 𥄢 𥄣 𥄤 𥄥 𥄦 𥄧 𥄨 𥄩 𥄪 𥄫 𥄬 𥄭 𥄮 𥄯 𥄰 𥄱 𥄲 𥄳 𥄴 𥄵 𥄶 𥄷 𥄸 𥄹 𥄺 𥄻 𥄼 𥄽 𥄾 𥄿 𥅀 𥅁 𥅂 𥅃 𥅄 𥅅 𥅆 𥅇 𥅈 𥅉 𥅊 𥅋 𥅌 𥅍 𥅎 𥅏 𥅐 𥅑 𥅒 𥅓 𥅔 𥅕 𥅖 𥅗 𥅘 𥅙 𥅚 𥅛 𥅜 𥅝 𥅞 𥅟 𥅠 𥅡 𥅢 𥅣 𥅤 𥅥 𥅦 𥅧 𥅨 𥅩 𥅪 𥅫 𥅬 𥅭 𥅮 𥅯 𥅰 𥅱 𥅲 𥅳 𥅴 𥅵 𥅶 𥅷 𥅸 𥅹 𥅺 𥅻 𥅼 𥅽 𥅾 𥅿 𥆀 𥆁 𥆂 𥆃 𥆄 𥆅 𥆆 𥆇 𥆈 𥆉 𥆊 𥆋 𥆌 𥆍 𥆎 𥆏 𥆐 𥆑 𥆒 𥆓 𥆔 𥆕 𥆖 𥆗 𥆘 𥆙 𥆚 𥆛 𥆜 𥆝 𥆞 𥆟 𥆠 𥆡 𥆢 𥆣 𥆤 𥆥 𥆦 𥆧 𥆨 𥆩 𥆪 𥆫 𥆬 𥆭 𥆮 𥆯 𥆰 𥆱 𥆲 𥆳 𥆴 𥆵 𥆶 𥆷 𥆸 𥆹 𥆺 𥆻 𥆼 𥆽 𥆾 𥆿 𥇀 𥇁 𥇂 𥇃 𥇄 𥇅 𥇆 𥇇 𥇈 𥇉 𥇊 𥇋 𥇌 𥇍 𥇎 𥇏 𥇐 𥇑 𥇒 𥇓 𥇔 𥇕 𥇖 𥇗 𥇘 𥇙 𥇚 𥇛 𥇜 𥇝 𥇞 𥇟 𥇠 𥇡 𥇢 𥇣 𥇤 𥇥 𥇦 𥇧 𥇨 𥇩 𥇪 𥇫 𥇬 𥇭 𥇮 𥇯 𥇰 𥇱 𥇲 𥇳 𥇴 𥇵 𥇶 𥇷 𥇸 𥇹 𥇺 𥇻 𥇼 𥇽 𥇾 𥇿</t>
        </is>
      </c>
      <c r="Q600" s="38" t="inlineStr">
        <is>
          <t>𥄀 𥄁 𥄂 𥄃 𥄄 𥄅 𥄆 𥄇 𥄈 𥄉 𥄊 𥄋 𥄌 𥄍 𥄎 𥄏 𥄐 𥄑 𥄒 𥄓 𥄔 𥄕 𥄖 𥄗 𥄘 𥄙 𥄚 𥄛 𥄜 𥄝 𥄞 𥄟 𥄠 𥄡 𥄢 𥄣 𥄤 𥄥 𥄦 𥄧 𥄨 𥄩 𥄪 𥄫 𥄬 𥄭 𥄮 𥄯 𥄰 𥄱 𥄲 𥄳 𥄴 𥄵 𥄶 𥄷 𥄸 𥄹 𥄺 𥄻 𥄼 𥄽 𥄾 𥄿 𥅀 𥅁 𥅂 𥅃 𥅄 𥅅 𥅆 𥅇 𥅈 𥅉 𥅊 𥅋 𥅌 𥅍 𥅎 𥅏 𥅐 𥅑 𥅒 𥅓 𥅔 𥅕 𥅖 𥅗 𥅘 𥅙 𥅚 𥅛 𥅜 𥅝 𥅞 𥅟 𥅠 𥅡 𥅢 𥅣 𥅤 𥅥 𥅦 𥅧 𥅨 𥅩 𥅪 𥅫 𥅬 𥅭 𥅮 𥅯 𥅰 𥅱 𥅲 𥅳 𥅴 𥅵 𥅶 𥅷 𥅸 𥅹 𥅺 𥅻 𥅼 𥅽 𥅾 𥅿 𥆀 𥆁 𥆂 𥆃 𥆄 𥆅 𥆆 𥆇 𥆈 𥆉 𥆊 𥆋 𥆌 𥆍 𥆎 𥆏 𥆐 𥆑 𥆒 𥆓 𥆔 𥆕 𥆖 𥆗 𥆘 𥆙 𥆚 𥆛 𥆜 𥆝 𥆞 𥆟 𥆠 𥆡 𥆢 𥆣 𥆤 𥆥 𥆦 𥆧 𥆨 𥆩 𥆪 𥆫 𥆬 𥆭 𥆮 𥆯 𥆰 𥆱 𥆲 𥆳 𥆴 𥆵 𥆶 𥆷 𥆸 𥆹 𥆺 𥆻 𥆼 𥆽 𥆾 𥆿 𥇀 𥇁 𥇂 𥇃 𥇄 𥇅 𥇆 𥇇 𥇈 𥇉 𥇊 𥇋 𥇌 𥇍 𥇎 𥇏 𥇐 𥇑 𥇒 𥇓 𥇔 𥇕 𥇖 𥇗 𥇘 𥇙 𥇚 𥇛 𥇜 𥇝 𥇞 𥇟 𥇠 𥇡 𥇢 𥇣 𥇤 𥇥 𥇦 𥇧 𥇨 𥇩 𥇪 𥇫 𥇬 𥇭 𥇮 𥇯 𥇰 𥇱 𥇲 𥇳 𥇴 𥇵 𥇶 𥇷 𥇸 𥇹 𥇺 𥇻 𥇼 𥇽 𥇾 𥇿</t>
        </is>
      </c>
      <c r="R600" s="43" t="inlineStr">
        <is>
          <t>𥄢 𥄨 𥄫 𥅈 𥅾 𥇍 𥇥</t>
        </is>
      </c>
      <c r="S600" s="40" t="n"/>
      <c r="V600" s="14">
        <f>(LEN(O600)+1)/2</f>
        <v/>
      </c>
      <c r="W600" s="14">
        <f>ROUNDDOWN((LEN(P600)+1)/2,0)</f>
        <v/>
      </c>
      <c r="X600" s="14">
        <f>ROUNDDOWN((LEN(Q600)+1)/2,0)</f>
        <v/>
      </c>
      <c r="Y600" s="14">
        <f>ROUNDDOWN((LEN(R600)+1)/2,0)</f>
        <v/>
      </c>
      <c r="Z600" s="14">
        <f>ROUNDDOWN((LEN(S600)+1)/2,0)</f>
        <v/>
      </c>
      <c r="AA600" s="56" t="n">
        <v>46150.5587983127</v>
      </c>
    </row>
    <row r="601" ht="102" customHeight="1">
      <c r="B601" s="46" t="inlineStr">
        <is>
          <t>U+25300-U+253FF</t>
        </is>
      </c>
      <c r="C601" s="46" t="inlineStr">
        <is>
          <t>CJK Unified Ideographs Extension B</t>
        </is>
      </c>
      <c r="D601" s="54">
        <f>HEX2DEC(MID(B601,3,FIND("-",E601)-3))</f>
        <v/>
      </c>
      <c r="E601" s="46" t="inlineStr">
        <is>
          <t>U+20000-U+2A6DF</t>
        </is>
      </c>
      <c r="F601" s="12" t="n">
        <v>4</v>
      </c>
      <c r="J601" s="19">
        <f>ROUNDDOWN(W601,0)/$V601</f>
        <v/>
      </c>
      <c r="K601" s="19">
        <f>ROUNDDOWN(X601,0)/$V601</f>
        <v/>
      </c>
      <c r="L601" s="19">
        <f>ROUNDDOWN(Y601,0)/$V601</f>
        <v/>
      </c>
      <c r="M601" s="19">
        <f>ROUNDDOWN(Z601,0)/$V601</f>
        <v/>
      </c>
      <c r="O601" s="36" t="inlineStr">
        <is>
          <t>𥈀 𥈁 𥈂 𥈃 𥈄 𥈅 𥈆 𥈇 𥈈 𥈉 𥈊 𥈋 𥈌 𥈍 𥈎 𥈏 𥈐 𥈑 𥈒 𥈓 𥈔 𥈕 𥈖 𥈗 𥈘 𥈙 𥈚 𥈛 𥈜 𥈝 𥈞 𥈟 𥈠 𥈡 𥈢 𥈣 𥈤 𥈥 𥈦 𥈧 𥈨 𥈩 𥈪 𥈫 𥈬 𥈭 𥈮 𥈯 𥈰 𥈱 𥈲 𥈳 𥈴 𥈵 𥈶 𥈷 𥈸 𥈹 𥈺 𥈻 𥈼 𥈽 𥈾 𥈿 𥉀 𥉁 𥉂 𥉃 𥉄 𥉅 𥉆 𥉇 𥉈 𥉉 𥉊 𥉋 𥉌 𥉍 𥉎 𥉏 𥉐 𥉑 𥉒 𥉓 𥉔 𥉕 𥉖 𥉗 𥉘 𥉙 𥉚 𥉛 𥉜 𥉝 𥉞 𥉟 𥉠 𥉡 𥉢 𥉣 𥉤 𥉥 𥉦 𥉧 𥉨 𥉩 𥉪 𥉫 𥉬 𥉭 𥉮 𥉯 𥉰 𥉱 𥉲 𥉳 𥉴 𥉵 𥉶 𥉷 𥉸 𥉹 𥉺 𥉻 𥉼 𥉽 𥉾 𥉿 𥊀 𥊁 𥊂 𥊃 𥊄 𥊅 𥊆 𥊇 𥊈 𥊉 𥊊 𥊋 𥊌 𥊍 𥊎 𥊏 𥊐 𥊑 𥊒 𥊓 𥊔 𥊕 𥊖 𥊗 𥊘 𥊙 𥊚 𥊛 𥊜 𥊝 𥊞 𥊟 𥊠 𥊡 𥊢 𥊣 𥊤 𥊥 𥊦 𥊧 𥊨 𥊩 𥊪 𥊫 𥊬 𥊭 𥊮 𥊯 𥊰 𥊱 𥊲 𥊳 𥊴 𥊵 𥊶 𥊷 𥊸 𥊹 𥊺 𥊻 𥊼 𥊽 𥊾 𥊿 𥋀 𥋁 𥋂 𥋃 𥋄 𥋅 𥋆 𥋇 𥋈 𥋉 𥋊 𥋋 𥋌 𥋍 𥋎 𥋏 𥋐 𥋑 𥋒 𥋓 𥋔 𥋕 𥋖 𥋗 𥋘 𥋙 𥋚 𥋛 𥋜 𥋝 𥋞 𥋟 𥋠 𥋡 𥋢 𥋣 𥋤 𥋥 𥋦 𥋧 𥋨 𥋩 𥋪 𥋫 𥋬 𥋭 𥋮 𥋯 𥋰 𥋱 𥋲 𥋳 𥋴 𥋵 𥋶 𥋷 𥋸 𥋹 𥋺 𥋻 𥋼 𥋽 𥋾 𥋿</t>
        </is>
      </c>
      <c r="P601" s="37" t="inlineStr">
        <is>
          <t>𥈀 𥈁 𥈂 𥈃 𥈄 𥈅 𥈆 𥈇 𥈈 𥈉 𥈊 𥈋 𥈌 𥈍 𥈎 𥈏 𥈐 𥈑 𥈒 𥈓 𥈔 𥈕 𥈖 𥈗 𥈘 𥈙 𥈚 𥈛 𥈜 𥈝 𥈞 𥈟 𥈠 𥈡 𥈢 𥈣 𥈤 𥈥 𥈦 𥈧 𥈨 𥈩 𥈪 𥈫 𥈬 𥈭 𥈮 𥈯 𥈰 𥈱 𥈲 𥈳 𥈴 𥈵 𥈶 𥈷 𥈸 𥈹 𥈺 𥈻 𥈼 𥈽 𥈾 𥈿 𥉀 𥉁 𥉂 𥉃 𥉄 𥉅 𥉆 𥉇 𥉈 𥉉 𥉊 𥉋 𥉌 𥉍 𥉎 𥉏 𥉐 𥉑 𥉒 𥉓 𥉔 𥉕 𥉖 𥉗 𥉘 𥉙 𥉚 𥉛 𥉜 𥉝 𥉞 𥉟 𥉠 𥉡 𥉢 𥉣 𥉤 𥉥 𥉦 𥉧 𥉨 𥉩 𥉪 𥉫 𥉬 𥉭 𥉮 𥉯 𥉰 𥉱 𥉲 𥉳 𥉴 𥉵 𥉶 𥉷 𥉸 𥉹 𥉺 𥉻 𥉼 𥉽 𥉾 𥉿 𥊀 𥊁 𥊂 𥊃 𥊄 𥊅 𥊆 𥊇 𥊈 𥊉 𥊊 𥊋 𥊌 𥊍 𥊎 𥊏 𥊐 𥊑 𥊒 𥊓 𥊔 𥊕 𥊖 𥊗 𥊘 𥊙 𥊚 𥊛 𥊜 𥊝 𥊞 𥊟 𥊠 𥊡 𥊢 𥊣 𥊤 𥊥 𥊦 𥊧 𥊨 𥊩 𥊪 𥊫 𥊬 𥊭 𥊮 𥊯 𥊰 𥊱 𥊲 𥊳 𥊴 𥊵 𥊶 𥊷 𥊸 𥊹 𥊺 𥊻 𥊼 𥊽 𥊾 𥊿 𥋀 𥋁 𥋂 𥋃 𥋄 𥋅 𥋆 𥋇 𥋈 𥋉 𥋊 𥋋 𥋌 𥋍 𥋎 𥋏 𥋐 𥋑 𥋒 𥋓 𥋔 𥋕 𥋖 𥋗 𥋘 𥋙 𥋚 𥋛 𥋜 𥋝 𥋞 𥋟 𥋠 𥋡 𥋢 𥋣 𥋤 𥋥 𥋦 𥋧 𥋨 𥋩 𥋪 𥋫 𥋬 𥋭 𥋮 𥋯 𥋰 𥋱 𥋲 𥋳 𥋴 𥋵 𥋶 𥋷 𥋸 𥋹 𥋺 𥋻 𥋼 𥋽 𥋾 𥋿</t>
        </is>
      </c>
      <c r="Q601" s="38" t="inlineStr">
        <is>
          <t>𥈀 𥈁 𥈂 𥈃 𥈄 𥈅 𥈆 𥈇 𥈈 𥈉 𥈊 𥈋 𥈌 𥈍 𥈎 𥈏 𥈐 𥈑 𥈒 𥈓 𥈔 𥈕 𥈖 𥈗 𥈘 𥈙 𥈚 𥈛 𥈜 𥈝 𥈞 𥈟 𥈠 𥈡 𥈢 𥈣 𥈤 𥈥 𥈦 𥈧 𥈨 𥈩 𥈪 𥈫 𥈬 𥈭 𥈮 𥈯 𥈰 𥈱 𥈲 𥈳 𥈴 𥈵 𥈶 𥈷 𥈸 𥈹 𥈺 𥈻 𥈼 𥈽 𥈾 𥈿 𥉀 𥉁 𥉂 𥉃 𥉄 𥉅 𥉆 𥉇 𥉈 𥉉 𥉊 𥉋 𥉌 𥉍 𥉎 𥉏 𥉐 𥉑 𥉒 𥉓 𥉔 𥉕 𥉖 𥉗 𥉘 𥉙 𥉚 𥉛 𥉜 𥉝 𥉞 𥉟 𥉠 𥉡 𥉢 𥉣 𥉤 𥉥 𥉦 𥉧 𥉨 𥉩 𥉪 𥉫 𥉬 𥉭 𥉮 𥉯 𥉰 𥉱 𥉲 𥉳 𥉴 𥉵 𥉶 𥉷 𥉸 𥉹 𥉺 𥉻 𥉼 𥉽 𥉾 𥉿 𥊀 𥊁 𥊂 𥊃 𥊄 𥊅 𥊆 𥊇 𥊈 𥊉 𥊊 𥊋 𥊌 𥊍 𥊎 𥊏 𥊐 𥊑 𥊒 𥊓 𥊔 𥊕 𥊖 𥊗 𥊘 𥊙 𥊚 𥊛 𥊜 𥊝 𥊞 𥊟 𥊠 𥊡 𥊢 𥊣 𥊤 𥊥 𥊦 𥊧 𥊨 𥊩 𥊪 𥊫 𥊬 𥊭 𥊮 𥊯 𥊰 𥊱 𥊲 𥊳 𥊴 𥊵 𥊶 𥊷 𥊸 𥊹 𥊺 𥊻 𥊼 𥊽 𥊾 𥊿 𥋀 𥋁 𥋂 𥋃 𥋄 𥋅 𥋆 𥋇 𥋈 𥋉 𥋊 𥋋 𥋌 𥋍 𥋎 𥋏 𥋐 𥋑 𥋒 𥋓 𥋔 𥋕 𥋖 𥋗 𥋘 𥋙 𥋚 𥋛 𥋜 𥋝 𥋞 𥋟 𥋠 𥋡 𥋢 𥋣 𥋤 𥋥 𥋦 𥋧 𥋨 𥋩 𥋪 𥋫 𥋬 𥋭 𥋮 𥋯 𥋰 𥋱 𥋲 𥋳 𥋴 𥋵 𥋶 𥋷 𥋸 𥋹 𥋺 𥋻 𥋼 𥋽 𥋾 𥋿</t>
        </is>
      </c>
      <c r="R601" s="43" t="inlineStr">
        <is>
          <t>𥈞 𥉌</t>
        </is>
      </c>
      <c r="S601" s="40" t="n"/>
      <c r="V601" s="14">
        <f>(LEN(O601)+1)/2</f>
        <v/>
      </c>
      <c r="W601" s="14">
        <f>ROUNDDOWN((LEN(P601)+1)/2,0)</f>
        <v/>
      </c>
      <c r="X601" s="14">
        <f>ROUNDDOWN((LEN(Q601)+1)/2,0)</f>
        <v/>
      </c>
      <c r="Y601" s="14">
        <f>ROUNDDOWN((LEN(R601)+1)/2,0)</f>
        <v/>
      </c>
      <c r="Z601" s="14">
        <f>ROUNDDOWN((LEN(S601)+1)/2,0)</f>
        <v/>
      </c>
      <c r="AA601" s="56" t="n">
        <v>46150.55879940776</v>
      </c>
    </row>
    <row r="602" ht="102" customHeight="1">
      <c r="B602" s="46" t="inlineStr">
        <is>
          <t>U+25400-U+254FF</t>
        </is>
      </c>
      <c r="C602" s="46" t="inlineStr">
        <is>
          <t>CJK Unified Ideographs Extension B</t>
        </is>
      </c>
      <c r="D602" s="54">
        <f>HEX2DEC(MID(B602,3,FIND("-",E602)-3))</f>
        <v/>
      </c>
      <c r="E602" s="46" t="inlineStr">
        <is>
          <t>U+20000-U+2A6DF</t>
        </is>
      </c>
      <c r="F602" s="12" t="n">
        <v>4</v>
      </c>
      <c r="J602" s="19">
        <f>ROUNDDOWN(W602,0)/$V602</f>
        <v/>
      </c>
      <c r="K602" s="19">
        <f>ROUNDDOWN(X602,0)/$V602</f>
        <v/>
      </c>
      <c r="L602" s="19">
        <f>ROUNDDOWN(Y602,0)/$V602</f>
        <v/>
      </c>
      <c r="M602" s="19">
        <f>ROUNDDOWN(Z602,0)/$V602</f>
        <v/>
      </c>
      <c r="O602" s="36" t="inlineStr">
        <is>
          <t>𥌀 𥌁 𥌂 𥌃 𥌄 𥌅 𥌆 𥌇 𥌈 𥌉 𥌊 𥌋 𥌌 𥌍 𥌎 𥌏 𥌐 𥌑 𥌒 𥌓 𥌔 𥌕 𥌖 𥌗 𥌘 𥌙 𥌚 𥌛 𥌜 𥌝 𥌞 𥌟 𥌠 𥌡 𥌢 𥌣 𥌤 𥌥 𥌦 𥌧 𥌨 𥌩 𥌪 𥌫 𥌬 𥌭 𥌮 𥌯 𥌰 𥌱 𥌲 𥌳 𥌴 𥌵 𥌶 𥌷 𥌸 𥌹 𥌺 𥌻 𥌼 𥌽 𥌾 𥌿 𥍀 𥍁 𥍂 𥍃 𥍄 𥍅 𥍆 𥍇 𥍈 𥍉 𥍊 𥍋 𥍌 𥍍 𥍎 𥍏 𥍐 𥍑 𥍒 𥍓 𥍔 𥍕 𥍖 𥍗 𥍘 𥍙 𥍚 𥍛 𥍜 𥍝 𥍞 𥍟 𥍠 𥍡 𥍢 𥍣 𥍤 𥍥 𥍦 𥍧 𥍨 𥍩 𥍪 𥍫 𥍬 𥍭 𥍮 𥍯 𥍰 𥍱 𥍲 𥍳 𥍴 𥍵 𥍶 𥍷 𥍸 𥍹 𥍺 𥍻 𥍼 𥍽 𥍾 𥍿 𥎀 𥎁 𥎂 𥎃 𥎄 𥎅 𥎆 𥎇 𥎈 𥎉 𥎊 𥎋 𥎌 𥎍 𥎎 𥎏 𥎐 𥎑 𥎒 𥎓 𥎔 𥎕 𥎖 𥎗 𥎘 𥎙 𥎚 𥎛 𥎜 𥎝 𥎞 𥎟 𥎠 𥎡 𥎢 𥎣 𥎤 𥎥 𥎦 𥎧 𥎨 𥎩 𥎪 𥎫 𥎬 𥎭 𥎮 𥎯 𥎰 𥎱 𥎲 𥎳 𥎴 𥎵 𥎶 𥎷 𥎸 𥎹 𥎺 𥎻 𥎼 𥎽 𥎾 𥎿 𥏀 𥏁 𥏂 𥏃 𥏄 𥏅 𥏆 𥏇 𥏈 𥏉 𥏊 𥏋 𥏌 𥏍 𥏎 𥏏 𥏐 𥏑 𥏒 𥏓 𥏔 𥏕 𥏖 𥏗 𥏘 𥏙 𥏚 𥏛 𥏜 𥏝 𥏞 𥏟 𥏠 𥏡 𥏢 𥏣 𥏤 𥏥 𥏦 𥏧 𥏨 𥏩 𥏪 𥏫 𥏬 𥏭 𥏮 𥏯 𥏰 𥏱 𥏲 𥏳 𥏴 𥏵 𥏶 𥏷 𥏸 𥏹 𥏺 𥏻 𥏼 𥏽 𥏾 𥏿</t>
        </is>
      </c>
      <c r="P602" s="37" t="inlineStr">
        <is>
          <t>𥌀 𥌁 𥌂 𥌃 𥌄 𥌅 𥌆 𥌇 𥌈 𥌉 𥌊 𥌋 𥌌 𥌍 𥌎 𥌏 𥌐 𥌑 𥌒 𥌓 𥌔 𥌕 𥌖 𥌗 𥌘 𥌙 𥌚 𥌛 𥌜 𥌝 𥌞 𥌟 𥌠 𥌡 𥌢 𥌣 𥌤 𥌥 𥌦 𥌧 𥌨 𥌩 𥌪 𥌫 𥌬 𥌭 𥌮 𥌯 𥌰 𥌱 𥌲 𥌳 𥌴 𥌵 𥌶 𥌷 𥌸 𥌹 𥌺 𥌻 𥌼 𥌽 𥌾 𥌿 𥍀 𥍁 𥍂 𥍃 𥍄 𥍅 𥍆 𥍇 𥍈 𥍉 𥍊 𥍋 𥍌 𥍍 𥍎 𥍏 𥍐 𥍑 𥍒 𥍓 𥍔 𥍕 𥍖 𥍗 𥍘 𥍙 𥍚 𥍛 𥍜 𥍝 𥍞 𥍟 𥍠 𥍡 𥍢 𥍣 𥍤 𥍥 𥍦 𥍧 𥍨 𥍩 𥍪 𥍫 𥍬 𥍭 𥍮 𥍯 𥍰 𥍱 𥍲 𥍳 𥍴 𥍵 𥍶 𥍷 𥍸 𥍹 𥍺 𥍻 𥍼 𥍽 𥍾 𥍿 𥎀 𥎁 𥎂 𥎃 𥎄 𥎅 𥎆 𥎇 𥎈 𥎉 𥎊 𥎋 𥎌 𥎍 𥎎 𥎏 𥎐 𥎑 𥎒 𥎓 𥎔 𥎕 𥎖 𥎗 𥎘 𥎙 𥎚 𥎛 𥎜 𥎝 𥎞 𥎟 𥎠 𥎡 𥎢 𥎣 𥎤 𥎥 𥎦 𥎧 𥎨 𥎩 𥎪 𥎫 𥎬 𥎭 𥎮 𥎯 𥎰 𥎱 𥎲 𥎳 𥎴 𥎵 𥎶 𥎷 𥎸 𥎹 𥎺 𥎻 𥎼 𥎽 𥎾 𥎿 𥏀 𥏁 𥏂 𥏃 𥏄 𥏅 𥏆 𥏇 𥏈 𥏉 𥏊 𥏋 𥏌 𥏍 𥏎 𥏏 𥏐 𥏑 𥏒 𥏓 𥏔 𥏕 𥏖 𥏗 𥏘 𥏙 𥏚 𥏛 𥏜 𥏝 𥏞 𥏟 𥏠 𥏡 𥏢 𥏣 𥏤 𥏥 𥏦 𥏧 𥏨 𥏩 𥏪 𥏫 𥏬 𥏭 𥏮 𥏯 𥏰 𥏱 𥏲 𥏳 𥏴 𥏵 𥏶 𥏷 𥏸 𥏹 𥏺 𥏻 𥏼 𥏽 𥏾 𥏿</t>
        </is>
      </c>
      <c r="Q602" s="38" t="inlineStr">
        <is>
          <t>𥌀 𥌁 𥌂 𥌃 𥌄 𥌅 𥌆 𥌇 𥌈 𥌉 𥌊 𥌋 𥌌 𥌍 𥌎 𥌏 𥌐 𥌑 𥌒 𥌓 𥌔 𥌕 𥌖 𥌗 𥌘 𥌙 𥌚 𥌛 𥌜 𥌝 𥌞 𥌟 𥌠 𥌡 𥌢 𥌣 𥌤 𥌥 𥌦 𥌧 𥌨 𥌩 𥌪 𥌫 𥌬 𥌭 𥌮 𥌯 𥌰 𥌱 𥌲 𥌳 𥌴 𥌵 𥌶 𥌷 𥌸 𥌹 𥌺 𥌻 𥌼 𥌽 𥌾 𥌿 𥍀 𥍁 𥍂 𥍃 𥍄 𥍅 𥍆 𥍇 𥍈 𥍉 𥍊 𥍋 𥍌 𥍍 𥍎 𥍏 𥍐 𥍑 𥍒 𥍓 𥍔 𥍕 𥍖 𥍗 𥍘 𥍙 𥍚 𥍛 𥍜 𥍝 𥍞 𥍟 𥍠 𥍡 𥍢 𥍣 𥍤 𥍥 𥍦 𥍧 𥍨 𥍩 𥍪 𥍫 𥍬 𥍭 𥍮 𥍯 𥍰 𥍱 𥍲 𥍳 𥍴 𥍵 𥍶 𥍷 𥍸 𥍹 𥍺 𥍻 𥍼 𥍽 𥍾 𥍿 𥎀 𥎁 𥎂 𥎃 𥎄 𥎅 𥎆 𥎇 𥎈 𥎉 𥎊 𥎋 𥎌 𥎍 𥎎 𥎏 𥎐 𥎑 𥎒 𥎓 𥎔 𥎕 𥎖 𥎗 𥎘 𥎙 𥎚 𥎛 𥎜 𥎝 𥎞 𥎟 𥎠 𥎡 𥎢 𥎣 𥎤 𥎥 𥎦 𥎧 𥎨 𥎩 𥎪 𥎫 𥎬 𥎭 𥎮 𥎯 𥎰 𥎱 𥎲 𥎳 𥎴 𥎵 𥎶 𥎷 𥎸 𥎹 𥎺 𥎻 𥎼 𥎽 𥎾 𥎿 𥏀 𥏁 𥏂 𥏃 𥏄 𥏅 𥏆 𥏇 𥏈 𥏉 𥏊 𥏋 𥏌 𥏍 𥏎 𥏏 𥏐 𥏑 𥏒 𥏓 𥏔 𥏕 𥏖 𥏗 𥏘 𥏙 𥏚 𥏛 𥏜 𥏝 𥏞 𥏟 𥏠 𥏡 𥏢 𥏣 𥏤 𥏥 𥏦 𥏧 𥏨 𥏩 𥏪 𥏫 𥏬 𥏭 𥏮 𥏯 𥏰 𥏱 𥏲 𥏳 𥏴 𥏵 𥏶 𥏷 𥏸 𥏹 𥏺 𥏻 𥏼 𥏽 𥏾 𥏿</t>
        </is>
      </c>
      <c r="R602" s="43" t="inlineStr">
        <is>
          <t>𥌚</t>
        </is>
      </c>
      <c r="S602" s="40" t="n"/>
      <c r="V602" s="14">
        <f>(LEN(O602)+1)/2</f>
        <v/>
      </c>
      <c r="W602" s="14">
        <f>ROUNDDOWN((LEN(P602)+1)/2,0)</f>
        <v/>
      </c>
      <c r="X602" s="14">
        <f>ROUNDDOWN((LEN(Q602)+1)/2,0)</f>
        <v/>
      </c>
      <c r="Y602" s="14">
        <f>ROUNDDOWN((LEN(R602)+1)/2,0)</f>
        <v/>
      </c>
      <c r="Z602" s="14">
        <f>ROUNDDOWN((LEN(S602)+1)/2,0)</f>
        <v/>
      </c>
      <c r="AA602" s="56" t="n">
        <v>46150.5588004867</v>
      </c>
    </row>
    <row r="603" ht="102" customHeight="1">
      <c r="B603" s="46" t="inlineStr">
        <is>
          <t>U+25500-U+255FF</t>
        </is>
      </c>
      <c r="C603" s="46" t="inlineStr">
        <is>
          <t>CJK Unified Ideographs Extension B</t>
        </is>
      </c>
      <c r="D603" s="54">
        <f>HEX2DEC(MID(B603,3,FIND("-",E603)-3))</f>
        <v/>
      </c>
      <c r="E603" s="46" t="inlineStr">
        <is>
          <t>U+20000-U+2A6DF</t>
        </is>
      </c>
      <c r="F603" s="12" t="n">
        <v>4</v>
      </c>
      <c r="J603" s="19">
        <f>ROUNDDOWN(W603,0)/$V603</f>
        <v/>
      </c>
      <c r="K603" s="19">
        <f>ROUNDDOWN(X603,0)/$V603</f>
        <v/>
      </c>
      <c r="L603" s="19">
        <f>ROUNDDOWN(Y603,0)/$V603</f>
        <v/>
      </c>
      <c r="M603" s="19">
        <f>ROUNDDOWN(Z603,0)/$V603</f>
        <v/>
      </c>
      <c r="O603" s="36" t="inlineStr">
        <is>
          <t>𥐀 𥐁 𥐂 𥐃 𥐄 𥐅 𥐆 𥐇 𥐈 𥐉 𥐊 𥐋 𥐌 𥐍 𥐎 𥐏 𥐐 𥐑 𥐒 𥐓 𥐔 𥐕 𥐖 𥐗 𥐘 𥐙 𥐚 𥐛 𥐜 𥐝 𥐞 𥐟 𥐠 𥐡 𥐢 𥐣 𥐤 𥐥 𥐦 𥐧 𥐨 𥐩 𥐪 𥐫 𥐬 𥐭 𥐮 𥐯 𥐰 𥐱 𥐲 𥐳 𥐴 𥐵 𥐶 𥐷 𥐸 𥐹 𥐺 𥐻 𥐼 𥐽 𥐾 𥐿 𥑀 𥑁 𥑂 𥑃 𥑄 𥑅 𥑆 𥑇 𥑈 𥑉 𥑊 𥑋 𥑌 𥑍 𥑎 𥑏 𥑐 𥑑 𥑒 𥑓 𥑔 𥑕 𥑖 𥑗 𥑘 𥑙 𥑚 𥑛 𥑜 𥑝 𥑞 𥑟 𥑠 𥑡 𥑢 𥑣 𥑤 𥑥 𥑦 𥑧 𥑨 𥑩 𥑪 𥑫 𥑬 𥑭 𥑮 𥑯 𥑰 𥑱 𥑲 𥑳 𥑴 𥑵 𥑶 𥑷 𥑸 𥑹 𥑺 𥑻 𥑼 𥑽 𥑾 𥑿 𥒀 𥒁 𥒂 𥒃 𥒄 𥒅 𥒆 𥒇 𥒈 𥒉 𥒊 𥒋 𥒌 𥒍 𥒎 𥒏 𥒐 𥒑 𥒒 𥒓 𥒔 𥒕 𥒖 𥒗 𥒘 𥒙 𥒚 𥒛 𥒜 𥒝 𥒞 𥒟 𥒠 𥒡 𥒢 𥒣 𥒤 𥒥 𥒦 𥒧 𥒨 𥒩 𥒪 𥒫 𥒬 𥒭 𥒮 𥒯 𥒰 𥒱 𥒲 𥒳 𥒴 𥒵 𥒶 𥒷 𥒸 𥒹 𥒺 𥒻 𥒼 𥒽 𥒾 𥒿 𥓀 𥓁 𥓂 𥓃 𥓄 𥓅 𥓆 𥓇 𥓈 𥓉 𥓊 𥓋 𥓌 𥓍 𥓎 𥓏 𥓐 𥓑 𥓒 𥓓 𥓔 𥓕 𥓖 𥓗 𥓘 𥓙 𥓚 𥓛 𥓜 𥓝 𥓞 𥓟 𥓠 𥓡 𥓢 𥓣 𥓤 𥓥 𥓦 𥓧 𥓨 𥓩 𥓪 𥓫 𥓬 𥓭 𥓮 𥓯 𥓰 𥓱 𥓲 𥓳 𥓴 𥓵 𥓶 𥓷 𥓸 𥓹 𥓺 𥓻 𥓼 𥓽 𥓾 𥓿</t>
        </is>
      </c>
      <c r="P603" s="37" t="inlineStr">
        <is>
          <t>𥐀 𥐁 𥐂 𥐃 𥐄 𥐅 𥐆 𥐇 𥐈 𥐉 𥐊 𥐋 𥐌 𥐍 𥐎 𥐏 𥐐 𥐑 𥐒 𥐓 𥐔 𥐕 𥐖 𥐗 𥐘 𥐙 𥐚 𥐛 𥐜 𥐝 𥐞 𥐟 𥐠 𥐡 𥐢 𥐣 𥐤 𥐥 𥐦 𥐧 𥐨 𥐩 𥐪 𥐫 𥐬 𥐭 𥐮 𥐯 𥐰 𥐱 𥐲 𥐳 𥐴 𥐵 𥐶 𥐷 𥐸 𥐹 𥐺 𥐻 𥐼 𥐽 𥐾 𥐿 𥑀 𥑁 𥑂 𥑃 𥑄 𥑅 𥑆 𥑇 𥑈 𥑉 𥑊 𥑋 𥑌 𥑍 𥑎 𥑏 𥑐 𥑑 𥑒 𥑓 𥑔 𥑕 𥑖 𥑗 𥑘 𥑙 𥑚 𥑛 𥑜 𥑝 𥑞 𥑟 𥑠 𥑡 𥑢 𥑣 𥑤 𥑥 𥑦 𥑧 𥑨 𥑩 𥑪 𥑫 𥑬 𥑭 𥑮 𥑯 𥑰 𥑱 𥑲 𥑳 𥑴 𥑵 𥑶 𥑷 𥑸 𥑹 𥑺 𥑻 𥑼 𥑽 𥑾 𥑿 𥒀 𥒁 𥒂 𥒃 𥒄 𥒅 𥒆 𥒇 𥒈 𥒉 𥒊 𥒋 𥒌 𥒍 𥒎 𥒏 𥒐 𥒑 𥒒 𥒓 𥒔 𥒕 𥒖 𥒗 𥒘 𥒙 𥒚 𥒛 𥒜 𥒝 𥒞 𥒟 𥒠 𥒡 𥒢 𥒣 𥒤 𥒥 𥒦 𥒧 𥒨 𥒩 𥒪 𥒫 𥒬 𥒭 𥒮 𥒯 𥒰 𥒱 𥒲 𥒳 𥒴 𥒵 𥒶 𥒷 𥒸 𥒹 𥒺 𥒻 𥒼 𥒽 𥒾 𥒿 𥓀 𥓁 𥓂 𥓃 𥓄 𥓅 𥓆 𥓇 𥓈 𥓉 𥓊 𥓋 𥓌 𥓍 𥓎 𥓏 𥓐 𥓑 𥓒 𥓓 𥓔 𥓕 𥓖 𥓗 𥓘 𥓙 𥓚 𥓛 𥓜 𥓝 𥓞 𥓟 𥓠 𥓡 𥓢 𥓣 𥓤 𥓥 𥓦 𥓧 𥓨 𥓩 𥓪 𥓫 𥓬 𥓭 𥓮 𥓯 𥓰 𥓱 𥓲 𥓳 𥓴 𥓵 𥓶 𥓷 𥓸 𥓹 𥓺 𥓻 𥓼 𥓽 𥓾 𥓿</t>
        </is>
      </c>
      <c r="Q603" s="38" t="inlineStr">
        <is>
          <t>𥐀 𥐁 𥐂 𥐃 𥐄 𥐅 𥐆 𥐇 𥐈 𥐉 𥐊 𥐋 𥐌 𥐍 𥐎 𥐏 𥐐 𥐑 𥐒 𥐓 𥐔 𥐕 𥐖 𥐗 𥐘 𥐙 𥐚 𥐛 𥐜 𥐝 𥐞 𥐟 𥐠 𥐡 𥐢 𥐣 𥐤 𥐥 𥐦 𥐧 𥐨 𥐩 𥐪 𥐫 𥐬 𥐭 𥐮 𥐯 𥐰 𥐱 𥐲 𥐳 𥐴 𥐵 𥐶 𥐷 𥐸 𥐹 𥐺 𥐻 𥐼 𥐽 𥐾 𥐿 𥑀 𥑁 𥑂 𥑃 𥑄 𥑅 𥑆 𥑇 𥑈 𥑉 𥑊 𥑋 𥑌 𥑍 𥑎 𥑏 𥑐 𥑑 𥑒 𥑓 𥑔 𥑕 𥑖 𥑗 𥑘 𥑙 𥑚 𥑛 𥑜 𥑝 𥑞 𥑟 𥑠 𥑡 𥑢 𥑣 𥑤 𥑥 𥑦 𥑧 𥑨 𥑩 𥑪 𥑫 𥑬 𥑭 𥑮 𥑯 𥑰 𥑱 𥑲 𥑳 𥑴 𥑵 𥑶 𥑷 𥑸 𥑹 𥑺 𥑻 𥑼 𥑽 𥑾 𥑿 𥒀 𥒁 𥒂 𥒃 𥒄 𥒅 𥒆 𥒇 𥒈 𥒉 𥒊 𥒋 𥒌 𥒍 𥒎 𥒏 𥒐 𥒑 𥒒 𥒓 𥒔 𥒕 𥒖 𥒗 𥒘 𥒙 𥒚 𥒛 𥒜 𥒝 𥒞 𥒟 𥒠 𥒡 𥒢 𥒣 𥒤 𥒥 𥒦 𥒧 𥒨 𥒩 𥒪 𥒫 𥒬 𥒭 𥒮 𥒯 𥒰 𥒱 𥒲 𥒳 𥒴 𥒵 𥒶 𥒷 𥒸 𥒹 𥒺 𥒻 𥒼 𥒽 𥒾 𥒿 𥓀 𥓁 𥓂 𥓃 𥓄 𥓅 𥓆 𥓇 𥓈 𥓉 𥓊 𥓋 𥓌 𥓍 𥓎 𥓏 𥓐 𥓑 𥓒 𥓓 𥓔 𥓕 𥓖 𥓗 𥓘 𥓙 𥓚 𥓛 𥓜 𥓝 𥓞 𥓟 𥓠 𥓡 𥓢 𥓣 𥓤 𥓥 𥓦 𥓧 𥓨 𥓩 𥓪 𥓫 𥓬 𥓭 𥓮 𥓯 𥓰 𥓱 𥓲 𥓳 𥓴 𥓵 𥓶 𥓷 𥓸 𥓹 𥓺 𥓻 𥓼 𥓽 𥓾 𥓿</t>
        </is>
      </c>
      <c r="R603" s="43" t="inlineStr">
        <is>
          <t>𥐮 𥑮 𥒎 𥓙</t>
        </is>
      </c>
      <c r="S603" s="40" t="n"/>
      <c r="V603" s="14">
        <f>(LEN(O603)+1)/2</f>
        <v/>
      </c>
      <c r="W603" s="14">
        <f>ROUNDDOWN((LEN(P603)+1)/2,0)</f>
        <v/>
      </c>
      <c r="X603" s="14">
        <f>ROUNDDOWN((LEN(Q603)+1)/2,0)</f>
        <v/>
      </c>
      <c r="Y603" s="14">
        <f>ROUNDDOWN((LEN(R603)+1)/2,0)</f>
        <v/>
      </c>
      <c r="Z603" s="14">
        <f>ROUNDDOWN((LEN(S603)+1)/2,0)</f>
        <v/>
      </c>
      <c r="AA603" s="56" t="n">
        <v>46150.55880158691</v>
      </c>
    </row>
    <row r="604" ht="102" customHeight="1">
      <c r="B604" s="46" t="inlineStr">
        <is>
          <t>U+25600-U+256FF</t>
        </is>
      </c>
      <c r="C604" s="46" t="inlineStr">
        <is>
          <t>CJK Unified Ideographs Extension B</t>
        </is>
      </c>
      <c r="D604" s="54">
        <f>HEX2DEC(MID(B604,3,FIND("-",E604)-3))</f>
        <v/>
      </c>
      <c r="E604" s="46" t="inlineStr">
        <is>
          <t>U+20000-U+2A6DF</t>
        </is>
      </c>
      <c r="F604" s="12" t="n">
        <v>4</v>
      </c>
      <c r="J604" s="19">
        <f>ROUNDDOWN(W604,0)/$V604</f>
        <v/>
      </c>
      <c r="K604" s="19">
        <f>ROUNDDOWN(X604,0)/$V604</f>
        <v/>
      </c>
      <c r="L604" s="19">
        <f>ROUNDDOWN(Y604,0)/$V604</f>
        <v/>
      </c>
      <c r="M604" s="19">
        <f>ROUNDDOWN(Z604,0)/$V604</f>
        <v/>
      </c>
      <c r="O604" s="36" t="inlineStr">
        <is>
          <t>𥔀 𥔁 𥔂 𥔃 𥔄 𥔅 𥔆 𥔇 𥔈 𥔉 𥔊 𥔋 𥔌 𥔍 𥔎 𥔏 𥔐 𥔑 𥔒 𥔓 𥔔 𥔕 𥔖 𥔗 𥔘 𥔙 𥔚 𥔛 𥔜 𥔝 𥔞 𥔟 𥔠 𥔡 𥔢 𥔣 𥔤 𥔥 𥔦 𥔧 𥔨 𥔩 𥔪 𥔫 𥔬 𥔭 𥔮 𥔯 𥔰 𥔱 𥔲 𥔳 𥔴 𥔵 𥔶 𥔷 𥔸 𥔹 𥔺 𥔻 𥔼 𥔽 𥔾 𥔿 𥕀 𥕁 𥕂 𥕃 𥕄 𥕅 𥕆 𥕇 𥕈 𥕉 𥕊 𥕋 𥕌 𥕍 𥕎 𥕏 𥕐 𥕑 𥕒 𥕓 𥕔 𥕕 𥕖 𥕗 𥕘 𥕙 𥕚 𥕛 𥕜 𥕝 𥕞 𥕟 𥕠 𥕡 𥕢 𥕣 𥕤 𥕥 𥕦 𥕧 𥕨 𥕩 𥕪 𥕫 𥕬 𥕭 𥕮 𥕯 𥕰 𥕱 𥕲 𥕳 𥕴 𥕵 𥕶 𥕷 𥕸 𥕹 𥕺 𥕻 𥕼 𥕽 𥕾 𥕿 𥖀 𥖁 𥖂 𥖃 𥖄 𥖅 𥖆 𥖇 𥖈 𥖉 𥖊 𥖋 𥖌 𥖍 𥖎 𥖏 𥖐 𥖑 𥖒 𥖓 𥖔 𥖕 𥖖 𥖗 𥖘 𥖙 𥖚 𥖛 𥖜 𥖝 𥖞 𥖟 𥖠 𥖡 𥖢 𥖣 𥖤 𥖥 𥖦 𥖧 𥖨 𥖩 𥖪 𥖫 𥖬 𥖭 𥖮 𥖯 𥖰 𥖱 𥖲 𥖳 𥖴 𥖵 𥖶 𥖷 𥖸 𥖹 𥖺 𥖻 𥖼 𥖽 𥖾 𥖿 𥗀 𥗁 𥗂 𥗃 𥗄 𥗅 𥗆 𥗇 𥗈 𥗉 𥗊 𥗋 𥗌 𥗍 𥗎 𥗏 𥗐 𥗑 𥗒 𥗓 𥗔 𥗕 𥗖 𥗗 𥗘 𥗙 𥗚 𥗛 𥗜 𥗝 𥗞 𥗟 𥗠 𥗡 𥗢 𥗣 𥗤 𥗥 𥗦 𥗧 𥗨 𥗩 𥗪 𥗫 𥗬 𥗭 𥗮 𥗯 𥗰 𥗱 𥗲 𥗳 𥗴 𥗵 𥗶 𥗷 𥗸 𥗹 𥗺 𥗻 𥗼 𥗽 𥗾 𥗿</t>
        </is>
      </c>
      <c r="P604" s="37" t="inlineStr">
        <is>
          <t>𥔀 𥔁 𥔂 𥔃 𥔄 𥔅 𥔆 𥔇 𥔈 𥔉 𥔊 𥔋 𥔌 𥔍 𥔎 𥔏 𥔐 𥔑 𥔒 𥔓 𥔔 𥔕 𥔖 𥔗 𥔘 𥔙 𥔚 𥔛 𥔜 𥔝 𥔞 𥔟 𥔠 𥔡 𥔢 𥔣 𥔤 𥔥 𥔦 𥔧 𥔨 𥔩 𥔪 𥔫 𥔬 𥔭 𥔮 𥔯 𥔰 𥔱 𥔲 𥔳 𥔴 𥔵 𥔶 𥔷 𥔸 𥔹 𥔺 𥔻 𥔼 𥔽 𥔾 𥔿 𥕀 𥕁 𥕂 𥕃 𥕄 𥕅 𥕆 𥕇 𥕈 𥕉 𥕊 𥕋 𥕌 𥕍 𥕎 𥕏 𥕐 𥕑 𥕒 𥕓 𥕔 𥕕 𥕖 𥕗 𥕘 𥕙 𥕚 𥕛 𥕜 𥕝 𥕞 𥕟 𥕠 𥕡 𥕢 𥕣 𥕤 𥕥 𥕦 𥕧 𥕨 𥕩 𥕪 𥕫 𥕬 𥕭 𥕮 𥕯 𥕰 𥕱 𥕲 𥕳 𥕴 𥕵 𥕶 𥕷 𥕸 𥕹 𥕺 𥕻 𥕼 𥕽 𥕾 𥕿 𥖀 𥖁 𥖂 𥖃 𥖄 𥖅 𥖆 𥖇 𥖈 𥖉 𥖊 𥖋 𥖌 𥖍 𥖎 𥖏 𥖐 𥖑 𥖒 𥖓 𥖔 𥖕 𥖖 𥖗 𥖘 𥖙 𥖚 𥖛 𥖜 𥖝 𥖞 𥖟 𥖠 𥖡 𥖢 𥖣 𥖤 𥖥 𥖦 𥖧 𥖨 𥖩 𥖪 𥖫 𥖬 𥖭 𥖮 𥖯 𥖰 𥖱 𥖲 𥖳 𥖴 𥖵 𥖶 𥖷 𥖸 𥖹 𥖺 𥖻 𥖼 𥖽 𥖾 𥖿 𥗀 𥗁 𥗂 𥗃 𥗄 𥗅 𥗆 𥗇 𥗈 𥗉 𥗊 𥗋 𥗌 𥗍 𥗎 𥗏 𥗐 𥗑 𥗒 𥗓 𥗔 𥗕 𥗖 𥗗 𥗘 𥗙 𥗚 𥗛 𥗜 𥗝 𥗞 𥗟 𥗠 𥗡 𥗢 𥗣 𥗤 𥗥 𥗦 𥗧 𥗨 𥗩 𥗪 𥗫 𥗬 𥗭 𥗮 𥗯 𥗰 𥗱 𥗲 𥗳 𥗴 𥗵 𥗶 𥗷 𥗸 𥗹 𥗺 𥗻 𥗼 𥗽 𥗾 𥗿</t>
        </is>
      </c>
      <c r="Q604" s="38" t="inlineStr">
        <is>
          <t>𥔀 𥔁 𥔂 𥔃 𥔄 𥔅 𥔆 𥔇 𥔈 𥔉 𥔊 𥔋 𥔌 𥔍 𥔎 𥔏 𥔐 𥔑 𥔒 𥔓 𥔔 𥔕 𥔖 𥔗 𥔘 𥔙 𥔚 𥔛 𥔜 𥔝 𥔞 𥔟 𥔠 𥔡 𥔢 𥔣 𥔤 𥔥 𥔦 𥔧 𥔨 𥔩 𥔪 𥔫 𥔬 𥔭 𥔮 𥔯 𥔰 𥔱 𥔲 𥔳 𥔴 𥔵 𥔶 𥔷 𥔸 𥔹 𥔺 𥔻 𥔼 𥔽 𥔾 𥔿 𥕀 𥕁 𥕂 𥕃 𥕄 𥕅 𥕆 𥕇 𥕈 𥕉 𥕊 𥕋 𥕌 𥕍 𥕎 𥕏 𥕐 𥕑 𥕒 𥕓 𥕔 𥕕 𥕖 𥕗 𥕘 𥕙 𥕚 𥕛 𥕜 𥕝 𥕞 𥕟 𥕠 𥕡 𥕢 𥕣 𥕤 𥕥 𥕦 𥕧 𥕨 𥕩 𥕪 𥕫 𥕬 𥕭 𥕮 𥕯 𥕰 𥕱 𥕲 𥕳 𥕴 𥕵 𥕶 𥕷 𥕸 𥕹 𥕺 𥕻 𥕼 𥕽 𥕾 𥕿 𥖀 𥖁 𥖂 𥖃 𥖄 𥖅 𥖆 𥖇 𥖈 𥖉 𥖊 𥖋 𥖌 𥖍 𥖎 𥖏 𥖐 𥖑 𥖒 𥖓 𥖔 𥖕 𥖖 𥖗 𥖘 𥖙 𥖚 𥖛 𥖜 𥖝 𥖞 𥖟 𥖠 𥖡 𥖢 𥖣 𥖤 𥖥 𥖦 𥖧 𥖨 𥖩 𥖪 𥖫 𥖬 𥖭 𥖮 𥖯 𥖰 𥖱 𥖲 𥖳 𥖴 𥖵 𥖶 𥖷 𥖸 𥖹 𥖺 𥖻 𥖼 𥖽 𥖾 𥖿 𥗀 𥗁 𥗂 𥗃 𥗄 𥗅 𥗆 𥗇 𥗈 𥗉 𥗊 𥗋 𥗌 𥗍 𥗎 𥗏 𥗐 𥗑 𥗒 𥗓 𥗔 𥗕 𥗖 𥗗 𥗘 𥗙 𥗚 𥗛 𥗜 𥗝 𥗞 𥗟 𥗠 𥗡 𥗢 𥗣 𥗤 𥗥 𥗦 𥗧 𥗨 𥗩 𥗪 𥗫 𥗬 𥗭 𥗮 𥗯 𥗰 𥗱 𥗲 𥗳 𥗴 𥗵 𥗶 𥗷 𥗸 𥗹 𥗺 𥗻 𥗼 𥗽 𥗾 𥗿</t>
        </is>
      </c>
      <c r="R604" s="43" t="inlineStr">
        <is>
          <t>𥔎 𥕍 𥖧</t>
        </is>
      </c>
      <c r="S604" s="40" t="n"/>
      <c r="V604" s="14">
        <f>(LEN(O604)+1)/2</f>
        <v/>
      </c>
      <c r="W604" s="14">
        <f>ROUNDDOWN((LEN(P604)+1)/2,0)</f>
        <v/>
      </c>
      <c r="X604" s="14">
        <f>ROUNDDOWN((LEN(Q604)+1)/2,0)</f>
        <v/>
      </c>
      <c r="Y604" s="14">
        <f>ROUNDDOWN((LEN(R604)+1)/2,0)</f>
        <v/>
      </c>
      <c r="Z604" s="14">
        <f>ROUNDDOWN((LEN(S604)+1)/2,0)</f>
        <v/>
      </c>
      <c r="AA604" s="56" t="n">
        <v>46150.55880270666</v>
      </c>
    </row>
    <row r="605" ht="102" customHeight="1">
      <c r="B605" s="46" t="inlineStr">
        <is>
          <t>U+25700-U+257FF</t>
        </is>
      </c>
      <c r="C605" s="46" t="inlineStr">
        <is>
          <t>CJK Unified Ideographs Extension B</t>
        </is>
      </c>
      <c r="D605" s="54">
        <f>HEX2DEC(MID(B605,3,FIND("-",E605)-3))</f>
        <v/>
      </c>
      <c r="E605" s="46" t="inlineStr">
        <is>
          <t>U+20000-U+2A6DF</t>
        </is>
      </c>
      <c r="F605" s="12" t="n">
        <v>4</v>
      </c>
      <c r="J605" s="19">
        <f>ROUNDDOWN(W605,0)/$V605</f>
        <v/>
      </c>
      <c r="K605" s="19">
        <f>ROUNDDOWN(X605,0)/$V605</f>
        <v/>
      </c>
      <c r="L605" s="19">
        <f>ROUNDDOWN(Y605,0)/$V605</f>
        <v/>
      </c>
      <c r="M605" s="19">
        <f>ROUNDDOWN(Z605,0)/$V605</f>
        <v/>
      </c>
      <c r="O605" s="36" t="inlineStr">
        <is>
          <t>𥘀 𥘁 𥘂 𥘃 𥘄 𥘅 𥘆 𥘇 𥘈 𥘉 𥘊 𥘋 𥘌 𥘍 𥘎 𥘏 𥘐 𥘑 𥘒 𥘓 𥘔 𥘕 𥘖 𥘗 𥘘 𥘙 𥘚 𥘛 𥘜 𥘝 𥘞 𥘟 𥘠 𥘡 𥘢 𥘣 𥘤 𥘥 𥘦 𥘧 𥘨 𥘩 𥘪 𥘫 𥘬 𥘭 𥘮 𥘯 𥘰 𥘱 𥘲 𥘳 𥘴 𥘵 𥘶 𥘷 𥘸 𥘹 𥘺 𥘻 𥘼 𥘽 𥘾 𥘿 𥙀 𥙁 𥙂 𥙃 𥙄 𥙅 𥙆 𥙇 𥙈 𥙉 𥙊 𥙋 𥙌 𥙍 𥙎 𥙏 𥙐 𥙑 𥙒 𥙓 𥙔 𥙕 𥙖 𥙗 𥙘 𥙙 𥙚 𥙛 𥙜 𥙝 𥙞 𥙟 𥙠 𥙡 𥙢 𥙣 𥙤 𥙥 𥙦 𥙧 𥙨 𥙩 𥙪 𥙫 𥙬 𥙭 𥙮 𥙯 𥙰 𥙱 𥙲 𥙳 𥙴 𥙵 𥙶 𥙷 𥙸 𥙹 𥙺 𥙻 𥙼 𥙽 𥙾 𥙿 𥚀 𥚁 𥚂 𥚃 𥚄 𥚅 𥚆 𥚇 𥚈 𥚉 𥚊 𥚋 𥚌 𥚍 𥚎 𥚏 𥚐 𥚑 𥚒 𥚓 𥚔 𥚕 𥚖 𥚗 𥚘 𥚙 𥚚 𥚛 𥚜 𥚝 𥚞 𥚟 𥚠 𥚡 𥚢 𥚣 𥚤 𥚥 𥚦 𥚧 𥚨 𥚩 𥚪 𥚫 𥚬 𥚭 𥚮 𥚯 𥚰 𥚱 𥚲 𥚳 𥚴 𥚵 𥚶 𥚷 𥚸 𥚹 𥚺 𥚻 𥚼 𥚽 𥚾 𥚿 𥛀 𥛁 𥛂 𥛃 𥛄 𥛅 𥛆 𥛇 𥛈 𥛉 𥛊 𥛋 𥛌 𥛍 𥛎 𥛏 𥛐 𥛑 𥛒 𥛓 𥛔 𥛕 𥛖 𥛗 𥛘 𥛙 𥛚 𥛛 𥛜 𥛝 𥛞 𥛟 𥛠 𥛡 𥛢 𥛣 𥛤 𥛥 𥛦 𥛧 𥛨 𥛩 𥛪 𥛫 𥛬 𥛭 𥛮 𥛯 𥛰 𥛱 𥛲 𥛳 𥛴 𥛵 𥛶 𥛷 𥛸 𥛹 𥛺 𥛻 𥛼 𥛽 𥛾 𥛿</t>
        </is>
      </c>
      <c r="P605" s="37" t="inlineStr">
        <is>
          <t>𥘀 𥘁 𥘂 𥘃 𥘄 𥘅 𥘆 𥘇 𥘈 𥘉 𥘊 𥘋 𥘌 𥘍 𥘎 𥘏 𥘐 𥘑 𥘒 𥘓 𥘔 𥘕 𥘖 𥘗 𥘘 𥘙 𥘚 𥘛 𥘜 𥘝 𥘞 𥘟 𥘠 𥘡 𥘢 𥘣 𥘤 𥘥 𥘦 𥘧 𥘨 𥘩 𥘪 𥘫 𥘬 𥘭 𥘮 𥘯 𥘰 𥘱 𥘲 𥘳 𥘴 𥘵 𥘶 𥘷 𥘸 𥘹 𥘺 𥘻 𥘼 𥘽 𥘾 𥘿 𥙀 𥙁 𥙂 𥙃 𥙄 𥙅 𥙆 𥙇 𥙈 𥙉 𥙊 𥙋 𥙌 𥙍 𥙎 𥙏 𥙐 𥙑 𥙒 𥙓 𥙔 𥙕 𥙖 𥙗 𥙘 𥙙 𥙚 𥙛 𥙜 𥙝 𥙞 𥙟 𥙠 𥙡 𥙢 𥙣 𥙤 𥙥 𥙦 𥙧 𥙨 𥙩 𥙪 𥙫 𥙬 𥙭 𥙮 𥙯 𥙰 𥙱 𥙲 𥙳 𥙴 𥙵 𥙶 𥙷 𥙸 𥙹 𥙺 𥙻 𥙼 𥙽 𥙾 𥙿 𥚀 𥚁 𥚂 𥚃 𥚄 𥚅 𥚆 𥚇 𥚈 𥚉 𥚊 𥚋 𥚌 𥚍 𥚎 𥚏 𥚐 𥚑 𥚒 𥚓 𥚔 𥚕 𥚖 𥚗 𥚘 𥚙 𥚚 𥚛 𥚜 𥚝 𥚞 𥚟 𥚠 𥚡 𥚢 𥚣 𥚤 𥚥 𥚦 𥚧 𥚨 𥚩 𥚪 𥚫 𥚬 𥚭 𥚮 𥚯 𥚰 𥚱 𥚲 𥚳 𥚴 𥚵 𥚶 𥚷 𥚸 𥚹 𥚺 𥚻 𥚼 𥚽 𥚾 𥚿 𥛀 𥛁 𥛂 𥛃 𥛄 𥛅 𥛆 𥛇 𥛈 𥛉 𥛊 𥛋 𥛌 𥛍 𥛎 𥛏 𥛐 𥛑 𥛒 𥛓 𥛔 𥛕 𥛖 𥛗 𥛘 𥛙 𥛚 𥛛 𥛜 𥛝 𥛞 𥛟 𥛠 𥛡 𥛢 𥛣 𥛤 𥛥 𥛦 𥛧 𥛨 𥛩 𥛪 𥛫 𥛬 𥛭 𥛮 𥛯 𥛰 𥛱 𥛲 𥛳 𥛴 𥛵 𥛶 𥛷 𥛸 𥛹 𥛺 𥛻 𥛼 𥛽 𥛾 𥛿</t>
        </is>
      </c>
      <c r="Q605" s="38" t="inlineStr">
        <is>
          <t>𥘀 𥘁 𥘂 𥘃 𥘄 𥘅 𥘆 𥘇 𥘈 𥘉 𥘊 𥘋 𥘌 𥘍 𥘎 𥘏 𥘐 𥘑 𥘒 𥘓 𥘔 𥘕 𥘖 𥘗 𥘘 𥘙 𥘚 𥘛 𥘜 𥘝 𥘞 𥘟 𥘠 𥘡 𥘢 𥘣 𥘤 𥘥 𥘦 𥘧 𥘨 𥘩 𥘪 𥘫 𥘬 𥘭 𥘮 𥘯 𥘰 𥘱 𥘲 𥘳 𥘴 𥘵 𥘶 𥘷 𥘸 𥘹 𥘺 𥘻 𥘼 𥘽 𥘾 𥘿 𥙀 𥙁 𥙂 𥙃 𥙄 𥙅 𥙆 𥙇 𥙈 𥙉 𥙊 𥙋 𥙌 𥙍 𥙎 𥙏 𥙐 𥙑 𥙒 𥙓 𥙔 𥙕 𥙖 𥙗 𥙘 𥙙 𥙚 𥙛 𥙜 𥙝 𥙞 𥙟 𥙠 𥙡 𥙢 𥙣 𥙤 𥙥 𥙦 𥙧 𥙨 𥙩 𥙪 𥙫 𥙬 𥙭 𥙮 𥙯 𥙰 𥙱 𥙲 𥙳 𥙴 𥙵 𥙶 𥙷 𥙸 𥙹 𥙺 𥙻 𥙼 𥙽 𥙾 𥙿 𥚀 𥚁 𥚂 𥚃 𥚄 𥚅 𥚆 𥚇 𥚈 𥚉 𥚊 𥚋 𥚌 𥚍 𥚎 𥚏 𥚐 𥚑 𥚒 𥚓 𥚔 𥚕 𥚖 𥚗 𥚘 𥚙 𥚚 𥚛 𥚜 𥚝 𥚞 𥚟 𥚠 𥚡 𥚢 𥚣 𥚤 𥚥 𥚦 𥚧 𥚨 𥚩 𥚪 𥚫 𥚬 𥚭 𥚮 𥚯 𥚰 𥚱 𥚲 𥚳 𥚴 𥚵 𥚶 𥚷 𥚸 𥚹 𥚺 𥚻 𥚼 𥚽 𥚾 𥚿 𥛀 𥛁 𥛂 𥛃 𥛄 𥛅 𥛆 𥛇 𥛈 𥛉 𥛊 𥛋 𥛌 𥛍 𥛎 𥛏 𥛐 𥛑 𥛒 𥛓 𥛔 𥛕 𥛖 𥛗 𥛘 𥛙 𥛚 𥛛 𥛜 𥛝 𥛞 𥛟 𥛠 𥛡 𥛢 𥛣 𥛤 𥛥 𥛦 𥛧 𥛨 𥛩 𥛪 𥛫 𥛬 𥛭 𥛮 𥛯 𥛰 𥛱 𥛲 𥛳 𥛴 𥛵 𥛶 𥛷 𥛸 𥛹 𥛺 𥛻 𥛼 𥛽 𥛾 𥛿</t>
        </is>
      </c>
      <c r="R605" s="43" t="inlineStr"/>
      <c r="S605" s="40" t="n"/>
      <c r="V605" s="14">
        <f>(LEN(O605)+1)/2</f>
        <v/>
      </c>
      <c r="W605" s="14">
        <f>ROUNDDOWN((LEN(P605)+1)/2,0)</f>
        <v/>
      </c>
      <c r="X605" s="14">
        <f>ROUNDDOWN((LEN(Q605)+1)/2,0)</f>
        <v/>
      </c>
      <c r="Y605" s="14">
        <f>ROUNDDOWN((LEN(R605)+1)/2,0)</f>
        <v/>
      </c>
      <c r="Z605" s="14">
        <f>ROUNDDOWN((LEN(S605)+1)/2,0)</f>
        <v/>
      </c>
      <c r="AA605" s="56" t="n">
        <v>46150.55880377666</v>
      </c>
    </row>
    <row r="606" ht="102" customHeight="1">
      <c r="B606" s="46" t="inlineStr">
        <is>
          <t>U+25800-U+258FF</t>
        </is>
      </c>
      <c r="C606" s="46" t="inlineStr">
        <is>
          <t>CJK Unified Ideographs Extension B</t>
        </is>
      </c>
      <c r="D606" s="54">
        <f>HEX2DEC(MID(B606,3,FIND("-",E606)-3))</f>
        <v/>
      </c>
      <c r="E606" s="46" t="inlineStr">
        <is>
          <t>U+20000-U+2A6DF</t>
        </is>
      </c>
      <c r="F606" s="12" t="n">
        <v>4</v>
      </c>
      <c r="J606" s="19">
        <f>ROUNDDOWN(W606,0)/$V606</f>
        <v/>
      </c>
      <c r="K606" s="19">
        <f>ROUNDDOWN(X606,0)/$V606</f>
        <v/>
      </c>
      <c r="L606" s="19">
        <f>ROUNDDOWN(Y606,0)/$V606</f>
        <v/>
      </c>
      <c r="M606" s="19">
        <f>ROUNDDOWN(Z606,0)/$V606</f>
        <v/>
      </c>
      <c r="O606" s="36" t="inlineStr">
        <is>
          <t>𥜀 𥜁 𥜂 𥜃 𥜄 𥜅 𥜆 𥜇 𥜈 𥜉 𥜊 𥜋 𥜌 𥜍 𥜎 𥜏 𥜐 𥜑 𥜒 𥜓 𥜔 𥜕 𥜖 𥜗 𥜘 𥜙 𥜚 𥜛 𥜜 𥜝 𥜞 𥜟 𥜠 𥜡 𥜢 𥜣 𥜤 𥜥 𥜦 𥜧 𥜨 𥜩 𥜪 𥜫 𥜬 𥜭 𥜮 𥜯 𥜰 𥜱 𥜲 𥜳 𥜴 𥜵 𥜶 𥜷 𥜸 𥜹 𥜺 𥜻 𥜼 𥜽 𥜾 𥜿 𥝀 𥝁 𥝂 𥝃 𥝄 𥝅 𥝆 𥝇 𥝈 𥝉 𥝊 𥝋 𥝌 𥝍 𥝎 𥝏 𥝐 𥝑 𥝒 𥝓 𥝔 𥝕 𥝖 𥝗 𥝘 𥝙 𥝚 𥝛 𥝜 𥝝 𥝞 𥝟 𥝠 𥝡 𥝢 𥝣 𥝤 𥝥 𥝦 𥝧 𥝨 𥝩 𥝪 𥝫 𥝬 𥝭 𥝮 𥝯 𥝰 𥝱 𥝲 𥝳 𥝴 𥝵 𥝶 𥝷 𥝸 𥝹 𥝺 𥝻 𥝼 𥝽 𥝾 𥝿 𥞀 𥞁 𥞂 𥞃 𥞄 𥞅 𥞆 𥞇 𥞈 𥞉 𥞊 𥞋 𥞌 𥞍 𥞎 𥞏 𥞐 𥞑 𥞒 𥞓 𥞔 𥞕 𥞖 𥞗 𥞘 𥞙 𥞚 𥞛 𥞜 𥞝 𥞞 𥞟 𥞠 𥞡 𥞢 𥞣 𥞤 𥞥 𥞦 𥞧 𥞨 𥞩 𥞪 𥞫 𥞬 𥞭 𥞮 𥞯 𥞰 𥞱 𥞲 𥞳 𥞴 𥞵 𥞶 𥞷 𥞸 𥞹 𥞺 𥞻 𥞼 𥞽 𥞾 𥞿 𥟀 𥟁 𥟂 𥟃 𥟄 𥟅 𥟆 𥟇 𥟈 𥟉 𥟊 𥟋 𥟌 𥟍 𥟎 𥟏 𥟐 𥟑 𥟒 𥟓 𥟔 𥟕 𥟖 𥟗 𥟘 𥟙 𥟚 𥟛 𥟜 𥟝 𥟞 𥟟 𥟠 𥟡 𥟢 𥟣 𥟤 𥟥 𥟦 𥟧 𥟨 𥟩 𥟪 𥟫 𥟬 𥟭 𥟮 𥟯 𥟰 𥟱 𥟲 𥟳 𥟴 𥟵 𥟶 𥟷 𥟸 𥟹 𥟺 𥟻 𥟼 𥟽 𥟾 𥟿</t>
        </is>
      </c>
      <c r="P606" s="37" t="inlineStr">
        <is>
          <t>𥜀 𥜁 𥜂 𥜃 𥜄 𥜅 𥜆 𥜇 𥜈 𥜉 𥜊 𥜋 𥜌 𥜍 𥜎 𥜏 𥜐 𥜑 𥜒 𥜓 𥜔 𥜕 𥜖 𥜗 𥜘 𥜙 𥜚 𥜛 𥜜 𥜝 𥜞 𥜟 𥜠 𥜡 𥜢 𥜣 𥜤 𥜥 𥜦 𥜧 𥜨 𥜩 𥜪 𥜫 𥜬 𥜭 𥜮 𥜯 𥜰 𥜱 𥜲 𥜳 𥜴 𥜵 𥜶 𥜷 𥜸 𥜹 𥜺 𥜻 𥜼 𥜽 𥜾 𥜿 𥝀 𥝁 𥝂 𥝃 𥝄 𥝅 𥝆 𥝇 𥝈 𥝉 𥝊 𥝋 𥝌 𥝍 𥝎 𥝏 𥝐 𥝑 𥝒 𥝓 𥝔 𥝕 𥝖 𥝗 𥝘 𥝙 𥝚 𥝛 𥝜 𥝝 𥝞 𥝟 𥝠 𥝡 𥝢 𥝣 𥝤 𥝥 𥝦 𥝧 𥝨 𥝩 𥝪 𥝫 𥝬 𥝭 𥝮 𥝯 𥝰 𥝱 𥝲 𥝳 𥝴 𥝵 𥝶 𥝷 𥝸 𥝹 𥝺 𥝻 𥝼 𥝽 𥝾 𥝿 𥞀 𥞁 𥞂 𥞃 𥞄 𥞅 𥞆 𥞇 𥞈 𥞉 𥞊 𥞋 𥞌 𥞍 𥞎 𥞏 𥞐 𥞑 𥞒 𥞓 𥞔 𥞕 𥞖 𥞗 𥞘 𥞙 𥞚 𥞛 𥞜 𥞝 𥞞 𥞟 𥞠 𥞡 𥞢 𥞣 𥞤 𥞥 𥞦 𥞧 𥞨 𥞩 𥞪 𥞫 𥞬 𥞭 𥞮 𥞯 𥞰 𥞱 𥞲 𥞳 𥞴 𥞵 𥞶 𥞷 𥞸 𥞹 𥞺 𥞻 𥞼 𥞽 𥞾 𥞿 𥟀 𥟁 𥟂 𥟃 𥟄 𥟅 𥟆 𥟇 𥟈 𥟉 𥟊 𥟋 𥟌 𥟍 𥟎 𥟏 𥟐 𥟑 𥟒 𥟓 𥟔 𥟕 𥟖 𥟗 𥟘 𥟙 𥟚 𥟛 𥟜 𥟝 𥟞 𥟟 𥟠 𥟡 𥟢 𥟣 𥟤 𥟥 𥟦 𥟧 𥟨 𥟩 𥟪 𥟫 𥟬 𥟭 𥟮 𥟯 𥟰 𥟱 𥟲 𥟳 𥟴 𥟵 𥟶 𥟷 𥟸 𥟹 𥟺 𥟻 𥟼 𥟽 𥟾 𥟿</t>
        </is>
      </c>
      <c r="Q606" s="38" t="inlineStr">
        <is>
          <t>𥜀 𥜁 𥜂 𥜃 𥜄 𥜅 𥜆 𥜇 𥜈 𥜉 𥜊 𥜋 𥜌 𥜍 𥜎 𥜏 𥜐 𥜑 𥜒 𥜓 𥜔 𥜕 𥜖 𥜗 𥜘 𥜙 𥜚 𥜛 𥜜 𥜝 𥜞 𥜟 𥜠 𥜡 𥜢 𥜣 𥜤 𥜥 𥜦 𥜧 𥜨 𥜩 𥜪 𥜫 𥜬 𥜭 𥜮 𥜯 𥜰 𥜱 𥜲 𥜳 𥜴 𥜵 𥜶 𥜷 𥜸 𥜹 𥜺 𥜻 𥜼 𥜽 𥜾 𥜿 𥝀 𥝁 𥝂 𥝃 𥝄 𥝅 𥝆 𥝇 𥝈 𥝉 𥝊 𥝋 𥝌 𥝍 𥝎 𥝏 𥝐 𥝑 𥝒 𥝓 𥝔 𥝕 𥝖 𥝗 𥝘 𥝙 𥝚 𥝛 𥝜 𥝝 𥝞 𥝟 𥝠 𥝡 𥝢 𥝣 𥝤 𥝥 𥝦 𥝧 𥝨 𥝩 𥝪 𥝫 𥝬 𥝭 𥝮 𥝯 𥝰 𥝱 𥝲 𥝳 𥝴 𥝵 𥝶 𥝷 𥝸 𥝹 𥝺 𥝻 𥝼 𥝽 𥝾 𥝿 𥞀 𥞁 𥞂 𥞃 𥞄 𥞅 𥞆 𥞇 𥞈 𥞉 𥞊 𥞋 𥞌 𥞍 𥞎 𥞏 𥞐 𥞑 𥞒 𥞓 𥞔 𥞕 𥞖 𥞗 𥞘 𥞙 𥞚 𥞛 𥞜 𥞝 𥞞 𥞟 𥞠 𥞡 𥞢 𥞣 𥞤 𥞥 𥞦 𥞧 𥞨 𥞩 𥞪 𥞫 𥞬 𥞭 𥞮 𥞯 𥞰 𥞱 𥞲 𥞳 𥞴 𥞵 𥞶 𥞷 𥞸 𥞹 𥞺 𥞻 𥞼 𥞽 𥞾 𥞿 𥟀 𥟁 𥟂 𥟃 𥟄 𥟅 𥟆 𥟇 𥟈 𥟉 𥟊 𥟋 𥟌 𥟍 𥟎 𥟏 𥟐 𥟑 𥟒 𥟓 𥟔 𥟕 𥟖 𥟗 𥟘 𥟙 𥟚 𥟛 𥟜 𥟝 𥟞 𥟟 𥟠 𥟡 𥟢 𥟣 𥟤 𥟥 𥟦 𥟧 𥟨 𥟩 𥟪 𥟫 𥟬 𥟭 𥟮 𥟯 𥟰 𥟱 𥟲 𥟳 𥟴 𥟵 𥟶 𥟷 𥟸 𥟹 𥟺 𥟻 𥟼 𥟽 𥟾 𥟿</t>
        </is>
      </c>
      <c r="R606" s="43" t="inlineStr">
        <is>
          <t>𥝱 𥞩 𥟇</t>
        </is>
      </c>
      <c r="S606" s="40" t="n"/>
      <c r="V606" s="14">
        <f>(LEN(O606)+1)/2</f>
        <v/>
      </c>
      <c r="W606" s="14">
        <f>ROUNDDOWN((LEN(P606)+1)/2,0)</f>
        <v/>
      </c>
      <c r="X606" s="14">
        <f>ROUNDDOWN((LEN(Q606)+1)/2,0)</f>
        <v/>
      </c>
      <c r="Y606" s="14">
        <f>ROUNDDOWN((LEN(R606)+1)/2,0)</f>
        <v/>
      </c>
      <c r="Z606" s="14">
        <f>ROUNDDOWN((LEN(S606)+1)/2,0)</f>
        <v/>
      </c>
      <c r="AA606" s="56" t="n">
        <v>46150.55880488829</v>
      </c>
    </row>
    <row r="607" ht="102" customHeight="1">
      <c r="B607" s="46" t="inlineStr">
        <is>
          <t>U+25900-U+259FF</t>
        </is>
      </c>
      <c r="C607" s="46" t="inlineStr">
        <is>
          <t>CJK Unified Ideographs Extension B</t>
        </is>
      </c>
      <c r="D607" s="54">
        <f>HEX2DEC(MID(B607,3,FIND("-",E607)-3))</f>
        <v/>
      </c>
      <c r="E607" s="46" t="inlineStr">
        <is>
          <t>U+20000-U+2A6DF</t>
        </is>
      </c>
      <c r="F607" s="12" t="n">
        <v>4</v>
      </c>
      <c r="J607" s="19">
        <f>ROUNDDOWN(W607,0)/$V607</f>
        <v/>
      </c>
      <c r="K607" s="19">
        <f>ROUNDDOWN(X607,0)/$V607</f>
        <v/>
      </c>
      <c r="L607" s="19">
        <f>ROUNDDOWN(Y607,0)/$V607</f>
        <v/>
      </c>
      <c r="M607" s="19">
        <f>ROUNDDOWN(Z607,0)/$V607</f>
        <v/>
      </c>
      <c r="O607" s="36" t="inlineStr">
        <is>
          <t>𥠀 𥠁 𥠂 𥠃 𥠄 𥠅 𥠆 𥠇 𥠈 𥠉 𥠊 𥠋 𥠌 𥠍 𥠎 𥠏 𥠐 𥠑 𥠒 𥠓 𥠔 𥠕 𥠖 𥠗 𥠘 𥠙 𥠚 𥠛 𥠜 𥠝 𥠞 𥠟 𥠠 𥠡 𥠢 𥠣 𥠤 𥠥 𥠦 𥠧 𥠨 𥠩 𥠪 𥠫 𥠬 𥠭 𥠮 𥠯 𥠰 𥠱 𥠲 𥠳 𥠴 𥠵 𥠶 𥠷 𥠸 𥠹 𥠺 𥠻 𥠼 𥠽 𥠾 𥠿 𥡀 𥡁 𥡂 𥡃 𥡄 𥡅 𥡆 𥡇 𥡈 𥡉 𥡊 𥡋 𥡌 𥡍 𥡎 𥡏 𥡐 𥡑 𥡒 𥡓 𥡔 𥡕 𥡖 𥡗 𥡘 𥡙 𥡚 𥡛 𥡜 𥡝 𥡞 𥡟 𥡠 𥡡 𥡢 𥡣 𥡤 𥡥 𥡦 𥡧 𥡨 𥡩 𥡪 𥡫 𥡬 𥡭 𥡮 𥡯 𥡰 𥡱 𥡲 𥡳 𥡴 𥡵 𥡶 𥡷 𥡸 𥡹 𥡺 𥡻 𥡼 𥡽 𥡾 𥡿 𥢀 𥢁 𥢂 𥢃 𥢄 𥢅 𥢆 𥢇 𥢈 𥢉 𥢊 𥢋 𥢌 𥢍 𥢎 𥢏 𥢐 𥢑 𥢒 𥢓 𥢔 𥢕 𥢖 𥢗 𥢘 𥢙 𥢚 𥢛 𥢜 𥢝 𥢞 𥢟 𥢠 𥢡 𥢢 𥢣 𥢤 𥢥 𥢦 𥢧 𥢨 𥢩 𥢪 𥢫 𥢬 𥢭 𥢮 𥢯 𥢰 𥢱 𥢲 𥢳 𥢴 𥢵 𥢶 𥢷 𥢸 𥢹 𥢺 𥢻 𥢼 𥢽 𥢾 𥢿 𥣀 𥣁 𥣂 𥣃 𥣄 𥣅 𥣆 𥣇 𥣈 𥣉 𥣊 𥣋 𥣌 𥣍 𥣎 𥣏 𥣐 𥣑 𥣒 𥣓 𥣔 𥣕 𥣖 𥣗 𥣘 𥣙 𥣚 𥣛 𥣜 𥣝 𥣞 𥣟 𥣠 𥣡 𥣢 𥣣 𥣤 𥣥 𥣦 𥣧 𥣨 𥣩 𥣪 𥣫 𥣬 𥣭 𥣮 𥣯 𥣰 𥣱 𥣲 𥣳 𥣴 𥣵 𥣶 𥣷 𥣸 𥣹 𥣺 𥣻 𥣼 𥣽 𥣾 𥣿</t>
        </is>
      </c>
      <c r="P607" s="37" t="inlineStr">
        <is>
          <t>𥠀 𥠁 𥠂 𥠃 𥠄 𥠅 𥠆 𥠇 𥠈 𥠉 𥠊 𥠋 𥠌 𥠍 𥠎 𥠏 𥠐 𥠑 𥠒 𥠓 𥠔 𥠕 𥠖 𥠗 𥠘 𥠙 𥠚 𥠛 𥠜 𥠝 𥠞 𥠟 𥠠 𥠡 𥠢 𥠣 𥠤 𥠥 𥠦 𥠧 𥠨 𥠩 𥠪 𥠫 𥠬 𥠭 𥠮 𥠯 𥠰 𥠱 𥠲 𥠳 𥠴 𥠵 𥠶 𥠷 𥠸 𥠹 𥠺 𥠻 𥠼 𥠽 𥠾 𥠿 𥡀 𥡁 𥡂 𥡃 𥡄 𥡅 𥡆 𥡇 𥡈 𥡉 𥡊 𥡋 𥡌 𥡍 𥡎 𥡏 𥡐 𥡑 𥡒 𥡓 𥡔 𥡕 𥡖 𥡗 𥡘 𥡙 𥡚 𥡛 𥡜 𥡝 𥡞 𥡟 𥡠 𥡡 𥡢 𥡣 𥡤 𥡥 𥡦 𥡧 𥡨 𥡩 𥡪 𥡫 𥡬 𥡭 𥡮 𥡯 𥡰 𥡱 𥡲 𥡳 𥡴 𥡵 𥡶 𥡷 𥡸 𥡹 𥡺 𥡻 𥡼 𥡽 𥡾 𥡿 𥢀 𥢁 𥢂 𥢃 𥢄 𥢅 𥢆 𥢇 𥢈 𥢉 𥢊 𥢋 𥢌 𥢍 𥢎 𥢏 𥢐 𥢑 𥢒 𥢓 𥢔 𥢕 𥢖 𥢗 𥢘 𥢙 𥢚 𥢛 𥢜 𥢝 𥢞 𥢟 𥢠 𥢡 𥢢 𥢣 𥢤 𥢥 𥢦 𥢧 𥢨 𥢩 𥢪 𥢫 𥢬 𥢭 𥢮 𥢯 𥢰 𥢱 𥢲 𥢳 𥢴 𥢵 𥢶 𥢷 𥢸 𥢹 𥢺 𥢻 𥢼 𥢽 𥢾 𥢿 𥣀 𥣁 𥣂 𥣃 𥣄 𥣅 𥣆 𥣇 𥣈 𥣉 𥣊 𥣋 𥣌 𥣍 𥣎 𥣏 𥣐 𥣑 𥣒 𥣓 𥣔 𥣕 𥣖 𥣗 𥣘 𥣙 𥣚 𥣛 𥣜 𥣝 𥣞 𥣟 𥣠 𥣡 𥣢 𥣣 𥣤 𥣥 𥣦 𥣧 𥣨 𥣩 𥣪 𥣫 𥣬 𥣭 𥣮 𥣯 𥣰 𥣱 𥣲 𥣳 𥣴 𥣵 𥣶 𥣷 𥣸 𥣹 𥣺 𥣻 𥣼 𥣽 𥣾 𥣿</t>
        </is>
      </c>
      <c r="Q607" s="38" t="inlineStr">
        <is>
          <t>𥠀 𥠁 𥠂 𥠃 𥠄 𥠅 𥠆 𥠇 𥠈 𥠉 𥠊 𥠋 𥠌 𥠍 𥠎 𥠏 𥠐 𥠑 𥠒 𥠓 𥠔 𥠕 𥠖 𥠗 𥠘 𥠙 𥠚 𥠛 𥠜 𥠝 𥠞 𥠟 𥠠 𥠡 𥠢 𥠣 𥠤 𥠥 𥠦 𥠧 𥠨 𥠩 𥠪 𥠫 𥠬 𥠭 𥠮 𥠯 𥠰 𥠱 𥠲 𥠳 𥠴 𥠵 𥠶 𥠷 𥠸 𥠹 𥠺 𥠻 𥠼 𥠽 𥠾 𥠿 𥡀 𥡁 𥡂 𥡃 𥡄 𥡅 𥡆 𥡇 𥡈 𥡉 𥡊 𥡋 𥡌 𥡍 𥡎 𥡏 𥡐 𥡑 𥡒 𥡓 𥡔 𥡕 𥡖 𥡗 𥡘 𥡙 𥡚 𥡛 𥡜 𥡝 𥡞 𥡟 𥡠 𥡡 𥡢 𥡣 𥡤 𥡥 𥡦 𥡧 𥡨 𥡩 𥡪 𥡫 𥡬 𥡭 𥡮 𥡯 𥡰 𥡱 𥡲 𥡳 𥡴 𥡵 𥡶 𥡷 𥡸 𥡹 𥡺 𥡻 𥡼 𥡽 𥡾 𥡿 𥢀 𥢁 𥢂 𥢃 𥢄 𥢅 𥢆 𥢇 𥢈 𥢉 𥢊 𥢋 𥢌 𥢍 𥢎 𥢏 𥢐 𥢑 𥢒 𥢓 𥢔 𥢕 𥢖 𥢗 𥢘 𥢙 𥢚 𥢛 𥢜 𥢝 𥢞 𥢟 𥢠 𥢡 𥢢 𥢣 𥢤 𥢥 𥢦 𥢧 𥢨 𥢩 𥢪 𥢫 𥢬 𥢭 𥢮 𥢯 𥢰 𥢱 𥢲 𥢳 𥢴 𥢵 𥢶 𥢷 𥢸 𥢹 𥢺 𥢻 𥢼 𥢽 𥢾 𥢿 𥣀 𥣁 𥣂 𥣃 𥣄 𥣅 𥣆 𥣇 𥣈 𥣉 𥣊 𥣋 𥣌 𥣍 𥣎 𥣏 𥣐 𥣑 𥣒 𥣓 𥣔 𥣕 𥣖 𥣗 𥣘 𥣙 𥣚 𥣛 𥣜 𥣝 𥣞 𥣟 𥣠 𥣡 𥣢 𥣣 𥣤 𥣥 𥣦 𥣧 𥣨 𥣩 𥣪 𥣫 𥣬 𥣭 𥣮 𥣯 𥣰 𥣱 𥣲 𥣳 𥣴 𥣵 𥣶 𥣷 𥣸 𥣹 𥣺 𥣻 𥣼 𥣽 𥣾 𥣿</t>
        </is>
      </c>
      <c r="R607" s="43" t="inlineStr"/>
      <c r="S607" s="40" t="n"/>
      <c r="V607" s="14">
        <f>(LEN(O607)+1)/2</f>
        <v/>
      </c>
      <c r="W607" s="14">
        <f>ROUNDDOWN((LEN(P607)+1)/2,0)</f>
        <v/>
      </c>
      <c r="X607" s="14">
        <f>ROUNDDOWN((LEN(Q607)+1)/2,0)</f>
        <v/>
      </c>
      <c r="Y607" s="14">
        <f>ROUNDDOWN((LEN(R607)+1)/2,0)</f>
        <v/>
      </c>
      <c r="Z607" s="14">
        <f>ROUNDDOWN((LEN(S607)+1)/2,0)</f>
        <v/>
      </c>
      <c r="AA607" s="56" t="n">
        <v>46150.55880595522</v>
      </c>
    </row>
    <row r="608" ht="102" customHeight="1">
      <c r="B608" s="46" t="inlineStr">
        <is>
          <t>U+25A00-U+25AFF</t>
        </is>
      </c>
      <c r="C608" s="46" t="inlineStr">
        <is>
          <t>CJK Unified Ideographs Extension B</t>
        </is>
      </c>
      <c r="D608" s="54">
        <f>HEX2DEC(MID(B608,3,FIND("-",E608)-3))</f>
        <v/>
      </c>
      <c r="E608" s="46" t="inlineStr">
        <is>
          <t>U+20000-U+2A6DF</t>
        </is>
      </c>
      <c r="F608" s="12" t="n">
        <v>4</v>
      </c>
      <c r="J608" s="19">
        <f>ROUNDDOWN(W608,0)/$V608</f>
        <v/>
      </c>
      <c r="K608" s="19">
        <f>ROUNDDOWN(X608,0)/$V608</f>
        <v/>
      </c>
      <c r="L608" s="19">
        <f>ROUNDDOWN(Y608,0)/$V608</f>
        <v/>
      </c>
      <c r="M608" s="19">
        <f>ROUNDDOWN(Z608,0)/$V608</f>
        <v/>
      </c>
      <c r="O608" s="36" t="inlineStr">
        <is>
          <t>𥤀 𥤁 𥤂 𥤃 𥤄 𥤅 𥤆 𥤇 𥤈 𥤉 𥤊 𥤋 𥤌 𥤍 𥤎 𥤏 𥤐 𥤑 𥤒 𥤓 𥤔 𥤕 𥤖 𥤗 𥤘 𥤙 𥤚 𥤛 𥤜 𥤝 𥤞 𥤟 𥤠 𥤡 𥤢 𥤣 𥤤 𥤥 𥤦 𥤧 𥤨 𥤩 𥤪 𥤫 𥤬 𥤭 𥤮 𥤯 𥤰 𥤱 𥤲 𥤳 𥤴 𥤵 𥤶 𥤷 𥤸 𥤹 𥤺 𥤻 𥤼 𥤽 𥤾 𥤿 𥥀 𥥁 𥥂 𥥃 𥥄 𥥅 𥥆 𥥇 𥥈 𥥉 𥥊 𥥋 𥥌 𥥍 𥥎 𥥏 𥥐 𥥑 𥥒 𥥓 𥥔 𥥕 𥥖 𥥗 𥥘 𥥙 𥥚 𥥛 𥥜 𥥝 𥥞 𥥟 𥥠 𥥡 𥥢 𥥣 𥥤 𥥥 𥥦 𥥧 𥥨 𥥩 𥥪 𥥫 𥥬 𥥭 𥥮 𥥯 𥥰 𥥱 𥥲 𥥳 𥥴 𥥵 𥥶 𥥷 𥥸 𥥹 𥥺 𥥻 𥥼 𥥽 𥥾 𥥿 𥦀 𥦁 𥦂 𥦃 𥦄 𥦅 𥦆 𥦇 𥦈 𥦉 𥦊 𥦋 𥦌 𥦍 𥦎 𥦏 𥦐 𥦑 𥦒 𥦓 𥦔 𥦕 𥦖 𥦗 𥦘 𥦙 𥦚 𥦛 𥦜 𥦝 𥦞 𥦟 𥦠 𥦡 𥦢 𥦣 𥦤 𥦥 𥦦 𥦧 𥦨 𥦩 𥦪 𥦫 𥦬 𥦭 𥦮 𥦯 𥦰 𥦱 𥦲 𥦳 𥦴 𥦵 𥦶 𥦷 𥦸 𥦹 𥦺 𥦻 𥦼 𥦽 𥦾 𥦿 𥧀 𥧁 𥧂 𥧃 𥧄 𥧅 𥧆 𥧇 𥧈 𥧉 𥧊 𥧋 𥧌 𥧍 𥧎 𥧏 𥧐 𥧑 𥧒 𥧓 𥧔 𥧕 𥧖 𥧗 𥧘 𥧙 𥧚 𥧛 𥧜 𥧝 𥧞 𥧟 𥧠 𥧡 𥧢 𥧣 𥧤 𥧥 𥧦 𥧧 𥧨 𥧩 𥧪 𥧫 𥧬 𥧭 𥧮 𥧯 𥧰 𥧱 𥧲 𥧳 𥧴 𥧵 𥧶 𥧷 𥧸 𥧹 𥧺 𥧻 𥧼 𥧽 𥧾 𥧿</t>
        </is>
      </c>
      <c r="P608" s="37" t="inlineStr">
        <is>
          <t>𥤀 𥤁 𥤂 𥤃 𥤄 𥤅 𥤆 𥤇 𥤈 𥤉 𥤊 𥤋 𥤌 𥤍 𥤎 𥤏 𥤐 𥤑 𥤒 𥤓 𥤔 𥤕 𥤖 𥤗 𥤘 𥤙 𥤚 𥤛 𥤜 𥤝 𥤞 𥤟 𥤠 𥤡 𥤢 𥤣 𥤤 𥤥 𥤦 𥤧 𥤨 𥤩 𥤪 𥤫 𥤬 𥤭 𥤮 𥤯 𥤰 𥤱 𥤲 𥤳 𥤴 𥤵 𥤶 𥤷 𥤸 𥤹 𥤺 𥤻 𥤼 𥤽 𥤾 𥤿 𥥀 𥥁 𥥂 𥥃 𥥄 𥥅 𥥆 𥥇 𥥈 𥥉 𥥊 𥥋 𥥌 𥥍 𥥎 𥥏 𥥐 𥥑 𥥒 𥥓 𥥔 𥥕 𥥖 𥥗 𥥘 𥥙 𥥚 𥥛 𥥜 𥥝 𥥞 𥥟 𥥠 𥥡 𥥢 𥥣 𥥤 𥥥 𥥦 𥥧 𥥨 𥥩 𥥪 𥥫 𥥬 𥥭 𥥮 𥥯 𥥰 𥥱 𥥲 𥥳 𥥴 𥥵 𥥶 𥥷 𥥸 𥥹 𥥺 𥥻 𥥼 𥥽 𥥾 𥥿 𥦀 𥦁 𥦂 𥦃 𥦄 𥦅 𥦆 𥦇 𥦈 𥦉 𥦊 𥦋 𥦌 𥦍 𥦎 𥦏 𥦐 𥦑 𥦒 𥦓 𥦔 𥦕 𥦖 𥦗 𥦘 𥦙 𥦚 𥦛 𥦜 𥦝 𥦞 𥦟 𥦠 𥦡 𥦢 𥦣 𥦤 𥦥 𥦦 𥦧 𥦨 𥦩 𥦪 𥦫 𥦬 𥦭 𥦮 𥦯 𥦰 𥦱 𥦲 𥦳 𥦴 𥦵 𥦶 𥦷 𥦸 𥦹 𥦺 𥦻 𥦼 𥦽 𥦾 𥦿 𥧀 𥧁 𥧂 𥧃 𥧄 𥧅 𥧆 𥧇 𥧈 𥧉 𥧊 𥧋 𥧌 𥧍 𥧎 𥧏 𥧐 𥧑 𥧒 𥧓 𥧔 𥧕 𥧖 𥧗 𥧘 𥧙 𥧚 𥧛 𥧜 𥧝 𥧞 𥧟 𥧠 𥧡 𥧢 𥧣 𥧤 𥧥 𥧦 𥧧 𥧨 𥧩 𥧪 𥧫 𥧬 𥧭 𥧮 𥧯 𥧰 𥧱 𥧲 𥧳 𥧴 𥧵 𥧶 𥧷 𥧸 𥧹 𥧺 𥧻 𥧼 𥧽 𥧾 𥧿</t>
        </is>
      </c>
      <c r="Q608" s="38" t="inlineStr">
        <is>
          <t>𥤀 𥤁 𥤂 𥤃 𥤄 𥤅 𥤆 𥤇 𥤈 𥤉 𥤊 𥤋 𥤌 𥤍 𥤎 𥤏 𥤐 𥤑 𥤒 𥤓 𥤔 𥤕 𥤖 𥤗 𥤘 𥤙 𥤚 𥤛 𥤜 𥤝 𥤞 𥤟 𥤠 𥤡 𥤢 𥤣 𥤤 𥤥 𥤦 𥤧 𥤨 𥤩 𥤪 𥤫 𥤬 𥤭 𥤮 𥤯 𥤰 𥤱 𥤲 𥤳 𥤴 𥤵 𥤶 𥤷 𥤸 𥤹 𥤺 𥤻 𥤼 𥤽 𥤾 𥤿 𥥀 𥥁 𥥂 𥥃 𥥄 𥥅 𥥆 𥥇 𥥈 𥥉 𥥊 𥥋 𥥌 𥥍 𥥎 𥥏 𥥐 𥥑 𥥒 𥥓 𥥔 𥥕 𥥖 𥥗 𥥘 𥥙 𥥚 𥥛 𥥜 𥥝 𥥞 𥥟 𥥠 𥥡 𥥢 𥥣 𥥤 𥥥 𥥦 𥥧 𥥨 𥥩 𥥪 𥥫 𥥬 𥥭 𥥮 𥥯 𥥰 𥥱 𥥲 𥥳 𥥴 𥥵 𥥶 𥥷 𥥸 𥥹 𥥺 𥥻 𥥼 𥥽 𥥾 𥥿 𥦀 𥦁 𥦂 𥦃 𥦄 𥦅 𥦆 𥦇 𥦈 𥦉 𥦊 𥦋 𥦌 𥦍 𥦎 𥦏 𥦐 𥦑 𥦒 𥦓 𥦔 𥦕 𥦖 𥦗 𥦘 𥦙 𥦚 𥦛 𥦜 𥦝 𥦞 𥦟 𥦠 𥦡 𥦢 𥦣 𥦤 𥦥 𥦦 𥦧 𥦨 𥦩 𥦪 𥦫 𥦬 𥦭 𥦮 𥦯 𥦰 𥦱 𥦲 𥦳 𥦴 𥦵 𥦶 𥦷 𥦸 𥦹 𥦺 𥦻 𥦼 𥦽 𥦾 𥦿 𥧀 𥧁 𥧂 𥧃 𥧄 𥧅 𥧆 𥧇 𥧈 𥧉 𥧊 𥧋 𥧌 𥧍 𥧎 𥧏 𥧐 𥧑 𥧒 𥧓 𥧔 𥧕 𥧖 𥧗 𥧘 𥧙 𥧚 𥧛 𥧜 𥧝 𥧞 𥧟 𥧠 𥧡 𥧢 𥧣 𥧤 𥧥 𥧦 𥧧 𥧨 𥧩 𥧪 𥧫 𥧬 𥧭 𥧮 𥧯 𥧰 𥧱 𥧲 𥧳 𥧴 𥧵 𥧶 𥧷 𥧸 𥧹 𥧺 𥧻 𥧼 𥧽 𥧾 𥧿</t>
        </is>
      </c>
      <c r="R608" s="43" t="inlineStr">
        <is>
          <t>𥥷 𥧄 𥧔</t>
        </is>
      </c>
      <c r="S608" s="40" t="n"/>
      <c r="V608" s="14">
        <f>(LEN(O608)+1)/2</f>
        <v/>
      </c>
      <c r="W608" s="14">
        <f>ROUNDDOWN((LEN(P608)+1)/2,0)</f>
        <v/>
      </c>
      <c r="X608" s="14">
        <f>ROUNDDOWN((LEN(Q608)+1)/2,0)</f>
        <v/>
      </c>
      <c r="Y608" s="14">
        <f>ROUNDDOWN((LEN(R608)+1)/2,0)</f>
        <v/>
      </c>
      <c r="Z608" s="14">
        <f>ROUNDDOWN((LEN(S608)+1)/2,0)</f>
        <v/>
      </c>
      <c r="AA608" s="56" t="n">
        <v>46150.55880704446</v>
      </c>
    </row>
    <row r="609" ht="102" customHeight="1">
      <c r="B609" s="46" t="inlineStr">
        <is>
          <t>U+25B00-U+25BFF</t>
        </is>
      </c>
      <c r="C609" s="46" t="inlineStr">
        <is>
          <t>CJK Unified Ideographs Extension B</t>
        </is>
      </c>
      <c r="D609" s="54">
        <f>HEX2DEC(MID(B609,3,FIND("-",E609)-3))</f>
        <v/>
      </c>
      <c r="E609" s="46" t="inlineStr">
        <is>
          <t>U+20000-U+2A6DF</t>
        </is>
      </c>
      <c r="F609" s="12" t="n">
        <v>4</v>
      </c>
      <c r="J609" s="19">
        <f>ROUNDDOWN(W609,0)/$V609</f>
        <v/>
      </c>
      <c r="K609" s="19">
        <f>ROUNDDOWN(X609,0)/$V609</f>
        <v/>
      </c>
      <c r="L609" s="19">
        <f>ROUNDDOWN(Y609,0)/$V609</f>
        <v/>
      </c>
      <c r="M609" s="19">
        <f>ROUNDDOWN(Z609,0)/$V609</f>
        <v/>
      </c>
      <c r="O609" s="36" t="inlineStr">
        <is>
          <t>𥨀 𥨁 𥨂 𥨃 𥨄 𥨅 𥨆 𥨇 𥨈 𥨉 𥨊 𥨋 𥨌 𥨍 𥨎 𥨏 𥨐 𥨑 𥨒 𥨓 𥨔 𥨕 𥨖 𥨗 𥨘 𥨙 𥨚 𥨛 𥨜 𥨝 𥨞 𥨟 𥨠 𥨡 𥨢 𥨣 𥨤 𥨥 𥨦 𥨧 𥨨 𥨩 𥨪 𥨫 𥨬 𥨭 𥨮 𥨯 𥨰 𥨱 𥨲 𥨳 𥨴 𥨵 𥨶 𥨷 𥨸 𥨹 𥨺 𥨻 𥨼 𥨽 𥨾 𥨿 𥩀 𥩁 𥩂 𥩃 𥩄 𥩅 𥩆 𥩇 𥩈 𥩉 𥩊 𥩋 𥩌 𥩍 𥩎 𥩏 𥩐 𥩑 𥩒 𥩓 𥩔 𥩕 𥩖 𥩗 𥩘 𥩙 𥩚 𥩛 𥩜 𥩝 𥩞 𥩟 𥩠 𥩡 𥩢 𥩣 𥩤 𥩥 𥩦 𥩧 𥩨 𥩩 𥩪 𥩫 𥩬 𥩭 𥩮 𥩯 𥩰 𥩱 𥩲 𥩳 𥩴 𥩵 𥩶 𥩷 𥩸 𥩹 𥩺 𥩻 𥩼 𥩽 𥩾 𥩿 𥪀 𥪁 𥪂 𥪃 𥪄 𥪅 𥪆 𥪇 𥪈 𥪉 𥪊 𥪋 𥪌 𥪍 𥪎 𥪏 𥪐 𥪑 𥪒 𥪓 𥪔 𥪕 𥪖 𥪗 𥪘 𥪙 𥪚 𥪛 𥪜 𥪝 𥪞 𥪟 𥪠 𥪡 𥪢 𥪣 𥪤 𥪥 𥪦 𥪧 𥪨 𥪩 𥪪 𥪫 𥪬 𥪭 𥪮 𥪯 𥪰 𥪱 𥪲 𥪳 𥪴 𥪵 𥪶 𥪷 𥪸 𥪹 𥪺 𥪻 𥪼 𥪽 𥪾 𥪿 𥫀 𥫁 𥫂 𥫃 𥫄 𥫅 𥫆 𥫇 𥫈 𥫉 𥫊 𥫋 𥫌 𥫍 𥫎 𥫏 𥫐 𥫑 𥫒 𥫓 𥫔 𥫕 𥫖 𥫗 𥫘 𥫙 𥫚 𥫛 𥫜 𥫝 𥫞 𥫟 𥫠 𥫡 𥫢 𥫣 𥫤 𥫥 𥫦 𥫧 𥫨 𥫩 𥫪 𥫫 𥫬 𥫭 𥫮 𥫯 𥫰 𥫱 𥫲 𥫳 𥫴 𥫵 𥫶 𥫷 𥫸 𥫹 𥫺 𥫻 𥫼 𥫽 𥫾 𥫿</t>
        </is>
      </c>
      <c r="P609" s="37" t="inlineStr">
        <is>
          <t>𥨀 𥨁 𥨂 𥨃 𥨄 𥨅 𥨆 𥨇 𥨈 𥨉 𥨊 𥨋 𥨌 𥨍 𥨎 𥨏 𥨐 𥨑 𥨒 𥨓 𥨔 𥨕 𥨖 𥨗 𥨘 𥨙 𥨚 𥨛 𥨜 𥨝 𥨞 𥨟 𥨠 𥨡 𥨢 𥨣 𥨤 𥨥 𥨦 𥨧 𥨨 𥨩 𥨪 𥨫 𥨬 𥨭 𥨮 𥨯 𥨰 𥨱 𥨲 𥨳 𥨴 𥨵 𥨶 𥨷 𥨸 𥨹 𥨺 𥨻 𥨼 𥨽 𥨾 𥨿 𥩀 𥩁 𥩂 𥩃 𥩄 𥩅 𥩆 𥩇 𥩈 𥩉 𥩊 𥩋 𥩌 𥩍 𥩎 𥩏 𥩐 𥩑 𥩒 𥩓 𥩔 𥩕 𥩖 𥩗 𥩘 𥩙 𥩚 𥩛 𥩜 𥩝 𥩞 𥩟 𥩠 𥩡 𥩢 𥩣 𥩤 𥩥 𥩦 𥩧 𥩨 𥩩 𥩪 𥩫 𥩬 𥩭 𥩮 𥩯 𥩰 𥩱 𥩲 𥩳 𥩴 𥩵 𥩶 𥩷 𥩸 𥩹 𥩺 𥩻 𥩼 𥩽 𥩾 𥩿 𥪀 𥪁 𥪂 𥪃 𥪄 𥪅 𥪆 𥪇 𥪈 𥪉 𥪊 𥪋 𥪌 𥪍 𥪎 𥪏 𥪐 𥪑 𥪒 𥪓 𥪔 𥪕 𥪖 𥪗 𥪘 𥪙 𥪚 𥪛 𥪜 𥪝 𥪞 𥪟 𥪠 𥪡 𥪢 𥪣 𥪤 𥪥 𥪦 𥪧 𥪨 𥪩 𥪪 𥪫 𥪬 𥪭 𥪮 𥪯 𥪰 𥪱 𥪲 𥪳 𥪴 𥪵 𥪶 𥪷 𥪸 𥪹 𥪺 𥪻 𥪼 𥪽 𥪾 𥪿 𥫀 𥫁 𥫂 𥫃 𥫄 𥫅 𥫆 𥫇 𥫈 𥫉 𥫊 𥫋 𥫌 𥫍 𥫎 𥫏 𥫐 𥫑 𥫒 𥫓 𥫔 𥫕 𥫖 𥫗 𥫘 𥫙 𥫚 𥫛 𥫜 𥫝 𥫞 𥫟 𥫠 𥫡 𥫢 𥫣 𥫤 𥫥 𥫦 𥫧 𥫨 𥫩 𥫪 𥫫 𥫬 𥫭 𥫮 𥫯 𥫰 𥫱 𥫲 𥫳 𥫴 𥫵 𥫶 𥫷 𥫸 𥫹 𥫺 𥫻 𥫼 𥫽 𥫾 𥫿</t>
        </is>
      </c>
      <c r="Q609" s="38" t="inlineStr">
        <is>
          <t>𥨀 𥨁 𥨂 𥨃 𥨄 𥨅 𥨆 𥨇 𥨈 𥨉 𥨊 𥨋 𥨌 𥨍 𥨎 𥨏 𥨐 𥨑 𥨒 𥨓 𥨔 𥨕 𥨖 𥨗 𥨘 𥨙 𥨚 𥨛 𥨜 𥨝 𥨞 𥨟 𥨠 𥨡 𥨢 𥨣 𥨤 𥨥 𥨦 𥨧 𥨨 𥨩 𥨪 𥨫 𥨬 𥨭 𥨮 𥨯 𥨰 𥨱 𥨲 𥨳 𥨴 𥨵 𥨶 𥨷 𥨸 𥨹 𥨺 𥨻 𥨼 𥨽 𥨾 𥨿 𥩀 𥩁 𥩂 𥩃 𥩄 𥩅 𥩆 𥩇 𥩈 𥩉 𥩊 𥩋 𥩌 𥩍 𥩎 𥩏 𥩐 𥩑 𥩒 𥩓 𥩔 𥩕 𥩖 𥩗 𥩘 𥩙 𥩚 𥩛 𥩜 𥩝 𥩞 𥩟 𥩠 𥩡 𥩢 𥩣 𥩤 𥩥 𥩦 𥩧 𥩨 𥩩 𥩪 𥩫 𥩬 𥩭 𥩮 𥩯 𥩰 𥩱 𥩲 𥩳 𥩴 𥩵 𥩶 𥩷 𥩸 𥩹 𥩺 𥩻 𥩼 𥩽 𥩾 𥩿 𥪀 𥪁 𥪂 𥪃 𥪄 𥪅 𥪆 𥪇 𥪈 𥪉 𥪊 𥪋 𥪌 𥪍 𥪎 𥪏 𥪐 𥪑 𥪒 𥪓 𥪔 𥪕 𥪖 𥪗 𥪘 𥪙 𥪚 𥪛 𥪜 𥪝 𥪞 𥪟 𥪠 𥪡 𥪢 𥪣 𥪤 𥪥 𥪦 𥪧 𥪨 𥪩 𥪪 𥪫 𥪬 𥪭 𥪮 𥪯 𥪰 𥪱 𥪲 𥪳 𥪴 𥪵 𥪶 𥪷 𥪸 𥪹 𥪺 𥪻 𥪼 𥪽 𥪾 𥪿 𥫀 𥫁 𥫂 𥫃 𥫄 𥫅 𥫆 𥫇 𥫈 𥫉 𥫊 𥫋 𥫌 𥫍 𥫎 𥫏 𥫐 𥫑 𥫒 𥫓 𥫔 𥫕 𥫖 𥫗 𥫘 𥫙 𥫚 𥫛 𥫜 𥫝 𥫞 𥫟 𥫠 𥫡 𥫢 𥫣 𥫤 𥫥 𥫦 𥫧 𥫨 𥫩 𥫪 𥫫 𥫬 𥫭 𥫮 𥫯 𥫰 𥫱 𥫲 𥫳 𥫴 𥫵 𥫶 𥫷 𥫸 𥫹 𥫺 𥫻 𥫼 𥫽 𥫾 𥫿</t>
        </is>
      </c>
      <c r="R609" s="43" t="inlineStr">
        <is>
          <t>𥫣 𥫤 𥫱</t>
        </is>
      </c>
      <c r="S609" s="40" t="n"/>
      <c r="V609" s="14">
        <f>(LEN(O609)+1)/2</f>
        <v/>
      </c>
      <c r="W609" s="14">
        <f>ROUNDDOWN((LEN(P609)+1)/2,0)</f>
        <v/>
      </c>
      <c r="X609" s="14">
        <f>ROUNDDOWN((LEN(Q609)+1)/2,0)</f>
        <v/>
      </c>
      <c r="Y609" s="14">
        <f>ROUNDDOWN((LEN(R609)+1)/2,0)</f>
        <v/>
      </c>
      <c r="Z609" s="14">
        <f>ROUNDDOWN((LEN(S609)+1)/2,0)</f>
        <v/>
      </c>
      <c r="AA609" s="56" t="n">
        <v>46150.55880814419</v>
      </c>
    </row>
    <row r="610" ht="102" customHeight="1">
      <c r="B610" s="46" t="inlineStr">
        <is>
          <t>U+25C00-U+25CFF</t>
        </is>
      </c>
      <c r="C610" s="46" t="inlineStr">
        <is>
          <t>CJK Unified Ideographs Extension B</t>
        </is>
      </c>
      <c r="D610" s="54">
        <f>HEX2DEC(MID(B610,3,FIND("-",E610)-3))</f>
        <v/>
      </c>
      <c r="E610" s="46" t="inlineStr">
        <is>
          <t>U+20000-U+2A6DF</t>
        </is>
      </c>
      <c r="F610" s="12" t="n">
        <v>4</v>
      </c>
      <c r="J610" s="19">
        <f>ROUNDDOWN(W610,0)/$V610</f>
        <v/>
      </c>
      <c r="K610" s="19">
        <f>ROUNDDOWN(X610,0)/$V610</f>
        <v/>
      </c>
      <c r="L610" s="19">
        <f>ROUNDDOWN(Y610,0)/$V610</f>
        <v/>
      </c>
      <c r="M610" s="19">
        <f>ROUNDDOWN(Z610,0)/$V610</f>
        <v/>
      </c>
      <c r="O610" s="36" t="inlineStr">
        <is>
          <t>𥬀 𥬁 𥬂 𥬃 𥬄 𥬅 𥬆 𥬇 𥬈 𥬉 𥬊 𥬋 𥬌 𥬍 𥬎 𥬏 𥬐 𥬑 𥬒 𥬓 𥬔 𥬕 𥬖 𥬗 𥬘 𥬙 𥬚 𥬛 𥬜 𥬝 𥬞 𥬟 𥬠 𥬡 𥬢 𥬣 𥬤 𥬥 𥬦 𥬧 𥬨 𥬩 𥬪 𥬫 𥬬 𥬭 𥬮 𥬯 𥬰 𥬱 𥬲 𥬳 𥬴 𥬵 𥬶 𥬷 𥬸 𥬹 𥬺 𥬻 𥬼 𥬽 𥬾 𥬿 𥭀 𥭁 𥭂 𥭃 𥭄 𥭅 𥭆 𥭇 𥭈 𥭉 𥭊 𥭋 𥭌 𥭍 𥭎 𥭏 𥭐 𥭑 𥭒 𥭓 𥭔 𥭕 𥭖 𥭗 𥭘 𥭙 𥭚 𥭛 𥭜 𥭝 𥭞 𥭟 𥭠 𥭡 𥭢 𥭣 𥭤 𥭥 𥭦 𥭧 𥭨 𥭩 𥭪 𥭫 𥭬 𥭭 𥭮 𥭯 𥭰 𥭱 𥭲 𥭳 𥭴 𥭵 𥭶 𥭷 𥭸 𥭹 𥭺 𥭻 𥭼 𥭽 𥭾 𥭿 𥮀 𥮁 𥮂 𥮃 𥮄 𥮅 𥮆 𥮇 𥮈 𥮉 𥮊 𥮋 𥮌 𥮍 𥮎 𥮏 𥮐 𥮑 𥮒 𥮓 𥮔 𥮕 𥮖 𥮗 𥮘 𥮙 𥮚 𥮛 𥮜 𥮝 𥮞 𥮟 𥮠 𥮡 𥮢 𥮣 𥮤 𥮥 𥮦 𥮧 𥮨 𥮩 𥮪 𥮫 𥮬 𥮭 𥮮 𥮯 𥮰 𥮱 𥮲 𥮳 𥮴 𥮵 𥮶 𥮷 𥮸 𥮹 𥮺 𥮻 𥮼 𥮽 𥮾 𥮿 𥯀 𥯁 𥯂 𥯃 𥯄 𥯅 𥯆 𥯇 𥯈 𥯉 𥯊 𥯋 𥯌 𥯍 𥯎 𥯏 𥯐 𥯑 𥯒 𥯓 𥯔 𥯕 𥯖 𥯗 𥯘 𥯙 𥯚 𥯛 𥯜 𥯝 𥯞 𥯟 𥯠 𥯡 𥯢 𥯣 𥯤 𥯥 𥯦 𥯧 𥯨 𥯩 𥯪 𥯫 𥯬 𥯭 𥯮 𥯯 𥯰 𥯱 𥯲 𥯳 𥯴 𥯵 𥯶 𥯷 𥯸 𥯹 𥯺 𥯻 𥯼 𥯽 𥯾 𥯿</t>
        </is>
      </c>
      <c r="P610" s="37" t="inlineStr">
        <is>
          <t>𥬀 𥬁 𥬂 𥬃 𥬄 𥬅 𥬆 𥬇 𥬈 𥬉 𥬊 𥬋 𥬌 𥬍 𥬎 𥬏 𥬐 𥬑 𥬒 𥬓 𥬔 𥬕 𥬖 𥬗 𥬘 𥬙 𥬚 𥬛 𥬜 𥬝 𥬞 𥬟 𥬠 𥬡 𥬢 𥬣 𥬤 𥬥 𥬦 𥬧 𥬨 𥬩 𥬪 𥬫 𥬬 𥬭 𥬮 𥬯 𥬰 𥬱 𥬲 𥬳 𥬴 𥬵 𥬶 𥬷 𥬸 𥬹 𥬺 𥬻 𥬼 𥬽 𥬾 𥬿 𥭀 𥭁 𥭂 𥭃 𥭄 𥭅 𥭆 𥭇 𥭈 𥭉 𥭊 𥭋 𥭌 𥭍 𥭎 𥭏 𥭐 𥭑 𥭒 𥭓 𥭔 𥭕 𥭖 𥭗 𥭘 𥭙 𥭚 𥭛 𥭜 𥭝 𥭞 𥭟 𥭠 𥭡 𥭢 𥭣 𥭤 𥭥 𥭦 𥭧 𥭨 𥭩 𥭪 𥭫 𥭬 𥭭 𥭮 𥭯 𥭰 𥭱 𥭲 𥭳 𥭴 𥭵 𥭶 𥭷 𥭸 𥭹 𥭺 𥭻 𥭼 𥭽 𥭾 𥭿 𥮀 𥮁 𥮂 𥮃 𥮄 𥮅 𥮆 𥮇 𥮈 𥮉 𥮊 𥮋 𥮌 𥮍 𥮎 𥮏 𥮐 𥮑 𥮒 𥮓 𥮔 𥮕 𥮖 𥮗 𥮘 𥮙 𥮚 𥮛 𥮜 𥮝 𥮞 𥮟 𥮠 𥮡 𥮢 𥮣 𥮤 𥮥 𥮦 𥮧 𥮨 𥮩 𥮪 𥮫 𥮬 𥮭 𥮮 𥮯 𥮰 𥮱 𥮲 𥮳 𥮴 𥮵 𥮶 𥮷 𥮸 𥮹 𥮺 𥮻 𥮼 𥮽 𥮾 𥮿 𥯀 𥯁 𥯂 𥯃 𥯄 𥯅 𥯆 𥯇 𥯈 𥯉 𥯊 𥯋 𥯌 𥯍 𥯎 𥯏 𥯐 𥯑 𥯒 𥯓 𥯔 𥯕 𥯖 𥯗 𥯘 𥯙 𥯚 𥯛 𥯜 𥯝 𥯞 𥯟 𥯠 𥯡 𥯢 𥯣 𥯤 𥯥 𥯦 𥯧 𥯨 𥯩 𥯪 𥯫 𥯬 𥯭 𥯮 𥯯 𥯰 𥯱 𥯲 𥯳 𥯴 𥯵 𥯶 𥯷 𥯸 𥯹 𥯺 𥯻 𥯼 𥯽 𥯾 𥯿</t>
        </is>
      </c>
      <c r="Q610" s="38" t="inlineStr">
        <is>
          <t>𥬀 𥬁 𥬂 𥬃 𥬄 𥬅 𥬆 𥬇 𥬈 𥬉 𥬊 𥬋 𥬌 𥬍 𥬎 𥬏 𥬐 𥬑 𥬒 𥬓 𥬔 𥬕 𥬖 𥬗 𥬘 𥬙 𥬚 𥬛 𥬜 𥬝 𥬞 𥬟 𥬠 𥬡 𥬢 𥬣 𥬤 𥬥 𥬦 𥬧 𥬨 𥬩 𥬪 𥬫 𥬬 𥬭 𥬮 𥬯 𥬰 𥬱 𥬲 𥬳 𥬴 𥬵 𥬶 𥬷 𥬸 𥬹 𥬺 𥬻 𥬼 𥬽 𥬾 𥬿 𥭀 𥭁 𥭂 𥭃 𥭄 𥭅 𥭆 𥭇 𥭈 𥭉 𥭊 𥭋 𥭌 𥭍 𥭎 𥭏 𥭐 𥭑 𥭒 𥭓 𥭔 𥭕 𥭖 𥭗 𥭘 𥭙 𥭚 𥭛 𥭜 𥭝 𥭞 𥭟 𥭠 𥭡 𥭢 𥭣 𥭤 𥭥 𥭦 𥭧 𥭨 𥭩 𥭪 𥭫 𥭬 𥭭 𥭮 𥭯 𥭰 𥭱 𥭲 𥭳 𥭴 𥭵 𥭶 𥭷 𥭸 𥭹 𥭺 𥭻 𥭼 𥭽 𥭾 𥭿 𥮀 𥮁 𥮂 𥮃 𥮄 𥮅 𥮆 𥮇 𥮈 𥮉 𥮊 𥮋 𥮌 𥮍 𥮎 𥮏 𥮐 𥮑 𥮒 𥮓 𥮔 𥮕 𥮖 𥮗 𥮘 𥮙 𥮚 𥮛 𥮜 𥮝 𥮞 𥮟 𥮠 𥮡 𥮢 𥮣 𥮤 𥮥 𥮦 𥮧 𥮨 𥮩 𥮪 𥮫 𥮬 𥮭 𥮮 𥮯 𥮰 𥮱 𥮲 𥮳 𥮴 𥮵 𥮶 𥮷 𥮸 𥮹 𥮺 𥮻 𥮼 𥮽 𥮾 𥮿 𥯀 𥯁 𥯂 𥯃 𥯄 𥯅 𥯆 𥯇 𥯈 𥯉 𥯊 𥯋 𥯌 𥯍 𥯎 𥯏 𥯐 𥯑 𥯒 𥯓 𥯔 𥯕 𥯖 𥯗 𥯘 𥯙 𥯚 𥯛 𥯜 𥯝 𥯞 𥯟 𥯠 𥯡 𥯢 𥯣 𥯤 𥯥 𥯦 𥯧 𥯨 𥯩 𥯪 𥯫 𥯬 𥯭 𥯮 𥯯 𥯰 𥯱 𥯲 𥯳 𥯴 𥯵 𥯶 𥯷 𥯸 𥯹 𥯺 𥯻 𥯼 𥯽 𥯾 𥯿</t>
        </is>
      </c>
      <c r="R610" s="43" t="inlineStr">
        <is>
          <t>𥮲 𥯟 𥯥 𥯨</t>
        </is>
      </c>
      <c r="S610" s="40" t="n"/>
      <c r="V610" s="14">
        <f>(LEN(O610)+1)/2</f>
        <v/>
      </c>
      <c r="W610" s="14">
        <f>ROUNDDOWN((LEN(P610)+1)/2,0)</f>
        <v/>
      </c>
      <c r="X610" s="14">
        <f>ROUNDDOWN((LEN(Q610)+1)/2,0)</f>
        <v/>
      </c>
      <c r="Y610" s="14">
        <f>ROUNDDOWN((LEN(R610)+1)/2,0)</f>
        <v/>
      </c>
      <c r="Z610" s="14">
        <f>ROUNDDOWN((LEN(S610)+1)/2,0)</f>
        <v/>
      </c>
      <c r="AA610" s="56" t="n">
        <v>46150.55880923557</v>
      </c>
    </row>
    <row r="611" ht="102" customHeight="1">
      <c r="B611" s="46" t="inlineStr">
        <is>
          <t>U+25D00-U+25DFF</t>
        </is>
      </c>
      <c r="C611" s="46" t="inlineStr">
        <is>
          <t>CJK Unified Ideographs Extension B</t>
        </is>
      </c>
      <c r="D611" s="54">
        <f>HEX2DEC(MID(B611,3,FIND("-",E611)-3))</f>
        <v/>
      </c>
      <c r="E611" s="46" t="inlineStr">
        <is>
          <t>U+20000-U+2A6DF</t>
        </is>
      </c>
      <c r="F611" s="12" t="n">
        <v>4</v>
      </c>
      <c r="J611" s="19">
        <f>ROUNDDOWN(W611,0)/$V611</f>
        <v/>
      </c>
      <c r="K611" s="19">
        <f>ROUNDDOWN(X611,0)/$V611</f>
        <v/>
      </c>
      <c r="L611" s="19">
        <f>ROUNDDOWN(Y611,0)/$V611</f>
        <v/>
      </c>
      <c r="M611" s="19">
        <f>ROUNDDOWN(Z611,0)/$V611</f>
        <v/>
      </c>
      <c r="O611" s="36" t="inlineStr">
        <is>
          <t>𥰀 𥰁 𥰂 𥰃 𥰄 𥰅 𥰆 𥰇 𥰈 𥰉 𥰊 𥰋 𥰌 𥰍 𥰎 𥰏 𥰐 𥰑 𥰒 𥰓 𥰔 𥰕 𥰖 𥰗 𥰘 𥰙 𥰚 𥰛 𥰜 𥰝 𥰞 𥰟 𥰠 𥰡 𥰢 𥰣 𥰤 𥰥 𥰦 𥰧 𥰨 𥰩 𥰪 𥰫 𥰬 𥰭 𥰮 𥰯 𥰰 𥰱 𥰲 𥰳 𥰴 𥰵 𥰶 𥰷 𥰸 𥰹 𥰺 𥰻 𥰼 𥰽 𥰾 𥰿 𥱀 𥱁 𥱂 𥱃 𥱄 𥱅 𥱆 𥱇 𥱈 𥱉 𥱊 𥱋 𥱌 𥱍 𥱎 𥱏 𥱐 𥱑 𥱒 𥱓 𥱔 𥱕 𥱖 𥱗 𥱘 𥱙 𥱚 𥱛 𥱜 𥱝 𥱞 𥱟 𥱠 𥱡 𥱢 𥱣 𥱤 𥱥 𥱦 𥱧 𥱨 𥱩 𥱪 𥱫 𥱬 𥱭 𥱮 𥱯 𥱰 𥱱 𥱲 𥱳 𥱴 𥱵 𥱶 𥱷 𥱸 𥱹 𥱺 𥱻 𥱼 𥱽 𥱾 𥱿 𥲀 𥲁 𥲂 𥲃 𥲄 𥲅 𥲆 𥲇 𥲈 𥲉 𥲊 𥲋 𥲌 𥲍 𥲎 𥲏 𥲐 𥲑 𥲒 𥲓 𥲔 𥲕 𥲖 𥲗 𥲘 𥲙 𥲚 𥲛 𥲜 𥲝 𥲞 𥲟 𥲠 𥲡 𥲢 𥲣 𥲤 𥲥 𥲦 𥲧 𥲨 𥲩 𥲪 𥲫 𥲬 𥲭 𥲮 𥲯 𥲰 𥲱 𥲲 𥲳 𥲴 𥲵 𥲶 𥲷 𥲸 𥲹 𥲺 𥲻 𥲼 𥲽 𥲾 𥲿 𥳀 𥳁 𥳂 𥳃 𥳄 𥳅 𥳆 𥳇 𥳈 𥳉 𥳊 𥳋 𥳌 𥳍 𥳎 𥳏 𥳐 𥳑 𥳒 𥳓 𥳔 𥳕 𥳖 𥳗 𥳘 𥳙 𥳚 𥳛 𥳜 𥳝 𥳞 𥳟 𥳠 𥳡 𥳢 𥳣 𥳤 𥳥 𥳦 𥳧 𥳨 𥳩 𥳪 𥳫 𥳬 𥳭 𥳮 𥳯 𥳰 𥳱 𥳲 𥳳 𥳴 𥳵 𥳶 𥳷 𥳸 𥳹 𥳺 𥳻 𥳼 𥳽 𥳾 𥳿</t>
        </is>
      </c>
      <c r="P611" s="37" t="inlineStr">
        <is>
          <t>𥰀 𥰁 𥰂 𥰃 𥰄 𥰅 𥰆 𥰇 𥰈 𥰉 𥰊 𥰋 𥰌 𥰍 𥰎 𥰏 𥰐 𥰑 𥰒 𥰓 𥰔 𥰕 𥰖 𥰗 𥰘 𥰙 𥰚 𥰛 𥰜 𥰝 𥰞 𥰟 𥰠 𥰡 𥰢 𥰣 𥰤 𥰥 𥰦 𥰧 𥰨 𥰩 𥰪 𥰫 𥰬 𥰭 𥰮 𥰯 𥰰 𥰱 𥰲 𥰳 𥰴 𥰵 𥰶 𥰷 𥰸 𥰹 𥰺 𥰻 𥰼 𥰽 𥰾 𥰿 𥱀 𥱁 𥱂 𥱃 𥱄 𥱅 𥱆 𥱇 𥱈 𥱉 𥱊 𥱋 𥱌 𥱍 𥱎 𥱏 𥱐 𥱑 𥱒 𥱓 𥱔 𥱕 𥱖 𥱗 𥱘 𥱙 𥱚 𥱛 𥱜 𥱝 𥱞 𥱟 𥱠 𥱡 𥱢 𥱣 𥱤 𥱥 𥱦 𥱧 𥱨 𥱩 𥱪 𥱫 𥱬 𥱭 𥱮 𥱯 𥱰 𥱱 𥱲 𥱳 𥱴 𥱵 𥱶 𥱷 𥱸 𥱹 𥱺 𥱻 𥱼 𥱽 𥱾 𥱿 𥲀 𥲁 𥲂 𥲃 𥲄 𥲅 𥲆 𥲇 𥲈 𥲉 𥲊 𥲋 𥲌 𥲍 𥲎 𥲏 𥲐 𥲑 𥲒 𥲓 𥲔 𥲕 𥲖 𥲗 𥲘 𥲙 𥲚 𥲛 𥲜 𥲝 𥲞 𥲟 𥲠 𥲡 𥲢 𥲣 𥲤 𥲥 𥲦 𥲧 𥲨 𥲩 𥲪 𥲫 𥲬 𥲭 𥲮 𥲯 𥲰 𥲱 𥲲 𥲳 𥲴 𥲵 𥲶 𥲷 𥲸 𥲹 𥲺 𥲻 𥲼 𥲽 𥲾 𥲿 𥳀 𥳁 𥳂 𥳃 𥳄 𥳅 𥳆 𥳇 𥳈 𥳉 𥳊 𥳋 𥳌 𥳍 𥳎 𥳏 𥳐 𥳑 𥳒 𥳓 𥳔 𥳕 𥳖 𥳗 𥳘 𥳙 𥳚 𥳛 𥳜 𥳝 𥳞 𥳟 𥳠 𥳡 𥳢 𥳣 𥳤 𥳥 𥳦 𥳧 𥳨 𥳩 𥳪 𥳫 𥳬 𥳭 𥳮 𥳯 𥳰 𥳱 𥳲 𥳳 𥳴 𥳵 𥳶 𥳷 𥳸 𥳹 𥳺 𥳻 𥳼 𥳽 𥳾 𥳿</t>
        </is>
      </c>
      <c r="Q611" s="38" t="inlineStr">
        <is>
          <t>𥰀 𥰁 𥰂 𥰃 𥰄 𥰅 𥰆 𥰇 𥰈 𥰉 𥰊 𥰋 𥰌 𥰍 𥰎 𥰏 𥰐 𥰑 𥰒 𥰓 𥰔 𥰕 𥰖 𥰗 𥰘 𥰙 𥰚 𥰛 𥰜 𥰝 𥰞 𥰟 𥰠 𥰡 𥰢 𥰣 𥰤 𥰥 𥰦 𥰧 𥰨 𥰩 𥰪 𥰫 𥰬 𥰭 𥰮 𥰯 𥰰 𥰱 𥰲 𥰳 𥰴 𥰵 𥰶 𥰷 𥰸 𥰹 𥰺 𥰻 𥰼 𥰽 𥰾 𥰿 𥱀 𥱁 𥱂 𥱃 𥱄 𥱅 𥱆 𥱇 𥱈 𥱉 𥱊 𥱋 𥱌 𥱍 𥱎 𥱏 𥱐 𥱑 𥱒 𥱓 𥱔 𥱕 𥱖 𥱗 𥱘 𥱙 𥱚 𥱛 𥱜 𥱝 𥱞 𥱟 𥱠 𥱡 𥱢 𥱣 𥱤 𥱥 𥱦 𥱧 𥱨 𥱩 𥱪 𥱫 𥱬 𥱭 𥱮 𥱯 𥱰 𥱱 𥱲 𥱳 𥱴 𥱵 𥱶 𥱷 𥱸 𥱹 𥱺 𥱻 𥱼 𥱽 𥱾 𥱿 𥲀 𥲁 𥲂 𥲃 𥲄 𥲅 𥲆 𥲇 𥲈 𥲉 𥲊 𥲋 𥲌 𥲍 𥲎 𥲏 𥲐 𥲑 𥲒 𥲓 𥲔 𥲕 𥲖 𥲗 𥲘 𥲙 𥲚 𥲛 𥲜 𥲝 𥲞 𥲟 𥲠 𥲡 𥲢 𥲣 𥲤 𥲥 𥲦 𥲧 𥲨 𥲩 𥲪 𥲫 𥲬 𥲭 𥲮 𥲯 𥲰 𥲱 𥲲 𥲳 𥲴 𥲵 𥲶 𥲷 𥲸 𥲹 𥲺 𥲻 𥲼 𥲽 𥲾 𥲿 𥳀 𥳁 𥳂 𥳃 𥳄 𥳅 𥳆 𥳇 𥳈 𥳉 𥳊 𥳋 𥳌 𥳍 𥳎 𥳏 𥳐 𥳑 𥳒 𥳓 𥳔 𥳕 𥳖 𥳗 𥳘 𥳙 𥳚 𥳛 𥳜 𥳝 𥳞 𥳟 𥳠 𥳡 𥳢 𥳣 𥳤 𥳥 𥳦 𥳧 𥳨 𥳩 𥳪 𥳫 𥳬 𥳭 𥳮 𥳯 𥳰 𥳱 𥳲 𥳳 𥳴 𥳵 𥳶 𥳷 𥳸 𥳹 𥳺 𥳻 𥳼 𥳽 𥳾 𥳿</t>
        </is>
      </c>
      <c r="R611" s="43" t="inlineStr">
        <is>
          <t>𥰔 𥱋 𥱤</t>
        </is>
      </c>
      <c r="S611" s="40" t="n"/>
      <c r="V611" s="14">
        <f>(LEN(O611)+1)/2</f>
        <v/>
      </c>
      <c r="W611" s="14">
        <f>ROUNDDOWN((LEN(P611)+1)/2,0)</f>
        <v/>
      </c>
      <c r="X611" s="14">
        <f>ROUNDDOWN((LEN(Q611)+1)/2,0)</f>
        <v/>
      </c>
      <c r="Y611" s="14">
        <f>ROUNDDOWN((LEN(R611)+1)/2,0)</f>
        <v/>
      </c>
      <c r="Z611" s="14">
        <f>ROUNDDOWN((LEN(S611)+1)/2,0)</f>
        <v/>
      </c>
      <c r="AA611" s="56" t="n">
        <v>46150.55881031677</v>
      </c>
    </row>
    <row r="612" ht="102" customHeight="1">
      <c r="B612" s="46" t="inlineStr">
        <is>
          <t>U+25E00-U+25EFF</t>
        </is>
      </c>
      <c r="C612" s="46" t="inlineStr">
        <is>
          <t>CJK Unified Ideographs Extension B</t>
        </is>
      </c>
      <c r="D612" s="54">
        <f>HEX2DEC(MID(B612,3,FIND("-",E612)-3))</f>
        <v/>
      </c>
      <c r="E612" s="46" t="inlineStr">
        <is>
          <t>U+20000-U+2A6DF</t>
        </is>
      </c>
      <c r="F612" s="12" t="n">
        <v>4</v>
      </c>
      <c r="J612" s="19">
        <f>ROUNDDOWN(W612,0)/$V612</f>
        <v/>
      </c>
      <c r="K612" s="19">
        <f>ROUNDDOWN(X612,0)/$V612</f>
        <v/>
      </c>
      <c r="L612" s="19">
        <f>ROUNDDOWN(Y612,0)/$V612</f>
        <v/>
      </c>
      <c r="M612" s="19">
        <f>ROUNDDOWN(Z612,0)/$V612</f>
        <v/>
      </c>
      <c r="O612" s="36" t="inlineStr">
        <is>
          <t>𥴀 𥴁 𥴂 𥴃 𥴄 𥴅 𥴆 𥴇 𥴈 𥴉 𥴊 𥴋 𥴌 𥴍 𥴎 𥴏 𥴐 𥴑 𥴒 𥴓 𥴔 𥴕 𥴖 𥴗 𥴘 𥴙 𥴚 𥴛 𥴜 𥴝 𥴞 𥴟 𥴠 𥴡 𥴢 𥴣 𥴤 𥴥 𥴦 𥴧 𥴨 𥴩 𥴪 𥴫 𥴬 𥴭 𥴮 𥴯 𥴰 𥴱 𥴲 𥴳 𥴴 𥴵 𥴶 𥴷 𥴸 𥴹 𥴺 𥴻 𥴼 𥴽 𥴾 𥴿 𥵀 𥵁 𥵂 𥵃 𥵄 𥵅 𥵆 𥵇 𥵈 𥵉 𥵊 𥵋 𥵌 𥵍 𥵎 𥵏 𥵐 𥵑 𥵒 𥵓 𥵔 𥵕 𥵖 𥵗 𥵘 𥵙 𥵚 𥵛 𥵜 𥵝 𥵞 𥵟 𥵠 𥵡 𥵢 𥵣 𥵤 𥵥 𥵦 𥵧 𥵨 𥵩 𥵪 𥵫 𥵬 𥵭 𥵮 𥵯 𥵰 𥵱 𥵲 𥵳 𥵴 𥵵 𥵶 𥵷 𥵸 𥵹 𥵺 𥵻 𥵼 𥵽 𥵾 𥵿 𥶀 𥶁 𥶂 𥶃 𥶄 𥶅 𥶆 𥶇 𥶈 𥶉 𥶊 𥶋 𥶌 𥶍 𥶎 𥶏 𥶐 𥶑 𥶒 𥶓 𥶔 𥶕 𥶖 𥶗 𥶘 𥶙 𥶚 𥶛 𥶜 𥶝 𥶞 𥶟 𥶠 𥶡 𥶢 𥶣 𥶤 𥶥 𥶦 𥶧 𥶨 𥶩 𥶪 𥶫 𥶬 𥶭 𥶮 𥶯 𥶰 𥶱 𥶲 𥶳 𥶴 𥶵 𥶶 𥶷 𥶸 𥶹 𥶺 𥶻 𥶼 𥶽 𥶾 𥶿 𥷀 𥷁 𥷂 𥷃 𥷄 𥷅 𥷆 𥷇 𥷈 𥷉 𥷊 𥷋 𥷌 𥷍 𥷎 𥷏 𥷐 𥷑 𥷒 𥷓 𥷔 𥷕 𥷖 𥷗 𥷘 𥷙 𥷚 𥷛 𥷜 𥷝 𥷞 𥷟 𥷠 𥷡 𥷢 𥷣 𥷤 𥷥 𥷦 𥷧 𥷨 𥷩 𥷪 𥷫 𥷬 𥷭 𥷮 𥷯 𥷰 𥷱 𥷲 𥷳 𥷴 𥷵 𥷶 𥷷 𥷸 𥷹 𥷺 𥷻 𥷼 𥷽 𥷾 𥷿</t>
        </is>
      </c>
      <c r="P612" s="37" t="inlineStr">
        <is>
          <t>𥴀 𥴁 𥴂 𥴃 𥴄 𥴅 𥴆 𥴇 𥴈 𥴉 𥴊 𥴋 𥴌 𥴍 𥴎 𥴏 𥴐 𥴑 𥴒 𥴓 𥴔 𥴕 𥴖 𥴗 𥴘 𥴙 𥴚 𥴛 𥴜 𥴝 𥴞 𥴟 𥴠 𥴡 𥴢 𥴣 𥴤 𥴥 𥴦 𥴧 𥴨 𥴩 𥴪 𥴫 𥴬 𥴭 𥴮 𥴯 𥴰 𥴱 𥴲 𥴳 𥴴 𥴵 𥴶 𥴷 𥴸 𥴹 𥴺 𥴻 𥴼 𥴽 𥴾 𥴿 𥵀 𥵁 𥵂 𥵃 𥵄 𥵅 𥵆 𥵇 𥵈 𥵉 𥵊 𥵋 𥵌 𥵍 𥵎 𥵏 𥵐 𥵑 𥵒 𥵓 𥵔 𥵕 𥵖 𥵗 𥵘 𥵙 𥵚 𥵛 𥵜 𥵝 𥵞 𥵟 𥵠 𥵡 𥵢 𥵣 𥵤 𥵥 𥵦 𥵧 𥵨 𥵩 𥵪 𥵫 𥵬 𥵭 𥵮 𥵯 𥵰 𥵱 𥵲 𥵳 𥵴 𥵵 𥵶 𥵷 𥵸 𥵹 𥵺 𥵻 𥵼 𥵽 𥵾 𥵿 𥶀 𥶁 𥶂 𥶃 𥶄 𥶅 𥶆 𥶇 𥶈 𥶉 𥶊 𥶋 𥶌 𥶍 𥶎 𥶏 𥶐 𥶑 𥶒 𥶓 𥶔 𥶕 𥶖 𥶗 𥶘 𥶙 𥶚 𥶛 𥶜 𥶝 𥶞 𥶟 𥶠 𥶡 𥶢 𥶣 𥶤 𥶥 𥶦 𥶧 𥶨 𥶩 𥶪 𥶫 𥶬 𥶭 𥶮 𥶯 𥶰 𥶱 𥶲 𥶳 𥶴 𥶵 𥶶 𥶷 𥶸 𥶹 𥶺 𥶻 𥶼 𥶽 𥶾 𥶿 𥷀 𥷁 𥷂 𥷃 𥷄 𥷅 𥷆 𥷇 𥷈 𥷉 𥷊 𥷋 𥷌 𥷍 𥷎 𥷏 𥷐 𥷑 𥷒 𥷓 𥷔 𥷕 𥷖 𥷗 𥷘 𥷙 𥷚 𥷛 𥷜 𥷝 𥷞 𥷟 𥷠 𥷡 𥷢 𥷣 𥷤 𥷥 𥷦 𥷧 𥷨 𥷩 𥷪 𥷫 𥷬 𥷭 𥷮 𥷯 𥷰 𥷱 𥷲 𥷳 𥷴 𥷵 𥷶 𥷷 𥷸 𥷹 𥷺 𥷻 𥷼 𥷽 𥷾 𥷿</t>
        </is>
      </c>
      <c r="Q612" s="38" t="inlineStr">
        <is>
          <t>𥴀 𥴁 𥴂 𥴃 𥴄 𥴅 𥴆 𥴇 𥴈 𥴉 𥴊 𥴋 𥴌 𥴍 𥴎 𥴏 𥴐 𥴑 𥴒 𥴓 𥴔 𥴕 𥴖 𥴗 𥴘 𥴙 𥴚 𥴛 𥴜 𥴝 𥴞 𥴟 𥴠 𥴡 𥴢 𥴣 𥴤 𥴥 𥴦 𥴧 𥴨 𥴩 𥴪 𥴫 𥴬 𥴭 𥴮 𥴯 𥴰 𥴱 𥴲 𥴳 𥴴 𥴵 𥴶 𥴷 𥴸 𥴹 𥴺 𥴻 𥴼 𥴽 𥴾 𥴿 𥵀 𥵁 𥵂 𥵃 𥵄 𥵅 𥵆 𥵇 𥵈 𥵉 𥵊 𥵋 𥵌 𥵍 𥵎 𥵏 𥵐 𥵑 𥵒 𥵓 𥵔 𥵕 𥵖 𥵗 𥵘 𥵙 𥵚 𥵛 𥵜 𥵝 𥵞 𥵟 𥵠 𥵡 𥵢 𥵣 𥵤 𥵥 𥵦 𥵧 𥵨 𥵩 𥵪 𥵫 𥵬 𥵭 𥵮 𥵯 𥵰 𥵱 𥵲 𥵳 𥵴 𥵵 𥵶 𥵷 𥵸 𥵹 𥵺 𥵻 𥵼 𥵽 𥵾 𥵿 𥶀 𥶁 𥶂 𥶃 𥶄 𥶅 𥶆 𥶇 𥶈 𥶉 𥶊 𥶋 𥶌 𥶍 𥶎 𥶏 𥶐 𥶑 𥶒 𥶓 𥶔 𥶕 𥶖 𥶗 𥶘 𥶙 𥶚 𥶛 𥶜 𥶝 𥶞 𥶟 𥶠 𥶡 𥶢 𥶣 𥶤 𥶥 𥶦 𥶧 𥶨 𥶩 𥶪 𥶫 𥶬 𥶭 𥶮 𥶯 𥶰 𥶱 𥶲 𥶳 𥶴 𥶵 𥶶 𥶷 𥶸 𥶹 𥶺 𥶻 𥶼 𥶽 𥶾 𥶿 𥷀 𥷁 𥷂 𥷃 𥷄 𥷅 𥷆 𥷇 𥷈 𥷉 𥷊 𥷋 𥷌 𥷍 𥷎 𥷏 𥷐 𥷑 𥷒 𥷓 𥷔 𥷕 𥷖 𥷗 𥷘 𥷙 𥷚 𥷛 𥷜 𥷝 𥷞 𥷟 𥷠 𥷡 𥷢 𥷣 𥷤 𥷥 𥷦 𥷧 𥷨 𥷩 𥷪 𥷫 𥷬 𥷭 𥷮 𥷯 𥷰 𥷱 𥷲 𥷳 𥷴 𥷵 𥷶 𥷷 𥷸 𥷹 𥷺 𥷻 𥷼 𥷽 𥷾 𥷿</t>
        </is>
      </c>
      <c r="R612" s="43" t="inlineStr">
        <is>
          <t>𥴊 𥶡</t>
        </is>
      </c>
      <c r="S612" s="40" t="n"/>
      <c r="V612" s="14">
        <f>(LEN(O612)+1)/2</f>
        <v/>
      </c>
      <c r="W612" s="14">
        <f>ROUNDDOWN((LEN(P612)+1)/2,0)</f>
        <v/>
      </c>
      <c r="X612" s="14">
        <f>ROUNDDOWN((LEN(Q612)+1)/2,0)</f>
        <v/>
      </c>
      <c r="Y612" s="14">
        <f>ROUNDDOWN((LEN(R612)+1)/2,0)</f>
        <v/>
      </c>
      <c r="Z612" s="14">
        <f>ROUNDDOWN((LEN(S612)+1)/2,0)</f>
        <v/>
      </c>
      <c r="AA612" s="56" t="n">
        <v>46150.55881140499</v>
      </c>
    </row>
    <row r="613" ht="102" customHeight="1">
      <c r="B613" s="46" t="inlineStr">
        <is>
          <t>U+25F00-U+25FFF</t>
        </is>
      </c>
      <c r="C613" s="46" t="inlineStr">
        <is>
          <t>CJK Unified Ideographs Extension B</t>
        </is>
      </c>
      <c r="D613" s="54">
        <f>HEX2DEC(MID(B613,3,FIND("-",E613)-3))</f>
        <v/>
      </c>
      <c r="E613" s="46" t="inlineStr">
        <is>
          <t>U+20000-U+2A6DF</t>
        </is>
      </c>
      <c r="F613" s="12" t="n">
        <v>4</v>
      </c>
      <c r="J613" s="19">
        <f>ROUNDDOWN(W613,0)/$V613</f>
        <v/>
      </c>
      <c r="K613" s="19">
        <f>ROUNDDOWN(X613,0)/$V613</f>
        <v/>
      </c>
      <c r="L613" s="19">
        <f>ROUNDDOWN(Y613,0)/$V613</f>
        <v/>
      </c>
      <c r="M613" s="19">
        <f>ROUNDDOWN(Z613,0)/$V613</f>
        <v/>
      </c>
      <c r="O613" s="36" t="inlineStr">
        <is>
          <t>𥸀 𥸁 𥸂 𥸃 𥸄 𥸅 𥸆 𥸇 𥸈 𥸉 𥸊 𥸋 𥸌 𥸍 𥸎 𥸏 𥸐 𥸑 𥸒 𥸓 𥸔 𥸕 𥸖 𥸗 𥸘 𥸙 𥸚 𥸛 𥸜 𥸝 𥸞 𥸟 𥸠 𥸡 𥸢 𥸣 𥸤 𥸥 𥸦 𥸧 𥸨 𥸩 𥸪 𥸫 𥸬 𥸭 𥸮 𥸯 𥸰 𥸱 𥸲 𥸳 𥸴 𥸵 𥸶 𥸷 𥸸 𥸹 𥸺 𥸻 𥸼 𥸽 𥸾 𥸿 𥹀 𥹁 𥹂 𥹃 𥹄 𥹅 𥹆 𥹇 𥹈 𥹉 𥹊 𥹋 𥹌 𥹍 𥹎 𥹏 𥹐 𥹑 𥹒 𥹓 𥹔 𥹕 𥹖 𥹗 𥹘 𥹙 𥹚 𥹛 𥹜 𥹝 𥹞 𥹟 𥹠 𥹡 𥹢 𥹣 𥹤 𥹥 𥹦 𥹧 𥹨 𥹩 𥹪 𥹫 𥹬 𥹭 𥹮 𥹯 𥹰 𥹱 𥹲 𥹳 𥹴 𥹵 𥹶 𥹷 𥹸 𥹹 𥹺 𥹻 𥹼 𥹽 𥹾 𥹿 𥺀 𥺁 𥺂 𥺃 𥺄 𥺅 𥺆 𥺇 𥺈 𥺉 𥺊 𥺋 𥺌 𥺍 𥺎 𥺏 𥺐 𥺑 𥺒 𥺓 𥺔 𥺕 𥺖 𥺗 𥺘 𥺙 𥺚 𥺛 𥺜 𥺝 𥺞 𥺟 𥺠 𥺡 𥺢 𥺣 𥺤 𥺥 𥺦 𥺧 𥺨 𥺩 𥺪 𥺫 𥺬 𥺭 𥺮 𥺯 𥺰 𥺱 𥺲 𥺳 𥺴 𥺵 𥺶 𥺷 𥺸 𥺹 𥺺 𥺻 𥺼 𥺽 𥺾 𥺿 𥻀 𥻁 𥻂 𥻃 𥻄 𥻅 𥻆 𥻇 𥻈 𥻉 𥻊 𥻋 𥻌 𥻍 𥻎 𥻏 𥻐 𥻑 𥻒 𥻓 𥻔 𥻕 𥻖 𥻗 𥻘 𥻙 𥻚 𥻛 𥻜 𥻝 𥻞 𥻟 𥻠 𥻡 𥻢 𥻣 𥻤 𥻥 𥻦 𥻧 𥻨 𥻩 𥻪 𥻫 𥻬 𥻭 𥻮 𥻯 𥻰 𥻱 𥻲 𥻳 𥻴 𥻵 𥻶 𥻷 𥻸 𥻹 𥻺 𥻻 𥻼 𥻽 𥻾 𥻿</t>
        </is>
      </c>
      <c r="P613" s="37" t="inlineStr">
        <is>
          <t>𥸀 𥸁 𥸂 𥸃 𥸄 𥸅 𥸆 𥸇 𥸈 𥸉 𥸊 𥸋 𥸌 𥸍 𥸎 𥸏 𥸐 𥸑 𥸒 𥸓 𥸔 𥸕 𥸖 𥸗 𥸘 𥸙 𥸚 𥸛 𥸜 𥸝 𥸞 𥸟 𥸠 𥸡 𥸢 𥸣 𥸤 𥸥 𥸦 𥸧 𥸨 𥸩 𥸪 𥸫 𥸬 𥸭 𥸮 𥸯 𥸰 𥸱 𥸲 𥸳 𥸴 𥸵 𥸶 𥸷 𥸸 𥸹 𥸺 𥸻 𥸼 𥸽 𥸾 𥸿 𥹀 𥹁 𥹂 𥹃 𥹄 𥹅 𥹆 𥹇 𥹈 𥹉 𥹊 𥹋 𥹌 𥹍 𥹎 𥹏 𥹐 𥹑 𥹒 𥹓 𥹔 𥹕 𥹖 𥹗 𥹘 𥹙 𥹚 𥹛 𥹜 𥹝 𥹞 𥹟 𥹠 𥹡 𥹢 𥹣 𥹤 𥹥 𥹦 𥹧 𥹨 𥹩 𥹪 𥹫 𥹬 𥹭 𥹮 𥹯 𥹰 𥹱 𥹲 𥹳 𥹴 𥹵 𥹶 𥹷 𥹸 𥹹 𥹺 𥹻 𥹼 𥹽 𥹾 𥹿 𥺀 𥺁 𥺂 𥺃 𥺄 𥺅 𥺆 𥺇 𥺈 𥺉 𥺊 𥺋 𥺌 𥺍 𥺎 𥺏 𥺐 𥺑 𥺒 𥺓 𥺔 𥺕 𥺖 𥺗 𥺘 𥺙 𥺚 𥺛 𥺜 𥺝 𥺞 𥺟 𥺠 𥺡 𥺢 𥺣 𥺤 𥺥 𥺦 𥺧 𥺨 𥺩 𥺪 𥺫 𥺬 𥺭 𥺮 𥺯 𥺰 𥺱 𥺲 𥺳 𥺴 𥺵 𥺶 𥺷 𥺸 𥺹 𥺺 𥺻 𥺼 𥺽 𥺾 𥺿 𥻀 𥻁 𥻂 𥻃 𥻄 𥻅 𥻆 𥻇 𥻈 𥻉 𥻊 𥻋 𥻌 𥻍 𥻎 𥻏 𥻐 𥻑 𥻒 𥻓 𥻔 𥻕 𥻖 𥻗 𥻘 𥻙 𥻚 𥻛 𥻜 𥻝 𥻞 𥻟 𥻠 𥻡 𥻢 𥻣 𥻤 𥻥 𥻦 𥻧 𥻨 𥻩 𥻪 𥻫 𥻬 𥻭 𥻮 𥻯 𥻰 𥻱 𥻲 𥻳 𥻴 𥻵 𥻶 𥻷 𥻸 𥻹 𥻺 𥻻 𥻼 𥻽 𥻾 𥻿</t>
        </is>
      </c>
      <c r="Q613" s="38" t="inlineStr">
        <is>
          <t>𥸀 𥸁 𥸂 𥸃 𥸄 𥸅 𥸆 𥸇 𥸈 𥸉 𥸊 𥸋 𥸌 𥸍 𥸎 𥸏 𥸐 𥸑 𥸒 𥸓 𥸔 𥸕 𥸖 𥸗 𥸘 𥸙 𥸚 𥸛 𥸜 𥸝 𥸞 𥸟 𥸠 𥸡 𥸢 𥸣 𥸤 𥸥 𥸦 𥸧 𥸨 𥸩 𥸪 𥸫 𥸬 𥸭 𥸮 𥸯 𥸰 𥸱 𥸲 𥸳 𥸴 𥸵 𥸶 𥸷 𥸸 𥸹 𥸺 𥸻 𥸼 𥸽 𥸾 𥸿 𥹀 𥹁 𥹂 𥹃 𥹄 𥹅 𥹆 𥹇 𥹈 𥹉 𥹊 𥹋 𥹌 𥹍 𥹎 𥹏 𥹐 𥹑 𥹒 𥹓 𥹔 𥹕 𥹖 𥹗 𥹘 𥹙 𥹚 𥹛 𥹜 𥹝 𥹞 𥹟 𥹠 𥹡 𥹢 𥹣 𥹤 𥹥 𥹦 𥹧 𥹨 𥹩 𥹪 𥹫 𥹬 𥹭 𥹮 𥹯 𥹰 𥹱 𥹲 𥹳 𥹴 𥹵 𥹶 𥹷 𥹸 𥹹 𥹺 𥹻 𥹼 𥹽 𥹾 𥹿 𥺀 𥺁 𥺂 𥺃 𥺄 𥺅 𥺆 𥺇 𥺈 𥺉 𥺊 𥺋 𥺌 𥺍 𥺎 𥺏 𥺐 𥺑 𥺒 𥺓 𥺔 𥺕 𥺖 𥺗 𥺘 𥺙 𥺚 𥺛 𥺜 𥺝 𥺞 𥺟 𥺠 𥺡 𥺢 𥺣 𥺤 𥺥 𥺦 𥺧 𥺨 𥺩 𥺪 𥺫 𥺬 𥺭 𥺮 𥺯 𥺰 𥺱 𥺲 𥺳 𥺴 𥺵 𥺶 𥺷 𥺸 𥺹 𥺺 𥺻 𥺼 𥺽 𥺾 𥺿 𥻀 𥻁 𥻂 𥻃 𥻄 𥻅 𥻆 𥻇 𥻈 𥻉 𥻊 𥻋 𥻌 𥻍 𥻎 𥻏 𥻐 𥻑 𥻒 𥻓 𥻔 𥻕 𥻖 𥻗 𥻘 𥻙 𥻚 𥻛 𥻜 𥻝 𥻞 𥻟 𥻠 𥻡 𥻢 𥻣 𥻤 𥻥 𥻦 𥻧 𥻨 𥻩 𥻪 𥻫 𥻬 𥻭 𥻮 𥻯 𥻰 𥻱 𥻲 𥻳 𥻴 𥻵 𥻶 𥻷 𥻸 𥻹 𥻺 𥻻 𥻼 𥻽 𥻾 𥻿</t>
        </is>
      </c>
      <c r="R613" s="43" t="inlineStr">
        <is>
          <t>𥸮 𥹖 𥹢 𥺆 𥻂 𥻗 𥻘 𥻨 𥻵</t>
        </is>
      </c>
      <c r="S613" s="40" t="n"/>
      <c r="V613" s="14">
        <f>(LEN(O613)+1)/2</f>
        <v/>
      </c>
      <c r="W613" s="14">
        <f>ROUNDDOWN((LEN(P613)+1)/2,0)</f>
        <v/>
      </c>
      <c r="X613" s="14">
        <f>ROUNDDOWN((LEN(Q613)+1)/2,0)</f>
        <v/>
      </c>
      <c r="Y613" s="14">
        <f>ROUNDDOWN((LEN(R613)+1)/2,0)</f>
        <v/>
      </c>
      <c r="Z613" s="14">
        <f>ROUNDDOWN((LEN(S613)+1)/2,0)</f>
        <v/>
      </c>
      <c r="AA613" s="56" t="n">
        <v>46150.55881254867</v>
      </c>
    </row>
    <row r="614" ht="102" customHeight="1">
      <c r="B614" s="46" t="inlineStr">
        <is>
          <t>U+26000-U+260FF</t>
        </is>
      </c>
      <c r="C614" s="46" t="inlineStr">
        <is>
          <t>CJK Unified Ideographs Extension B</t>
        </is>
      </c>
      <c r="D614" s="54">
        <f>HEX2DEC(MID(B614,3,FIND("-",E614)-3))</f>
        <v/>
      </c>
      <c r="E614" s="46" t="inlineStr">
        <is>
          <t>U+20000-U+2A6DF</t>
        </is>
      </c>
      <c r="F614" s="12" t="n">
        <v>4</v>
      </c>
      <c r="J614" s="19">
        <f>ROUNDDOWN(W614,0)/$V614</f>
        <v/>
      </c>
      <c r="K614" s="19">
        <f>ROUNDDOWN(X614,0)/$V614</f>
        <v/>
      </c>
      <c r="L614" s="19">
        <f>ROUNDDOWN(Y614,0)/$V614</f>
        <v/>
      </c>
      <c r="M614" s="19">
        <f>ROUNDDOWN(Z614,0)/$V614</f>
        <v/>
      </c>
      <c r="O614" s="36" t="inlineStr">
        <is>
          <t>𥼀 𥼁 𥼂 𥼃 𥼄 𥼅 𥼆 𥼇 𥼈 𥼉 𥼊 𥼋 𥼌 𥼍 𥼎 𥼏 𥼐 𥼑 𥼒 𥼓 𥼔 𥼕 𥼖 𥼗 𥼘 𥼙 𥼚 𥼛 𥼜 𥼝 𥼞 𥼟 𥼠 𥼡 𥼢 𥼣 𥼤 𥼥 𥼦 𥼧 𥼨 𥼩 𥼪 𥼫 𥼬 𥼭 𥼮 𥼯 𥼰 𥼱 𥼲 𥼳 𥼴 𥼵 𥼶 𥼷 𥼸 𥼹 𥼺 𥼻 𥼼 𥼽 𥼾 𥼿 𥽀 𥽁 𥽂 𥽃 𥽄 𥽅 𥽆 𥽇 𥽈 𥽉 𥽊 𥽋 𥽌 𥽍 𥽎 𥽏 𥽐 𥽑 𥽒 𥽓 𥽔 𥽕 𥽖 𥽗 𥽘 𥽙 𥽚 𥽛 𥽜 𥽝 𥽞 𥽟 𥽠 𥽡 𥽢 𥽣 𥽤 𥽥 𥽦 𥽧 𥽨 𥽩 𥽪 𥽫 𥽬 𥽭 𥽮 𥽯 𥽰 𥽱 𥽲 𥽳 𥽴 𥽵 𥽶 𥽷 𥽸 𥽹 𥽺 𥽻 𥽼 𥽽 𥽾 𥽿 𥾀 𥾁 𥾂 𥾃 𥾄 𥾅 𥾆 𥾇 𥾈 𥾉 𥾊 𥾋 𥾌 𥾍 𥾎 𥾏 𥾐 𥾑 𥾒 𥾓 𥾔 𥾕 𥾖 𥾗 𥾘 𥾙 𥾚 𥾛 𥾜 𥾝 𥾞 𥾟 𥾠 𥾡 𥾢 𥾣 𥾤 𥾥 𥾦 𥾧 𥾨 𥾩 𥾪 𥾫 𥾬 𥾭 𥾮 𥾯 𥾰 𥾱 𥾲 𥾳 𥾴 𥾵 𥾶 𥾷 𥾸 𥾹 𥾺 𥾻 𥾼 𥾽 𥾾 𥾿 𥿀 𥿁 𥿂 𥿃 𥿄 𥿅 𥿆 𥿇 𥿈 𥿉 𥿊 𥿋 𥿌 𥿍 𥿎 𥿏 𥿐 𥿑 𥿒 𥿓 𥿔 𥿕 𥿖 𥿗 𥿘 𥿙 𥿚 𥿛 𥿜 𥿝 𥿞 𥿟 𥿠 𥿡 𥿢 𥿣 𥿤 𥿥 𥿦 𥿧 𥿨 𥿩 𥿪 𥿫 𥿬 𥿭 𥿮 𥿯 𥿰 𥿱 𥿲 𥿳 𥿴 𥿵 𥿶 𥿷 𥿸 𥿹 𥿺 𥿻 𥿼 𥿽 𥿾 𥿿</t>
        </is>
      </c>
      <c r="P614" s="37" t="inlineStr">
        <is>
          <t>𥼀 𥼁 𥼂 𥼃 𥼄 𥼅 𥼆 𥼇 𥼈 𥼉 𥼊 𥼋 𥼌 𥼍 𥼎 𥼏 𥼐 𥼑 𥼒 𥼓 𥼔 𥼕 𥼖 𥼗 𥼘 𥼙 𥼚 𥼛 𥼜 𥼝 𥼞 𥼟 𥼠 𥼡 𥼢 𥼣 𥼤 𥼥 𥼦 𥼧 𥼨 𥼩 𥼪 𥼫 𥼬 𥼭 𥼮 𥼯 𥼰 𥼱 𥼲 𥼳 𥼴 𥼵 𥼶 𥼷 𥼸 𥼹 𥼺 𥼻 𥼼 𥼽 𥼾 𥼿 𥽀 𥽁 𥽂 𥽃 𥽄 𥽅 𥽆 𥽇 𥽈 𥽉 𥽊 𥽋 𥽌 𥽍 𥽎 𥽏 𥽐 𥽑 𥽒 𥽓 𥽔 𥽕 𥽖 𥽗 𥽘 𥽙 𥽚 𥽛 𥽜 𥽝 𥽞 𥽟 𥽠 𥽡 𥽢 𥽣 𥽤 𥽥 𥽦 𥽧 𥽨 𥽩 𥽪 𥽫 𥽬 𥽭 𥽮 𥽯 𥽰 𥽱 𥽲 𥽳 𥽴 𥽵 𥽶 𥽷 𥽸 𥽹 𥽺 𥽻 𥽼 𥽽 𥽾 𥽿 𥾀 𥾁 𥾂 𥾃 𥾄 𥾅 𥾆 𥾇 𥾈 𥾉 𥾊 𥾋 𥾌 𥾍 𥾎 𥾏 𥾐 𥾑 𥾒 𥾓 𥾔 𥾕 𥾖 𥾗 𥾘 𥾙 𥾚 𥾛 𥾜 𥾝 𥾞 𥾟 𥾠 𥾡 𥾢 𥾣 𥾤 𥾥 𥾦 𥾧 𥾨 𥾩 𥾪 𥾫 𥾬 𥾭 𥾮 𥾯 𥾰 𥾱 𥾲 𥾳 𥾴 𥾵 𥾶 𥾷 𥾸 𥾹 𥾺 𥾻 𥾼 𥾽 𥾾 𥾿 𥿀 𥿁 𥿂 𥿃 𥿄 𥿅 𥿆 𥿇 𥿈 𥿉 𥿊 𥿋 𥿌 𥿍 𥿎 𥿏 𥿐 𥿑 𥿒 𥿓 𥿔 𥿕 𥿖 𥿗 𥿘 𥿙 𥿚 𥿛 𥿜 𥿝 𥿞 𥿟 𥿠 𥿡 𥿢 𥿣 𥿤 𥿥 𥿦 𥿧 𥿨 𥿩 𥿪 𥿫 𥿬 𥿭 𥿮 𥿯 𥿰 𥿱 𥿲 𥿳 𥿴 𥿵 𥿶 𥿷 𥿸 𥿹 𥿺 𥿻 𥿼 𥿽 𥿾 𥿿</t>
        </is>
      </c>
      <c r="Q614" s="38" t="inlineStr">
        <is>
          <t>𥼀 𥼁 𥼂 𥼃 𥼄 𥼅 𥼆 𥼇 𥼈 𥼉 𥼊 𥼋 𥼌 𥼍 𥼎 𥼏 𥼐 𥼑 𥼒 𥼓 𥼔 𥼕 𥼖 𥼗 𥼘 𥼙 𥼚 𥼛 𥼜 𥼝 𥼞 𥼟 𥼠 𥼡 𥼢 𥼣 𥼤 𥼥 𥼦 𥼧 𥼨 𥼩 𥼪 𥼫 𥼬 𥼭 𥼮 𥼯 𥼰 𥼱 𥼲 𥼳 𥼴 𥼵 𥼶 𥼷 𥼸 𥼹 𥼺 𥼻 𥼼 𥼽 𥼾 𥼿 𥽀 𥽁 𥽂 𥽃 𥽄 𥽅 𥽆 𥽇 𥽈 𥽉 𥽊 𥽋 𥽌 𥽍 𥽎 𥽏 𥽐 𥽑 𥽒 𥽓 𥽔 𥽕 𥽖 𥽗 𥽘 𥽙 𥽚 𥽛 𥽜 𥽝 𥽞 𥽟 𥽠 𥽡 𥽢 𥽣 𥽤 𥽥 𥽦 𥽧 𥽨 𥽩 𥽪 𥽫 𥽬 𥽭 𥽮 𥽯 𥽰 𥽱 𥽲 𥽳 𥽴 𥽵 𥽶 𥽷 𥽸 𥽹 𥽺 𥽻 𥽼 𥽽 𥽾 𥽿 𥾀 𥾁 𥾂 𥾃 𥾄 𥾅 𥾆 𥾇 𥾈 𥾉 𥾊 𥾋 𥾌 𥾍 𥾎 𥾏 𥾐 𥾑 𥾒 𥾓 𥾔 𥾕 𥾖 𥾗 𥾘 𥾙 𥾚 𥾛 𥾜 𥾝 𥾞 𥾟 𥾠 𥾡 𥾢 𥾣 𥾤 𥾥 𥾦 𥾧 𥾨 𥾩 𥾪 𥾫 𥾬 𥾭 𥾮 𥾯 𥾰 𥾱 𥾲 𥾳 𥾴 𥾵 𥾶 𥾷 𥾸 𥾹 𥾺 𥾻 𥾼 𥾽 𥾾 𥾿 𥿀 𥿁 𥿂 𥿃 𥿄 𥿅 𥿆 𥿇 𥿈 𥿉 𥿊 𥿋 𥿌 𥿍 𥿎 𥿏 𥿐 𥿑 𥿒 𥿓 𥿔 𥿕 𥿖 𥿗 𥿘 𥿙 𥿚 𥿛 𥿜 𥿝 𥿞 𥿟 𥿠 𥿡 𥿢 𥿣 𥿤 𥿥 𥿦 𥿧 𥿨 𥿩 𥿪 𥿫 𥿬 𥿭 𥿮 𥿯 𥿰 𥿱 𥿲 𥿳 𥿴 𥿵 𥿶 𥿷 𥿸 𥿹 𥿺 𥿻 𥿼 𥿽 𥿾 𥿿</t>
        </is>
      </c>
      <c r="R614" s="43" t="inlineStr">
        <is>
          <t>𥼣 𥽜 𥿔 𥿠</t>
        </is>
      </c>
      <c r="S614" s="40" t="n"/>
      <c r="V614" s="14">
        <f>(LEN(O614)+1)/2</f>
        <v/>
      </c>
      <c r="W614" s="14">
        <f>ROUNDDOWN((LEN(P614)+1)/2,0)</f>
        <v/>
      </c>
      <c r="X614" s="14">
        <f>ROUNDDOWN((LEN(Q614)+1)/2,0)</f>
        <v/>
      </c>
      <c r="Y614" s="14">
        <f>ROUNDDOWN((LEN(R614)+1)/2,0)</f>
        <v/>
      </c>
      <c r="Z614" s="14">
        <f>ROUNDDOWN((LEN(S614)+1)/2,0)</f>
        <v/>
      </c>
      <c r="AA614" s="56" t="n">
        <v>46150.55881369761</v>
      </c>
    </row>
    <row r="615" ht="102" customHeight="1">
      <c r="B615" s="46" t="inlineStr">
        <is>
          <t>U+26100-U+261FF</t>
        </is>
      </c>
      <c r="C615" s="46" t="inlineStr">
        <is>
          <t>CJK Unified Ideographs Extension B</t>
        </is>
      </c>
      <c r="D615" s="54">
        <f>HEX2DEC(MID(B615,3,FIND("-",E615)-3))</f>
        <v/>
      </c>
      <c r="E615" s="46" t="inlineStr">
        <is>
          <t>U+20000-U+2A6DF</t>
        </is>
      </c>
      <c r="F615" s="12" t="n">
        <v>4</v>
      </c>
      <c r="J615" s="19">
        <f>ROUNDDOWN(W615,0)/$V615</f>
        <v/>
      </c>
      <c r="K615" s="19">
        <f>ROUNDDOWN(X615,0)/$V615</f>
        <v/>
      </c>
      <c r="L615" s="19">
        <f>ROUNDDOWN(Y615,0)/$V615</f>
        <v/>
      </c>
      <c r="M615" s="19">
        <f>ROUNDDOWN(Z615,0)/$V615</f>
        <v/>
      </c>
      <c r="O615" s="36" t="inlineStr">
        <is>
          <t>𦀀 𦀁 𦀂 𦀃 𦀄 𦀅 𦀆 𦀇 𦀈 𦀉 𦀊 𦀋 𦀌 𦀍 𦀎 𦀏 𦀐 𦀑 𦀒 𦀓 𦀔 𦀕 𦀖 𦀗 𦀘 𦀙 𦀚 𦀛 𦀜 𦀝 𦀞 𦀟 𦀠 𦀡 𦀢 𦀣 𦀤 𦀥 𦀦 𦀧 𦀨 𦀩 𦀪 𦀫 𦀬 𦀭 𦀮 𦀯 𦀰 𦀱 𦀲 𦀳 𦀴 𦀵 𦀶 𦀷 𦀸 𦀹 𦀺 𦀻 𦀼 𦀽 𦀾 𦀿 𦁀 𦁁 𦁂 𦁃 𦁄 𦁅 𦁆 𦁇 𦁈 𦁉 𦁊 𦁋 𦁌 𦁍 𦁎 𦁏 𦁐 𦁑 𦁒 𦁓 𦁔 𦁕 𦁖 𦁗 𦁘 𦁙 𦁚 𦁛 𦁜 𦁝 𦁞 𦁟 𦁠 𦁡 𦁢 𦁣 𦁤 𦁥 𦁦 𦁧 𦁨 𦁩 𦁪 𦁫 𦁬 𦁭 𦁮 𦁯 𦁰 𦁱 𦁲 𦁳 𦁴 𦁵 𦁶 𦁷 𦁸 𦁹 𦁺 𦁻 𦁼 𦁽 𦁾 𦁿 𦂀 𦂁 𦂂 𦂃 𦂄 𦂅 𦂆 𦂇 𦂈 𦂉 𦂊 𦂋 𦂌 𦂍 𦂎 𦂏 𦂐 𦂑 𦂒 𦂓 𦂔 𦂕 𦂖 𦂗 𦂘 𦂙 𦂚 𦂛 𦂜 𦂝 𦂞 𦂟 𦂠 𦂡 𦂢 𦂣 𦂤 𦂥 𦂦 𦂧 𦂨 𦂩 𦂪 𦂫 𦂬 𦂭 𦂮 𦂯 𦂰 𦂱 𦂲 𦂳 𦂴 𦂵 𦂶 𦂷 𦂸 𦂹 𦂺 𦂻 𦂼 𦂽 𦂾 𦂿 𦃀 𦃁 𦃂 𦃃 𦃄 𦃅 𦃆 𦃇 𦃈 𦃉 𦃊 𦃋 𦃌 𦃍 𦃎 𦃏 𦃐 𦃑 𦃒 𦃓 𦃔 𦃕 𦃖 𦃗 𦃘 𦃙 𦃚 𦃛 𦃜 𦃝 𦃞 𦃟 𦃠 𦃡 𦃢 𦃣 𦃤 𦃥 𦃦 𦃧 𦃨 𦃩 𦃪 𦃫 𦃬 𦃭 𦃮 𦃯 𦃰 𦃱 𦃲 𦃳 𦃴 𦃵 𦃶 𦃷 𦃸 𦃹 𦃺 𦃻 𦃼 𦃽 𦃾 𦃿</t>
        </is>
      </c>
      <c r="P615" s="37" t="inlineStr">
        <is>
          <t>𦀀 𦀁 𦀂 𦀃 𦀄 𦀅 𦀆 𦀇 𦀈 𦀉 𦀊 𦀋 𦀌 𦀍 𦀎 𦀏 𦀐 𦀑 𦀒 𦀓 𦀔 𦀕 𦀖 𦀗 𦀘 𦀙 𦀚 𦀛 𦀜 𦀝 𦀞 𦀟 𦀠 𦀡 𦀢 𦀣 𦀤 𦀥 𦀦 𦀧 𦀨 𦀩 𦀪 𦀫 𦀬 𦀭 𦀮 𦀯 𦀰 𦀱 𦀲 𦀳 𦀴 𦀵 𦀶 𦀷 𦀸 𦀹 𦀺 𦀻 𦀼 𦀽 𦀾 𦀿 𦁀 𦁁 𦁂 𦁃 𦁄 𦁅 𦁆 𦁇 𦁈 𦁉 𦁊 𦁋 𦁌 𦁍 𦁎 𦁏 𦁐 𦁑 𦁒 𦁓 𦁔 𦁕 𦁖 𦁗 𦁘 𦁙 𦁚 𦁛 𦁜 𦁝 𦁞 𦁟 𦁠 𦁡 𦁢 𦁣 𦁤 𦁥 𦁦 𦁧 𦁨 𦁩 𦁪 𦁫 𦁬 𦁭 𦁮 𦁯 𦁰 𦁱 𦁲 𦁳 𦁴 𦁵 𦁶 𦁷 𦁸 𦁹 𦁺 𦁻 𦁼 𦁽 𦁾 𦁿 𦂀 𦂁 𦂂 𦂃 𦂄 𦂅 𦂆 𦂇 𦂈 𦂉 𦂊 𦂋 𦂌 𦂍 𦂎 𦂏 𦂐 𦂑 𦂒 𦂓 𦂔 𦂕 𦂖 𦂗 𦂘 𦂙 𦂚 𦂛 𦂜 𦂝 𦂞 𦂟 𦂠 𦂡 𦂢 𦂣 𦂤 𦂥 𦂦 𦂧 𦂨 𦂩 𦂪 𦂫 𦂬 𦂭 𦂮 𦂯 𦂰 𦂱 𦂲 𦂳 𦂴 𦂵 𦂶 𦂷 𦂸 𦂹 𦂺 𦂻 𦂼 𦂽 𦂾 𦂿 𦃀 𦃁 𦃂 𦃃 𦃄 𦃅 𦃆 𦃇 𦃈 𦃉 𦃊 𦃋 𦃌 𦃍 𦃎 𦃏 𦃐 𦃑 𦃒 𦃓 𦃔 𦃕 𦃖 𦃗 𦃘 𦃙 𦃚 𦃛 𦃜 𦃝 𦃞 𦃟 𦃠 𦃡 𦃢 𦃣 𦃤 𦃥 𦃦 𦃧 𦃨 𦃩 𦃪 𦃫 𦃬 𦃭 𦃮 𦃯 𦃰 𦃱 𦃲 𦃳 𦃴 𦃵 𦃶 𦃷 𦃸 𦃹 𦃺 𦃻 𦃼 𦃽 𦃾 𦃿</t>
        </is>
      </c>
      <c r="Q615" s="38" t="inlineStr">
        <is>
          <t>𦀀 𦀁 𦀂 𦀃 𦀄 𦀅 𦀆 𦀇 𦀈 𦀉 𦀊 𦀋 𦀌 𦀍 𦀎 𦀏 𦀐 𦀑 𦀒 𦀓 𦀔 𦀕 𦀖 𦀗 𦀘 𦀙 𦀚 𦀛 𦀜 𦀝 𦀞 𦀟 𦀠 𦀡 𦀢 𦀣 𦀤 𦀥 𦀦 𦀧 𦀨 𦀩 𦀪 𦀫 𦀬 𦀭 𦀮 𦀯 𦀰 𦀱 𦀲 𦀳 𦀴 𦀵 𦀶 𦀷 𦀸 𦀹 𦀺 𦀻 𦀼 𦀽 𦀾 𦀿 𦁀 𦁁 𦁂 𦁃 𦁄 𦁅 𦁆 𦁇 𦁈 𦁉 𦁊 𦁋 𦁌 𦁍 𦁎 𦁏 𦁐 𦁑 𦁒 𦁓 𦁔 𦁕 𦁖 𦁗 𦁘 𦁙 𦁚 𦁛 𦁜 𦁝 𦁞 𦁟 𦁠 𦁡 𦁢 𦁣 𦁤 𦁥 𦁦 𦁧 𦁨 𦁩 𦁪 𦁫 𦁬 𦁭 𦁮 𦁯 𦁰 𦁱 𦁲 𦁳 𦁴 𦁵 𦁶 𦁷 𦁸 𦁹 𦁺 𦁻 𦁼 𦁽 𦁾 𦁿 𦂀 𦂁 𦂂 𦂃 𦂄 𦂅 𦂆 𦂇 𦂈 𦂉 𦂊 𦂋 𦂌 𦂍 𦂎 𦂏 𦂐 𦂑 𦂒 𦂓 𦂔 𦂕 𦂖 𦂗 𦂘 𦂙 𦂚 𦂛 𦂜 𦂝 𦂞 𦂟 𦂠 𦂡 𦂢 𦂣 𦂤 𦂥 𦂦 𦂧 𦂨 𦂩 𦂪 𦂫 𦂬 𦂭 𦂮 𦂯 𦂰 𦂱 𦂲 𦂳 𦂴 𦂵 𦂶 𦂷 𦂸 𦂹 𦂺 𦂻 𦂼 𦂽 𦂾 𦂿 𦃀 𦃁 𦃂 𦃃 𦃄 𦃅 𦃆 𦃇 𦃈 𦃉 𦃊 𦃋 𦃌 𦃍 𦃎 𦃏 𦃐 𦃑 𦃒 𦃓 𦃔 𦃕 𦃖 𦃗 𦃘 𦃙 𦃚 𦃛 𦃜 𦃝 𦃞 𦃟 𦃠 𦃡 𦃢 𦃣 𦃤 𦃥 𦃦 𦃧 𦃨 𦃩 𦃪 𦃫 𦃬 𦃭 𦃮 𦃯 𦃰 𦃱 𦃲 𦃳 𦃴 𦃵 𦃶 𦃷 𦃸 𦃹 𦃺 𦃻 𦃼 𦃽 𦃾 𦃿</t>
        </is>
      </c>
      <c r="R615" s="43" t="inlineStr">
        <is>
          <t>𦀌 𦀗 𦁠 𦃭</t>
        </is>
      </c>
      <c r="S615" s="40" t="n"/>
      <c r="V615" s="14">
        <f>(LEN(O615)+1)/2</f>
        <v/>
      </c>
      <c r="W615" s="14">
        <f>ROUNDDOWN((LEN(P615)+1)/2,0)</f>
        <v/>
      </c>
      <c r="X615" s="14">
        <f>ROUNDDOWN((LEN(Q615)+1)/2,0)</f>
        <v/>
      </c>
      <c r="Y615" s="14">
        <f>ROUNDDOWN((LEN(R615)+1)/2,0)</f>
        <v/>
      </c>
      <c r="Z615" s="14">
        <f>ROUNDDOWN((LEN(S615)+1)/2,0)</f>
        <v/>
      </c>
      <c r="AA615" s="56" t="n">
        <v>46150.55881486233</v>
      </c>
    </row>
    <row r="616" ht="102" customHeight="1">
      <c r="B616" s="46" t="inlineStr">
        <is>
          <t>U+26200-U+262FF</t>
        </is>
      </c>
      <c r="C616" s="46" t="inlineStr">
        <is>
          <t>CJK Unified Ideographs Extension B</t>
        </is>
      </c>
      <c r="D616" s="54">
        <f>HEX2DEC(MID(B616,3,FIND("-",E616)-3))</f>
        <v/>
      </c>
      <c r="E616" s="46" t="inlineStr">
        <is>
          <t>U+20000-U+2A6DF</t>
        </is>
      </c>
      <c r="F616" s="12" t="n">
        <v>4</v>
      </c>
      <c r="J616" s="19">
        <f>ROUNDDOWN(W616,0)/$V616</f>
        <v/>
      </c>
      <c r="K616" s="19">
        <f>ROUNDDOWN(X616,0)/$V616</f>
        <v/>
      </c>
      <c r="L616" s="19">
        <f>ROUNDDOWN(Y616,0)/$V616</f>
        <v/>
      </c>
      <c r="M616" s="19">
        <f>ROUNDDOWN(Z616,0)/$V616</f>
        <v/>
      </c>
      <c r="O616" s="36" t="inlineStr">
        <is>
          <t>𦄀 𦄁 𦄂 𦄃 𦄄 𦄅 𦄆 𦄇 𦄈 𦄉 𦄊 𦄋 𦄌 𦄍 𦄎 𦄏 𦄐 𦄑 𦄒 𦄓 𦄔 𦄕 𦄖 𦄗 𦄘 𦄙 𦄚 𦄛 𦄜 𦄝 𦄞 𦄟 𦄠 𦄡 𦄢 𦄣 𦄤 𦄥 𦄦 𦄧 𦄨 𦄩 𦄪 𦄫 𦄬 𦄭 𦄮 𦄯 𦄰 𦄱 𦄲 𦄳 𦄴 𦄵 𦄶 𦄷 𦄸 𦄹 𦄺 𦄻 𦄼 𦄽 𦄾 𦄿 𦅀 𦅁 𦅂 𦅃 𦅄 𦅅 𦅆 𦅇 𦅈 𦅉 𦅊 𦅋 𦅌 𦅍 𦅎 𦅏 𦅐 𦅑 𦅒 𦅓 𦅔 𦅕 𦅖 𦅗 𦅘 𦅙 𦅚 𦅛 𦅜 𦅝 𦅞 𦅟 𦅠 𦅡 𦅢 𦅣 𦅤 𦅥 𦅦 𦅧 𦅨 𦅩 𦅪 𦅫 𦅬 𦅭 𦅮 𦅯 𦅰 𦅱 𦅲 𦅳 𦅴 𦅵 𦅶 𦅷 𦅸 𦅹 𦅺 𦅻 𦅼 𦅽 𦅾 𦅿 𦆀 𦆁 𦆂 𦆃 𦆄 𦆅 𦆆 𦆇 𦆈 𦆉 𦆊 𦆋 𦆌 𦆍 𦆎 𦆏 𦆐 𦆑 𦆒 𦆓 𦆔 𦆕 𦆖 𦆗 𦆘 𦆙 𦆚 𦆛 𦆜 𦆝 𦆞 𦆟 𦆠 𦆡 𦆢 𦆣 𦆤 𦆥 𦆦 𦆧 𦆨 𦆩 𦆪 𦆫 𦆬 𦆭 𦆮 𦆯 𦆰 𦆱 𦆲 𦆳 𦆴 𦆵 𦆶 𦆷 𦆸 𦆹 𦆺 𦆻 𦆼 𦆽 𦆾 𦆿 𦇀 𦇁 𦇂 𦇃 𦇄 𦇅 𦇆 𦇇 𦇈 𦇉 𦇊 𦇋 𦇌 𦇍 𦇎 𦇏 𦇐 𦇑 𦇒 𦇓 𦇔 𦇕 𦇖 𦇗 𦇘 𦇙 𦇚 𦇛 𦇜 𦇝 𦇞 𦇟 𦇠 𦇡 𦇢 𦇣 𦇤 𦇥 𦇦 𦇧 𦇨 𦇩 𦇪 𦇫 𦇬 𦇭 𦇮 𦇯 𦇰 𦇱 𦇲 𦇳 𦇴 𦇵 𦇶 𦇷 𦇸 𦇹 𦇺 𦇻 𦇼 𦇽 𦇾 𦇿</t>
        </is>
      </c>
      <c r="P616" s="37" t="inlineStr">
        <is>
          <t>𦄀 𦄁 𦄂 𦄃 𦄄 𦄅 𦄆 𦄇 𦄈 𦄉 𦄊 𦄋 𦄌 𦄍 𦄎 𦄏 𦄐 𦄑 𦄒 𦄓 𦄔 𦄕 𦄖 𦄗 𦄘 𦄙 𦄚 𦄛 𦄜 𦄝 𦄞 𦄟 𦄠 𦄡 𦄢 𦄣 𦄤 𦄥 𦄦 𦄧 𦄨 𦄩 𦄪 𦄫 𦄬 𦄭 𦄮 𦄯 𦄰 𦄱 𦄲 𦄳 𦄴 𦄵 𦄶 𦄷 𦄸 𦄹 𦄺 𦄻 𦄼 𦄽 𦄾 𦄿 𦅀 𦅁 𦅂 𦅃 𦅄 𦅅 𦅆 𦅇 𦅈 𦅉 𦅊 𦅋 𦅌 𦅍 𦅎 𦅏 𦅐 𦅑 𦅒 𦅓 𦅔 𦅕 𦅖 𦅗 𦅘 𦅙 𦅚 𦅛 𦅜 𦅝 𦅞 𦅟 𦅠 𦅡 𦅢 𦅣 𦅤 𦅥 𦅦 𦅧 𦅨 𦅩 𦅪 𦅫 𦅬 𦅭 𦅮 𦅯 𦅰 𦅱 𦅲 𦅳 𦅴 𦅵 𦅶 𦅷 𦅸 𦅹 𦅺 𦅻 𦅼 𦅽 𦅾 𦅿 𦆀 𦆁 𦆂 𦆃 𦆄 𦆅 𦆆 𦆇 𦆈 𦆉 𦆊 𦆋 𦆌 𦆍 𦆎 𦆏 𦆐 𦆑 𦆒 𦆓 𦆔 𦆕 𦆖 𦆗 𦆘 𦆙 𦆚 𦆛 𦆜 𦆝 𦆞 𦆟 𦆠 𦆡 𦆢 𦆣 𦆤 𦆥 𦆦 𦆧 𦆨 𦆩 𦆪 𦆫 𦆬 𦆭 𦆮 𦆯 𦆰 𦆱 𦆲 𦆳 𦆴 𦆵 𦆶 𦆷 𦆸 𦆹 𦆺 𦆻 𦆼 𦆽 𦆾 𦆿 𦇀 𦇁 𦇂 𦇃 𦇄 𦇅 𦇆 𦇇 𦇈 𦇉 𦇊 𦇋 𦇌 𦇍 𦇎 𦇏 𦇐 𦇑 𦇒 𦇓 𦇔 𦇕 𦇖 𦇗 𦇘 𦇙 𦇚 𦇛 𦇜 𦇝 𦇞 𦇟 𦇠 𦇡 𦇢 𦇣 𦇤 𦇥 𦇦 𦇧 𦇨 𦇩 𦇪 𦇫 𦇬 𦇭 𦇮 𦇯 𦇰 𦇱 𦇲 𦇳 𦇴 𦇵 𦇶 𦇷 𦇸 𦇹 𦇺 𦇻 𦇼 𦇽 𦇾 𦇿</t>
        </is>
      </c>
      <c r="Q616" s="38" t="inlineStr">
        <is>
          <t>𦄀 𦄁 𦄂 𦄃 𦄄 𦄅 𦄆 𦄇 𦄈 𦄉 𦄊 𦄋 𦄌 𦄍 𦄎 𦄏 𦄐 𦄑 𦄒 𦄓 𦄔 𦄕 𦄖 𦄗 𦄘 𦄙 𦄚 𦄛 𦄜 𦄝 𦄞 𦄟 𦄠 𦄡 𦄢 𦄣 𦄤 𦄥 𦄦 𦄧 𦄨 𦄩 𦄪 𦄫 𦄬 𦄭 𦄮 𦄯 𦄰 𦄱 𦄲 𦄳 𦄴 𦄵 𦄶 𦄷 𦄸 𦄹 𦄺 𦄻 𦄼 𦄽 𦄾 𦄿 𦅀 𦅁 𦅂 𦅃 𦅄 𦅅 𦅆 𦅇 𦅈 𦅉 𦅊 𦅋 𦅌 𦅍 𦅎 𦅏 𦅐 𦅑 𦅒 𦅓 𦅔 𦅕 𦅖 𦅗 𦅘 𦅙 𦅚 𦅛 𦅜 𦅝 𦅞 𦅟 𦅠 𦅡 𦅢 𦅣 𦅤 𦅥 𦅦 𦅧 𦅨 𦅩 𦅪 𦅫 𦅬 𦅭 𦅮 𦅯 𦅰 𦅱 𦅲 𦅳 𦅴 𦅵 𦅶 𦅷 𦅸 𦅹 𦅺 𦅻 𦅼 𦅽 𦅾 𦅿 𦆀 𦆁 𦆂 𦆃 𦆄 𦆅 𦆆 𦆇 𦆈 𦆉 𦆊 𦆋 𦆌 𦆍 𦆎 𦆏 𦆐 𦆑 𦆒 𦆓 𦆔 𦆕 𦆖 𦆗 𦆘 𦆙 𦆚 𦆛 𦆜 𦆝 𦆞 𦆟 𦆠 𦆡 𦆢 𦆣 𦆤 𦆥 𦆦 𦆧 𦆨 𦆩 𦆪 𦆫 𦆬 𦆭 𦆮 𦆯 𦆰 𦆱 𦆲 𦆳 𦆴 𦆵 𦆶 𦆷 𦆸 𦆹 𦆺 𦆻 𦆼 𦆽 𦆾 𦆿 𦇀 𦇁 𦇂 𦇃 𦇄 𦇅 𦇆 𦇇 𦇈 𦇉 𦇊 𦇋 𦇌 𦇍 𦇎 𦇏 𦇐 𦇑 𦇒 𦇓 𦇔 𦇕 𦇖 𦇗 𦇘 𦇙 𦇚 𦇛 𦇜 𦇝 𦇞 𦇟 𦇠 𦇡 𦇢 𦇣 𦇤 𦇥 𦇦 𦇧 𦇨 𦇩 𦇪 𦇫 𦇬 𦇭 𦇮 𦇯 𦇰 𦇱 𦇲 𦇳 𦇴 𦇵 𦇶 𦇷 𦇸 𦇹 𦇺 𦇻 𦇼 𦇽 𦇾 𦇿</t>
        </is>
      </c>
      <c r="R616" s="43" t="inlineStr"/>
      <c r="S616" s="40" t="n"/>
      <c r="V616" s="14">
        <f>(LEN(O616)+1)/2</f>
        <v/>
      </c>
      <c r="W616" s="14">
        <f>ROUNDDOWN((LEN(P616)+1)/2,0)</f>
        <v/>
      </c>
      <c r="X616" s="14">
        <f>ROUNDDOWN((LEN(Q616)+1)/2,0)</f>
        <v/>
      </c>
      <c r="Y616" s="14">
        <f>ROUNDDOWN((LEN(R616)+1)/2,0)</f>
        <v/>
      </c>
      <c r="Z616" s="14">
        <f>ROUNDDOWN((LEN(S616)+1)/2,0)</f>
        <v/>
      </c>
      <c r="AA616" s="56" t="n">
        <v>46150.55881601623</v>
      </c>
    </row>
    <row r="617" ht="102" customHeight="1">
      <c r="B617" s="46" t="inlineStr">
        <is>
          <t>U+26300-U+263FF</t>
        </is>
      </c>
      <c r="C617" s="46" t="inlineStr">
        <is>
          <t>CJK Unified Ideographs Extension B</t>
        </is>
      </c>
      <c r="D617" s="54">
        <f>HEX2DEC(MID(B617,3,FIND("-",E617)-3))</f>
        <v/>
      </c>
      <c r="E617" s="46" t="inlineStr">
        <is>
          <t>U+20000-U+2A6DF</t>
        </is>
      </c>
      <c r="F617" s="12" t="n">
        <v>4</v>
      </c>
      <c r="J617" s="19">
        <f>ROUNDDOWN(W617,0)/$V617</f>
        <v/>
      </c>
      <c r="K617" s="19">
        <f>ROUNDDOWN(X617,0)/$V617</f>
        <v/>
      </c>
      <c r="L617" s="19">
        <f>ROUNDDOWN(Y617,0)/$V617</f>
        <v/>
      </c>
      <c r="M617" s="19">
        <f>ROUNDDOWN(Z617,0)/$V617</f>
        <v/>
      </c>
      <c r="O617" s="36" t="inlineStr">
        <is>
          <t>𦈀 𦈁 𦈂 𦈃 𦈄 𦈅 𦈆 𦈇 𦈈 𦈉 𦈊 𦈋 𦈌 𦈍 𦈎 𦈏 𦈐 𦈑 𦈒 𦈓 𦈔 𦈕 𦈖 𦈗 𦈘 𦈙 𦈚 𦈛 𦈜 𦈝 𦈞 𦈟 𦈠 𦈡 𦈢 𦈣 𦈤 𦈥 𦈦 𦈧 𦈨 𦈩 𦈪 𦈫 𦈬 𦈭 𦈮 𦈯 𦈰 𦈱 𦈲 𦈳 𦈴 𦈵 𦈶 𦈷 𦈸 𦈹 𦈺 𦈻 𦈼 𦈽 𦈾 𦈿 𦉀 𦉁 𦉂 𦉃 𦉄 𦉅 𦉆 𦉇 𦉈 𦉉 𦉊 𦉋 𦉌 𦉍 𦉎 𦉏 𦉐 𦉑 𦉒 𦉓 𦉔 𦉕 𦉖 𦉗 𦉘 𦉙 𦉚 𦉛 𦉜 𦉝 𦉞 𦉟 𦉠 𦉡 𦉢 𦉣 𦉤 𦉥 𦉦 𦉧 𦉨 𦉩 𦉪 𦉫 𦉬 𦉭 𦉮 𦉯 𦉰 𦉱 𦉲 𦉳 𦉴 𦉵 𦉶 𦉷 𦉸 𦉹 𦉺 𦉻 𦉼 𦉽 𦉾 𦉿 𦊀 𦊁 𦊂 𦊃 𦊄 𦊅 𦊆 𦊇 𦊈 𦊉 𦊊 𦊋 𦊌 𦊍 𦊎 𦊏 𦊐 𦊑 𦊒 𦊓 𦊔 𦊕 𦊖 𦊗 𦊘 𦊙 𦊚 𦊛 𦊜 𦊝 𦊞 𦊟 𦊠 𦊡 𦊢 𦊣 𦊤 𦊥 𦊦 𦊧 𦊨 𦊩 𦊪 𦊫 𦊬 𦊭 𦊮 𦊯 𦊰 𦊱 𦊲 𦊳 𦊴 𦊵 𦊶 𦊷 𦊸 𦊹 𦊺 𦊻 𦊼 𦊽 𦊾 𦊿 𦋀 𦋁 𦋂 𦋃 𦋄 𦋅 𦋆 𦋇 𦋈 𦋉 𦋊 𦋋 𦋌 𦋍 𦋎 𦋏 𦋐 𦋑 𦋒 𦋓 𦋔 𦋕 𦋖 𦋗 𦋘 𦋙 𦋚 𦋛 𦋜 𦋝 𦋞 𦋟 𦋠 𦋡 𦋢 𦋣 𦋤 𦋥 𦋦 𦋧 𦋨 𦋩 𦋪 𦋫 𦋬 𦋭 𦋮 𦋯 𦋰 𦋱 𦋲 𦋳 𦋴 𦋵 𦋶 𦋷 𦋸 𦋹 𦋺 𦋻 𦋼 𦋽 𦋾 𦋿</t>
        </is>
      </c>
      <c r="P617" s="37" t="inlineStr">
        <is>
          <t>𦈀 𦈁 𦈂 𦈃 𦈄 𦈅 𦈆 𦈇 𦈈 𦈉 𦈊 𦈋 𦈌 𦈍 𦈎 𦈏 𦈐 𦈑 𦈒 𦈓 𦈔 𦈕 𦈖 𦈗 𦈘 𦈙 𦈚 𦈛 𦈜 𦈝 𦈞 𦈟 𦈠 𦈡 𦈢 𦈣 𦈤 𦈥 𦈦 𦈧 𦈨 𦈩 𦈪 𦈫 𦈬 𦈭 𦈮 𦈯 𦈰 𦈱 𦈲 𦈳 𦈴 𦈵 𦈶 𦈷 𦈸 𦈹 𦈺 𦈻 𦈼 𦈽 𦈾 𦈿 𦉀 𦉁 𦉂 𦉃 𦉄 𦉅 𦉆 𦉇 𦉈 𦉉 𦉊 𦉋 𦉌 𦉍 𦉎 𦉏 𦉐 𦉑 𦉒 𦉓 𦉔 𦉕 𦉖 𦉗 𦉘 𦉙 𦉚 𦉛 𦉜 𦉝 𦉞 𦉟 𦉠 𦉡 𦉢 𦉣 𦉤 𦉥 𦉦 𦉧 𦉨 𦉩 𦉪 𦉫 𦉬 𦉭 𦉮 𦉯 𦉰 𦉱 𦉲 𦉳 𦉴 𦉵 𦉶 𦉷 𦉸 𦉹 𦉺 𦉻 𦉼 𦉽 𦉾 𦉿 𦊀 𦊁 𦊂 𦊃 𦊄 𦊅 𦊆 𦊇 𦊈 𦊉 𦊊 𦊋 𦊌 𦊍 𦊎 𦊏 𦊐 𦊑 𦊒 𦊓 𦊔 𦊕 𦊖 𦊗 𦊘 𦊙 𦊚 𦊛 𦊜 𦊝 𦊞 𦊟 𦊠 𦊡 𦊢 𦊣 𦊤 𦊥 𦊦 𦊧 𦊨 𦊩 𦊪 𦊫 𦊬 𦊭 𦊮 𦊯 𦊰 𦊱 𦊲 𦊳 𦊴 𦊵 𦊶 𦊷 𦊸 𦊹 𦊺 𦊻 𦊼 𦊽 𦊾 𦊿 𦋀 𦋁 𦋂 𦋃 𦋄 𦋅 𦋆 𦋇 𦋈 𦋉 𦋊 𦋋 𦋌 𦋍 𦋎 𦋏 𦋐 𦋑 𦋒 𦋓 𦋔 𦋕 𦋖 𦋗 𦋘 𦋙 𦋚 𦋛 𦋜 𦋝 𦋞 𦋟 𦋠 𦋡 𦋢 𦋣 𦋤 𦋥 𦋦 𦋧 𦋨 𦋩 𦋪 𦋫 𦋬 𦋭 𦋮 𦋯 𦋰 𦋱 𦋲 𦋳 𦋴 𦋵 𦋶 𦋷 𦋸 𦋹 𦋺 𦋻 𦋼 𦋽 𦋾 𦋿</t>
        </is>
      </c>
      <c r="Q617" s="38" t="inlineStr">
        <is>
          <t>𦈀 𦈁 𦈂 𦈃 𦈄 𦈅 𦈆 𦈇 𦈈 𦈉 𦈊 𦈋 𦈌 𦈍 𦈎 𦈏 𦈐 𦈑 𦈒 𦈓 𦈔 𦈕 𦈖 𦈗 𦈘 𦈙 𦈚 𦈛 𦈜 𦈝 𦈞 𦈟 𦈠 𦈡 𦈢 𦈣 𦈤 𦈥 𦈦 𦈧 𦈨 𦈩 𦈪 𦈫 𦈬 𦈭 𦈮 𦈯 𦈰 𦈱 𦈲 𦈳 𦈴 𦈵 𦈶 𦈷 𦈸 𦈹 𦈺 𦈻 𦈼 𦈽 𦈾 𦈿 𦉀 𦉁 𦉂 𦉃 𦉄 𦉅 𦉆 𦉇 𦉈 𦉉 𦉊 𦉋 𦉌 𦉍 𦉎 𦉏 𦉐 𦉑 𦉒 𦉓 𦉔 𦉕 𦉖 𦉗 𦉘 𦉙 𦉚 𦉛 𦉜 𦉝 𦉞 𦉟 𦉠 𦉡 𦉢 𦉣 𦉤 𦉥 𦉦 𦉧 𦉨 𦉩 𦉪 𦉫 𦉬 𦉭 𦉮 𦉯 𦉰 𦉱 𦉲 𦉳 𦉴 𦉵 𦉶 𦉷 𦉸 𦉹 𦉺 𦉻 𦉼 𦉽 𦉾 𦉿 𦊀 𦊁 𦊂 𦊃 𦊄 𦊅 𦊆 𦊇 𦊈 𦊉 𦊊 𦊋 𦊌 𦊍 𦊎 𦊏 𦊐 𦊑 𦊒 𦊓 𦊔 𦊕 𦊖 𦊗 𦊘 𦊙 𦊚 𦊛 𦊜 𦊝 𦊞 𦊟 𦊠 𦊡 𦊢 𦊣 𦊤 𦊥 𦊦 𦊧 𦊨 𦊩 𦊪 𦊫 𦊬 𦊭 𦊮 𦊯 𦊰 𦊱 𦊲 𦊳 𦊴 𦊵 𦊶 𦊷 𦊸 𦊹 𦊺 𦊻 𦊼 𦊽 𦊾 𦊿 𦋀 𦋁 𦋂 𦋃 𦋄 𦋅 𦋆 𦋇 𦋈 𦋉 𦋊 𦋋 𦋌 𦋍 𦋎 𦋏 𦋐 𦋑 𦋒 𦋓 𦋔 𦋕 𦋖 𦋗 𦋘 𦋙 𦋚 𦋛 𦋜 𦋝 𦋞 𦋟 𦋠 𦋡 𦋢 𦋣 𦋤 𦋥 𦋦 𦋧 𦋨 𦋩 𦋪 𦋫 𦋬 𦋭 𦋮 𦋯 𦋰 𦋱 𦋲 𦋳 𦋴 𦋵 𦋶 𦋷 𦋸 𦋹 𦋺 𦋻 𦋼 𦋽 𦋾 𦋿</t>
        </is>
      </c>
      <c r="R617" s="43" t="inlineStr">
        <is>
          <t>𦉎 𦉰 𦊆 𦊓</t>
        </is>
      </c>
      <c r="S617" s="40" t="n"/>
      <c r="V617" s="14">
        <f>(LEN(O617)+1)/2</f>
        <v/>
      </c>
      <c r="W617" s="14">
        <f>ROUNDDOWN((LEN(P617)+1)/2,0)</f>
        <v/>
      </c>
      <c r="X617" s="14">
        <f>ROUNDDOWN((LEN(Q617)+1)/2,0)</f>
        <v/>
      </c>
      <c r="Y617" s="14">
        <f>ROUNDDOWN((LEN(R617)+1)/2,0)</f>
        <v/>
      </c>
      <c r="Z617" s="14">
        <f>ROUNDDOWN((LEN(S617)+1)/2,0)</f>
        <v/>
      </c>
      <c r="AA617" s="56" t="n">
        <v>46150.55881720319</v>
      </c>
    </row>
    <row r="618" ht="102" customHeight="1">
      <c r="B618" s="46" t="inlineStr">
        <is>
          <t>U+26400-U+264FF</t>
        </is>
      </c>
      <c r="C618" s="46" t="inlineStr">
        <is>
          <t>CJK Unified Ideographs Extension B</t>
        </is>
      </c>
      <c r="D618" s="54">
        <f>HEX2DEC(MID(B618,3,FIND("-",E618)-3))</f>
        <v/>
      </c>
      <c r="E618" s="46" t="inlineStr">
        <is>
          <t>U+20000-U+2A6DF</t>
        </is>
      </c>
      <c r="F618" s="12" t="n">
        <v>4</v>
      </c>
      <c r="J618" s="19">
        <f>ROUNDDOWN(W618,0)/$V618</f>
        <v/>
      </c>
      <c r="K618" s="19">
        <f>ROUNDDOWN(X618,0)/$V618</f>
        <v/>
      </c>
      <c r="L618" s="19">
        <f>ROUNDDOWN(Y618,0)/$V618</f>
        <v/>
      </c>
      <c r="M618" s="19">
        <f>ROUNDDOWN(Z618,0)/$V618</f>
        <v/>
      </c>
      <c r="O618" s="36" t="inlineStr">
        <is>
          <t>𦌀 𦌁 𦌂 𦌃 𦌄 𦌅 𦌆 𦌇 𦌈 𦌉 𦌊 𦌋 𦌌 𦌍 𦌎 𦌏 𦌐 𦌑 𦌒 𦌓 𦌔 𦌕 𦌖 𦌗 𦌘 𦌙 𦌚 𦌛 𦌜 𦌝 𦌞 𦌟 𦌠 𦌡 𦌢 𦌣 𦌤 𦌥 𦌦 𦌧 𦌨 𦌩 𦌪 𦌫 𦌬 𦌭 𦌮 𦌯 𦌰 𦌱 𦌲 𦌳 𦌴 𦌵 𦌶 𦌷 𦌸 𦌹 𦌺 𦌻 𦌼 𦌽 𦌾 𦌿 𦍀 𦍁 𦍂 𦍃 𦍄 𦍅 𦍆 𦍇 𦍈 𦍉 𦍊 𦍋 𦍌 𦍍 𦍎 𦍏 𦍐 𦍑 𦍒 𦍓 𦍔 𦍕 𦍖 𦍗 𦍘 𦍙 𦍚 𦍛 𦍜 𦍝 𦍞 𦍟 𦍠 𦍡 𦍢 𦍣 𦍤 𦍥 𦍦 𦍧 𦍨 𦍩 𦍪 𦍫 𦍬 𦍭 𦍮 𦍯 𦍰 𦍱 𦍲 𦍳 𦍴 𦍵 𦍶 𦍷 𦍸 𦍹 𦍺 𦍻 𦍼 𦍽 𦍾 𦍿 𦎀 𦎁 𦎂 𦎃 𦎄 𦎅 𦎆 𦎇 𦎈 𦎉 𦎊 𦎋 𦎌 𦎍 𦎎 𦎏 𦎐 𦎑 𦎒 𦎓 𦎔 𦎕 𦎖 𦎗 𦎘 𦎙 𦎚 𦎛 𦎜 𦎝 𦎞 𦎟 𦎠 𦎡 𦎢 𦎣 𦎤 𦎥 𦎦 𦎧 𦎨 𦎩 𦎪 𦎫 𦎬 𦎭 𦎮 𦎯 𦎰 𦎱 𦎲 𦎳 𦎴 𦎵 𦎶 𦎷 𦎸 𦎹 𦎺 𦎻 𦎼 𦎽 𦎾 𦎿 𦏀 𦏁 𦏂 𦏃 𦏄 𦏅 𦏆 𦏇 𦏈 𦏉 𦏊 𦏋 𦏌 𦏍 𦏎 𦏏 𦏐 𦏑 𦏒 𦏓 𦏔 𦏕 𦏖 𦏗 𦏘 𦏙 𦏚 𦏛 𦏜 𦏝 𦏞 𦏟 𦏠 𦏡 𦏢 𦏣 𦏤 𦏥 𦏦 𦏧 𦏨 𦏩 𦏪 𦏫 𦏬 𦏭 𦏮 𦏯 𦏰 𦏱 𦏲 𦏳 𦏴 𦏵 𦏶 𦏷 𦏸 𦏹 𦏺 𦏻 𦏼 𦏽 𦏾 𦏿</t>
        </is>
      </c>
      <c r="P618" s="37" t="inlineStr">
        <is>
          <t>𦌀 𦌁 𦌂 𦌃 𦌄 𦌅 𦌆 𦌇 𦌈 𦌉 𦌊 𦌋 𦌌 𦌍 𦌎 𦌏 𦌐 𦌑 𦌒 𦌓 𦌔 𦌕 𦌖 𦌗 𦌘 𦌙 𦌚 𦌛 𦌜 𦌝 𦌞 𦌟 𦌠 𦌡 𦌢 𦌣 𦌤 𦌥 𦌦 𦌧 𦌨 𦌩 𦌪 𦌫 𦌬 𦌭 𦌮 𦌯 𦌰 𦌱 𦌲 𦌳 𦌴 𦌵 𦌶 𦌷 𦌸 𦌹 𦌺 𦌻 𦌼 𦌽 𦌾 𦌿 𦍀 𦍁 𦍂 𦍃 𦍄 𦍅 𦍆 𦍇 𦍈 𦍉 𦍊 𦍋 𦍌 𦍍 𦍎 𦍏 𦍐 𦍑 𦍒 𦍓 𦍔 𦍕 𦍖 𦍗 𦍘 𦍙 𦍚 𦍛 𦍜 𦍝 𦍞 𦍟 𦍠 𦍡 𦍢 𦍣 𦍤 𦍥 𦍦 𦍧 𦍨 𦍩 𦍪 𦍫 𦍬 𦍭 𦍮 𦍯 𦍰 𦍱 𦍲 𦍳 𦍴 𦍵 𦍶 𦍷 𦍸 𦍹 𦍺 𦍻 𦍼 𦍽 𦍾 𦍿 𦎀 𦎁 𦎂 𦎃 𦎄 𦎅 𦎆 𦎇 𦎈 𦎉 𦎊 𦎋 𦎌 𦎍 𦎎 𦎏 𦎐 𦎑 𦎒 𦎓 𦎔 𦎕 𦎖 𦎗 𦎘 𦎙 𦎚 𦎛 𦎜 𦎝 𦎞 𦎟 𦎠 𦎡 𦎢 𦎣 𦎤 𦎥 𦎦 𦎧 𦎨 𦎩 𦎪 𦎫 𦎬 𦎭 𦎮 𦎯 𦎰 𦎱 𦎲 𦎳 𦎴 𦎵 𦎶 𦎷 𦎸 𦎹 𦎺 𦎻 𦎼 𦎽 𦎾 𦎿 𦏀 𦏁 𦏂 𦏃 𦏄 𦏅 𦏆 𦏇 𦏈 𦏉 𦏊 𦏋 𦏌 𦏍 𦏎 𦏏 𦏐 𦏑 𦏒 𦏓 𦏔 𦏕 𦏖 𦏗 𦏘 𦏙 𦏚 𦏛 𦏜 𦏝 𦏞 𦏟 𦏠 𦏡 𦏢 𦏣 𦏤 𦏥 𦏦 𦏧 𦏨 𦏩 𦏪 𦏫 𦏬 𦏭 𦏮 𦏯 𦏰 𦏱 𦏲 𦏳 𦏴 𦏵 𦏶 𦏷 𦏸 𦏹 𦏺 𦏻 𦏼 𦏽 𦏾 𦏿</t>
        </is>
      </c>
      <c r="Q618" s="38" t="inlineStr">
        <is>
          <t>𦌀 𦌁 𦌂 𦌃 𦌄 𦌅 𦌆 𦌇 𦌈 𦌉 𦌊 𦌋 𦌌 𦌍 𦌎 𦌏 𦌐 𦌑 𦌒 𦌓 𦌔 𦌕 𦌖 𦌗 𦌘 𦌙 𦌚 𦌛 𦌜 𦌝 𦌞 𦌟 𦌠 𦌡 𦌢 𦌣 𦌤 𦌥 𦌦 𦌧 𦌨 𦌩 𦌪 𦌫 𦌬 𦌭 𦌮 𦌯 𦌰 𦌱 𦌲 𦌳 𦌴 𦌵 𦌶 𦌷 𦌸 𦌹 𦌺 𦌻 𦌼 𦌽 𦌾 𦌿 𦍀 𦍁 𦍂 𦍃 𦍄 𦍅 𦍆 𦍇 𦍈 𦍉 𦍊 𦍋 𦍌 𦍍 𦍎 𦍏 𦍐 𦍑 𦍒 𦍓 𦍔 𦍕 𦍖 𦍗 𦍘 𦍙 𦍚 𦍛 𦍜 𦍝 𦍞 𦍟 𦍠 𦍡 𦍢 𦍣 𦍤 𦍥 𦍦 𦍧 𦍨 𦍩 𦍪 𦍫 𦍬 𦍭 𦍮 𦍯 𦍰 𦍱 𦍲 𦍳 𦍴 𦍵 𦍶 𦍷 𦍸 𦍹 𦍺 𦍻 𦍼 𦍽 𦍾 𦍿 𦎀 𦎁 𦎂 𦎃 𦎄 𦎅 𦎆 𦎇 𦎈 𦎉 𦎊 𦎋 𦎌 𦎍 𦎎 𦎏 𦎐 𦎑 𦎒 𦎓 𦎔 𦎕 𦎖 𦎗 𦎘 𦎙 𦎚 𦎛 𦎜 𦎝 𦎞 𦎟 𦎠 𦎡 𦎢 𦎣 𦎤 𦎥 𦎦 𦎧 𦎨 𦎩 𦎪 𦎫 𦎬 𦎭 𦎮 𦎯 𦎰 𦎱 𦎲 𦎳 𦎴 𦎵 𦎶 𦎷 𦎸 𦎹 𦎺 𦎻 𦎼 𦎽 𦎾 𦎿 𦏀 𦏁 𦏂 𦏃 𦏄 𦏅 𦏆 𦏇 𦏈 𦏉 𦏊 𦏋 𦏌 𦏍 𦏎 𦏏 𦏐 𦏑 𦏒 𦏓 𦏔 𦏕 𦏖 𦏗 𦏘 𦏙 𦏚 𦏛 𦏜 𦏝 𦏞 𦏟 𦏠 𦏡 𦏢 𦏣 𦏤 𦏥 𦏦 𦏧 𦏨 𦏩 𦏪 𦏫 𦏬 𦏭 𦏮 𦏯 𦏰 𦏱 𦏲 𦏳 𦏴 𦏵 𦏶 𦏷 𦏸 𦏹 𦏺 𦏻 𦏼 𦏽 𦏾 𦏿</t>
        </is>
      </c>
      <c r="R618" s="43" t="inlineStr">
        <is>
          <t>𦍌 𦎓 𦏴</t>
        </is>
      </c>
      <c r="S618" s="40" t="n"/>
      <c r="V618" s="14">
        <f>(LEN(O618)+1)/2</f>
        <v/>
      </c>
      <c r="W618" s="14">
        <f>ROUNDDOWN((LEN(P618)+1)/2,0)</f>
        <v/>
      </c>
      <c r="X618" s="14">
        <f>ROUNDDOWN((LEN(Q618)+1)/2,0)</f>
        <v/>
      </c>
      <c r="Y618" s="14">
        <f>ROUNDDOWN((LEN(R618)+1)/2,0)</f>
        <v/>
      </c>
      <c r="Z618" s="14">
        <f>ROUNDDOWN((LEN(S618)+1)/2,0)</f>
        <v/>
      </c>
      <c r="AA618" s="56" t="n">
        <v>46150.55881836199</v>
      </c>
    </row>
    <row r="619" ht="102" customHeight="1">
      <c r="B619" s="46" t="inlineStr">
        <is>
          <t>U+26500-U+265FF</t>
        </is>
      </c>
      <c r="C619" s="46" t="inlineStr">
        <is>
          <t>CJK Unified Ideographs Extension B</t>
        </is>
      </c>
      <c r="D619" s="54">
        <f>HEX2DEC(MID(B619,3,FIND("-",E619)-3))</f>
        <v/>
      </c>
      <c r="E619" s="46" t="inlineStr">
        <is>
          <t>U+20000-U+2A6DF</t>
        </is>
      </c>
      <c r="F619" s="12" t="n">
        <v>4</v>
      </c>
      <c r="J619" s="19">
        <f>ROUNDDOWN(W619,0)/$V619</f>
        <v/>
      </c>
      <c r="K619" s="19">
        <f>ROUNDDOWN(X619,0)/$V619</f>
        <v/>
      </c>
      <c r="L619" s="19">
        <f>ROUNDDOWN(Y619,0)/$V619</f>
        <v/>
      </c>
      <c r="M619" s="19">
        <f>ROUNDDOWN(Z619,0)/$V619</f>
        <v/>
      </c>
      <c r="O619" s="36" t="inlineStr">
        <is>
          <t>𦐀 𦐁 𦐂 𦐃 𦐄 𦐅 𦐆 𦐇 𦐈 𦐉 𦐊 𦐋 𦐌 𦐍 𦐎 𦐏 𦐐 𦐑 𦐒 𦐓 𦐔 𦐕 𦐖 𦐗 𦐘 𦐙 𦐚 𦐛 𦐜 𦐝 𦐞 𦐟 𦐠 𦐡 𦐢 𦐣 𦐤 𦐥 𦐦 𦐧 𦐨 𦐩 𦐪 𦐫 𦐬 𦐭 𦐮 𦐯 𦐰 𦐱 𦐲 𦐳 𦐴 𦐵 𦐶 𦐷 𦐸 𦐹 𦐺 𦐻 𦐼 𦐽 𦐾 𦐿 𦑀 𦑁 𦑂 𦑃 𦑄 𦑅 𦑆 𦑇 𦑈 𦑉 𦑊 𦑋 𦑌 𦑍 𦑎 𦑏 𦑐 𦑑 𦑒 𦑓 𦑔 𦑕 𦑖 𦑗 𦑘 𦑙 𦑚 𦑛 𦑜 𦑝 𦑞 𦑟 𦑠 𦑡 𦑢 𦑣 𦑤 𦑥 𦑦 𦑧 𦑨 𦑩 𦑪 𦑫 𦑬 𦑭 𦑮 𦑯 𦑰 𦑱 𦑲 𦑳 𦑴 𦑵 𦑶 𦑷 𦑸 𦑹 𦑺 𦑻 𦑼 𦑽 𦑾 𦑿 𦒀 𦒁 𦒂 𦒃 𦒄 𦒅 𦒆 𦒇 𦒈 𦒉 𦒊 𦒋 𦒌 𦒍 𦒎 𦒏 𦒐 𦒑 𦒒 𦒓 𦒔 𦒕 𦒖 𦒗 𦒘 𦒙 𦒚 𦒛 𦒜 𦒝 𦒞 𦒟 𦒠 𦒡 𦒢 𦒣 𦒤 𦒥 𦒦 𦒧 𦒨 𦒩 𦒪 𦒫 𦒬 𦒭 𦒮 𦒯 𦒰 𦒱 𦒲 𦒳 𦒴 𦒵 𦒶 𦒷 𦒸 𦒹 𦒺 𦒻 𦒼 𦒽 𦒾 𦒿 𦓀 𦓁 𦓂 𦓃 𦓄 𦓅 𦓆 𦓇 𦓈 𦓉 𦓊 𦓋 𦓌 𦓍 𦓎 𦓏 𦓐 𦓑 𦓒 𦓓 𦓔 𦓕 𦓖 𦓗 𦓘 𦓙 𦓚 𦓛 𦓜 𦓝 𦓞 𦓟 𦓠 𦓡 𦓢 𦓣 𦓤 𦓥 𦓦 𦓧 𦓨 𦓩 𦓪 𦓫 𦓬 𦓭 𦓮 𦓯 𦓰 𦓱 𦓲 𦓳 𦓴 𦓵 𦓶 𦓷 𦓸 𦓹 𦓺 𦓻 𦓼 𦓽 𦓾 𦓿</t>
        </is>
      </c>
      <c r="P619" s="37" t="inlineStr">
        <is>
          <t>𦐀 𦐁 𦐂 𦐃 𦐄 𦐅 𦐆 𦐇 𦐈 𦐉 𦐊 𦐋 𦐌 𦐍 𦐎 𦐏 𦐐 𦐑 𦐒 𦐓 𦐔 𦐕 𦐖 𦐗 𦐘 𦐙 𦐚 𦐛 𦐜 𦐝 𦐞 𦐟 𦐠 𦐡 𦐢 𦐣 𦐤 𦐥 𦐦 𦐧 𦐨 𦐩 𦐪 𦐫 𦐬 𦐭 𦐮 𦐯 𦐰 𦐱 𦐲 𦐳 𦐴 𦐵 𦐶 𦐷 𦐸 𦐹 𦐺 𦐻 𦐼 𦐽 𦐾 𦐿 𦑀 𦑁 𦑂 𦑃 𦑄 𦑅 𦑆 𦑇 𦑈 𦑉 𦑊 𦑋 𦑌 𦑍 𦑎 𦑏 𦑐 𦑑 𦑒 𦑓 𦑔 𦑕 𦑖 𦑗 𦑘 𦑙 𦑚 𦑛 𦑜 𦑝 𦑞 𦑟 𦑠 𦑡 𦑢 𦑣 𦑤 𦑥 𦑦 𦑧 𦑨 𦑩 𦑪 𦑫 𦑬 𦑭 𦑮 𦑯 𦑰 𦑱 𦑲 𦑳 𦑴 𦑵 𦑶 𦑷 𦑸 𦑹 𦑺 𦑻 𦑼 𦑽 𦑾 𦑿 𦒀 𦒁 𦒂 𦒃 𦒄 𦒅 𦒆 𦒇 𦒈 𦒉 𦒊 𦒋 𦒌 𦒍 𦒎 𦒏 𦒐 𦒑 𦒒 𦒓 𦒔 𦒕 𦒖 𦒗 𦒘 𦒙 𦒚 𦒛 𦒜 𦒝 𦒞 𦒟 𦒠 𦒡 𦒢 𦒣 𦒤 𦒥 𦒦 𦒧 𦒨 𦒩 𦒪 𦒫 𦒬 𦒭 𦒮 𦒯 𦒰 𦒱 𦒲 𦒳 𦒴 𦒵 𦒶 𦒷 𦒸 𦒹 𦒺 𦒻 𦒼 𦒽 𦒾 𦒿 𦓀 𦓁 𦓂 𦓃 𦓄 𦓅 𦓆 𦓇 𦓈 𦓉 𦓊 𦓋 𦓌 𦓍 𦓎 𦓏 𦓐 𦓑 𦓒 𦓓 𦓔 𦓕 𦓖 𦓗 𦓘 𦓙 𦓚 𦓛 𦓜 𦓝 𦓞 𦓟 𦓠 𦓡 𦓢 𦓣 𦓤 𦓥 𦓦 𦓧 𦓨 𦓩 𦓪 𦓫 𦓬 𦓭 𦓮 𦓯 𦓰 𦓱 𦓲 𦓳 𦓴 𦓵 𦓶 𦓷 𦓸 𦓹 𦓺 𦓻 𦓼 𦓽 𦓾 𦓿</t>
        </is>
      </c>
      <c r="Q619" s="38" t="inlineStr">
        <is>
          <t>𦐀 𦐁 𦐂 𦐃 𦐄 𦐅 𦐆 𦐇 𦐈 𦐉 𦐊 𦐋 𦐌 𦐍 𦐎 𦐏 𦐐 𦐑 𦐒 𦐓 𦐔 𦐕 𦐖 𦐗 𦐘 𦐙 𦐚 𦐛 𦐜 𦐝 𦐞 𦐟 𦐠 𦐡 𦐢 𦐣 𦐤 𦐥 𦐦 𦐧 𦐨 𦐩 𦐪 𦐫 𦐬 𦐭 𦐮 𦐯 𦐰 𦐱 𦐲 𦐳 𦐴 𦐵 𦐶 𦐷 𦐸 𦐹 𦐺 𦐻 𦐼 𦐽 𦐾 𦐿 𦑀 𦑁 𦑂 𦑃 𦑄 𦑅 𦑆 𦑇 𦑈 𦑉 𦑊 𦑋 𦑌 𦑍 𦑎 𦑏 𦑐 𦑑 𦑒 𦑓 𦑔 𦑕 𦑖 𦑗 𦑘 𦑙 𦑚 𦑛 𦑜 𦑝 𦑞 𦑟 𦑠 𦑡 𦑢 𦑣 𦑤 𦑥 𦑦 𦑧 𦑨 𦑩 𦑪 𦑫 𦑬 𦑭 𦑮 𦑯 𦑰 𦑱 𦑲 𦑳 𦑴 𦑵 𦑶 𦑷 𦑸 𦑹 𦑺 𦑻 𦑼 𦑽 𦑾 𦑿 𦒀 𦒁 𦒂 𦒃 𦒄 𦒅 𦒆 𦒇 𦒈 𦒉 𦒊 𦒋 𦒌 𦒍 𦒎 𦒏 𦒐 𦒑 𦒒 𦒓 𦒔 𦒕 𦒖 𦒗 𦒘 𦒙 𦒚 𦒛 𦒜 𦒝 𦒞 𦒟 𦒠 𦒡 𦒢 𦒣 𦒤 𦒥 𦒦 𦒧 𦒨 𦒩 𦒪 𦒫 𦒬 𦒭 𦒮 𦒯 𦒰 𦒱 𦒲 𦒳 𦒴 𦒵 𦒶 𦒷 𦒸 𦒹 𦒺 𦒻 𦒼 𦒽 𦒾 𦒿 𦓀 𦓁 𦓂 𦓃 𦓄 𦓅 𦓆 𦓇 𦓈 𦓉 𦓊 𦓋 𦓌 𦓍 𦓎 𦓏 𦓐 𦓑 𦓒 𦓓 𦓔 𦓕 𦓖 𦓗 𦓘 𦓙 𦓚 𦓛 𦓜 𦓝 𦓞 𦓟 𦓠 𦓡 𦓢 𦓣 𦓤 𦓥 𦓦 𦓧 𦓨 𦓩 𦓪 𦓫 𦓬 𦓭 𦓮 𦓯 𦓰 𦓱 𦓲 𦓳 𦓴 𦓵 𦓶 𦓷 𦓸 𦓹 𦓺 𦓻 𦓼 𦓽 𦓾 𦓿</t>
        </is>
      </c>
      <c r="R619" s="43" t="inlineStr"/>
      <c r="S619" s="40" t="n"/>
      <c r="V619" s="14">
        <f>(LEN(O619)+1)/2</f>
        <v/>
      </c>
      <c r="W619" s="14">
        <f>ROUNDDOWN((LEN(P619)+1)/2,0)</f>
        <v/>
      </c>
      <c r="X619" s="14">
        <f>ROUNDDOWN((LEN(Q619)+1)/2,0)</f>
        <v/>
      </c>
      <c r="Y619" s="14">
        <f>ROUNDDOWN((LEN(R619)+1)/2,0)</f>
        <v/>
      </c>
      <c r="Z619" s="14">
        <f>ROUNDDOWN((LEN(S619)+1)/2,0)</f>
        <v/>
      </c>
      <c r="AA619" s="56" t="n">
        <v>46150.55881951802</v>
      </c>
    </row>
    <row r="620" ht="102" customHeight="1">
      <c r="B620" s="46" t="inlineStr">
        <is>
          <t>U+26600-U+266FF</t>
        </is>
      </c>
      <c r="C620" s="46" t="inlineStr">
        <is>
          <t>CJK Unified Ideographs Extension B</t>
        </is>
      </c>
      <c r="D620" s="54">
        <f>HEX2DEC(MID(B620,3,FIND("-",E620)-3))</f>
        <v/>
      </c>
      <c r="E620" s="46" t="inlineStr">
        <is>
          <t>U+20000-U+2A6DF</t>
        </is>
      </c>
      <c r="F620" s="12" t="n">
        <v>4</v>
      </c>
      <c r="J620" s="19">
        <f>ROUNDDOWN(W620,0)/$V620</f>
        <v/>
      </c>
      <c r="K620" s="19">
        <f>ROUNDDOWN(X620,0)/$V620</f>
        <v/>
      </c>
      <c r="L620" s="19">
        <f>ROUNDDOWN(Y620,0)/$V620</f>
        <v/>
      </c>
      <c r="M620" s="19">
        <f>ROUNDDOWN(Z620,0)/$V620</f>
        <v/>
      </c>
      <c r="O620" s="36" t="inlineStr">
        <is>
          <t>𦔀 𦔁 𦔂 𦔃 𦔄 𦔅 𦔆 𦔇 𦔈 𦔉 𦔊 𦔋 𦔌 𦔍 𦔎 𦔏 𦔐 𦔑 𦔒 𦔓 𦔔 𦔕 𦔖 𦔗 𦔘 𦔙 𦔚 𦔛 𦔜 𦔝 𦔞 𦔟 𦔠 𦔡 𦔢 𦔣 𦔤 𦔥 𦔦 𦔧 𦔨 𦔩 𦔪 𦔫 𦔬 𦔭 𦔮 𦔯 𦔰 𦔱 𦔲 𦔳 𦔴 𦔵 𦔶 𦔷 𦔸 𦔹 𦔺 𦔻 𦔼 𦔽 𦔾 𦔿 𦕀 𦕁 𦕂 𦕃 𦕄 𦕅 𦕆 𦕇 𦕈 𦕉 𦕊 𦕋 𦕌 𦕍 𦕎 𦕏 𦕐 𦕑 𦕒 𦕓 𦕔 𦕕 𦕖 𦕗 𦕘 𦕙 𦕚 𦕛 𦕜 𦕝 𦕞 𦕟 𦕠 𦕡 𦕢 𦕣 𦕤 𦕥 𦕦 𦕧 𦕨 𦕩 𦕪 𦕫 𦕬 𦕭 𦕮 𦕯 𦕰 𦕱 𦕲 𦕳 𦕴 𦕵 𦕶 𦕷 𦕸 𦕹 𦕺 𦕻 𦕼 𦕽 𦕾 𦕿 𦖀 𦖁 𦖂 𦖃 𦖄 𦖅 𦖆 𦖇 𦖈 𦖉 𦖊 𦖋 𦖌 𦖍 𦖎 𦖏 𦖐 𦖑 𦖒 𦖓 𦖔 𦖕 𦖖 𦖗 𦖘 𦖙 𦖚 𦖛 𦖜 𦖝 𦖞 𦖟 𦖠 𦖡 𦖢 𦖣 𦖤 𦖥 𦖦 𦖧 𦖨 𦖩 𦖪 𦖫 𦖬 𦖭 𦖮 𦖯 𦖰 𦖱 𦖲 𦖳 𦖴 𦖵 𦖶 𦖷 𦖸 𦖹 𦖺 𦖻 𦖼 𦖽 𦖾 𦖿 𦗀 𦗁 𦗂 𦗃 𦗄 𦗅 𦗆 𦗇 𦗈 𦗉 𦗊 𦗋 𦗌 𦗍 𦗎 𦗏 𦗐 𦗑 𦗒 𦗓 𦗔 𦗕 𦗖 𦗗 𦗘 𦗙 𦗚 𦗛 𦗜 𦗝 𦗞 𦗟 𦗠 𦗡 𦗢 𦗣 𦗤 𦗥 𦗦 𦗧 𦗨 𦗩 𦗪 𦗫 𦗬 𦗭 𦗮 𦗯 𦗰 𦗱 𦗲 𦗳 𦗴 𦗵 𦗶 𦗷 𦗸 𦗹 𦗺 𦗻 𦗼 𦗽 𦗾 𦗿</t>
        </is>
      </c>
      <c r="P620" s="37" t="inlineStr">
        <is>
          <t>𦔀 𦔁 𦔂 𦔃 𦔄 𦔅 𦔆 𦔇 𦔈 𦔉 𦔊 𦔋 𦔌 𦔍 𦔎 𦔏 𦔐 𦔑 𦔒 𦔓 𦔔 𦔕 𦔖 𦔗 𦔘 𦔙 𦔚 𦔛 𦔜 𦔝 𦔞 𦔟 𦔠 𦔡 𦔢 𦔣 𦔤 𦔥 𦔦 𦔧 𦔨 𦔩 𦔪 𦔫 𦔬 𦔭 𦔮 𦔯 𦔰 𦔱 𦔲 𦔳 𦔴 𦔵 𦔶 𦔷 𦔸 𦔹 𦔺 𦔻 𦔼 𦔽 𦔾 𦔿 𦕀 𦕁 𦕂 𦕃 𦕄 𦕅 𦕆 𦕇 𦕈 𦕉 𦕊 𦕋 𦕌 𦕍 𦕎 𦕏 𦕐 𦕑 𦕒 𦕓 𦕔 𦕕 𦕖 𦕗 𦕘 𦕙 𦕚 𦕛 𦕜 𦕝 𦕞 𦕟 𦕠 𦕡 𦕢 𦕣 𦕤 𦕥 𦕦 𦕧 𦕨 𦕩 𦕪 𦕫 𦕬 𦕭 𦕮 𦕯 𦕰 𦕱 𦕲 𦕳 𦕴 𦕵 𦕶 𦕷 𦕸 𦕹 𦕺 𦕻 𦕼 𦕽 𦕾 𦕿 𦖀 𦖁 𦖂 𦖃 𦖄 𦖅 𦖆 𦖇 𦖈 𦖉 𦖊 𦖋 𦖌 𦖍 𦖎 𦖏 𦖐 𦖑 𦖒 𦖓 𦖔 𦖕 𦖖 𦖗 𦖘 𦖙 𦖚 𦖛 𦖜 𦖝 𦖞 𦖟 𦖠 𦖡 𦖢 𦖣 𦖤 𦖥 𦖦 𦖧 𦖨 𦖩 𦖪 𦖫 𦖬 𦖭 𦖮 𦖯 𦖰 𦖱 𦖲 𦖳 𦖴 𦖵 𦖶 𦖷 𦖸 𦖹 𦖺 𦖻 𦖼 𦖽 𦖾 𦖿 𦗀 𦗁 𦗂 𦗃 𦗄 𦗅 𦗆 𦗇 𦗈 𦗉 𦗊 𦗋 𦗌 𦗍 𦗎 𦗏 𦗐 𦗑 𦗒 𦗓 𦗔 𦗕 𦗖 𦗗 𦗘 𦗙 𦗚 𦗛 𦗜 𦗝 𦗞 𦗟 𦗠 𦗡 𦗢 𦗣 𦗤 𦗥 𦗦 𦗧 𦗨 𦗩 𦗪 𦗫 𦗬 𦗭 𦗮 𦗯 𦗰 𦗱 𦗲 𦗳 𦗴 𦗵 𦗶 𦗷 𦗸 𦗹 𦗺 𦗻 𦗼 𦗽 𦗾 𦗿</t>
        </is>
      </c>
      <c r="Q620" s="38" t="inlineStr">
        <is>
          <t>𦔀 𦔁 𦔂 𦔃 𦔄 𦔅 𦔆 𦔇 𦔈 𦔉 𦔊 𦔋 𦔌 𦔍 𦔎 𦔏 𦔐 𦔑 𦔒 𦔓 𦔔 𦔕 𦔖 𦔗 𦔘 𦔙 𦔚 𦔛 𦔜 𦔝 𦔞 𦔟 𦔠 𦔡 𦔢 𦔣 𦔤 𦔥 𦔦 𦔧 𦔨 𦔩 𦔪 𦔫 𦔬 𦔭 𦔮 𦔯 𦔰 𦔱 𦔲 𦔳 𦔴 𦔵 𦔶 𦔷 𦔸 𦔹 𦔺 𦔻 𦔼 𦔽 𦔾 𦔿 𦕀 𦕁 𦕂 𦕃 𦕄 𦕅 𦕆 𦕇 𦕈 𦕉 𦕊 𦕋 𦕌 𦕍 𦕎 𦕏 𦕐 𦕑 𦕒 𦕓 𦕔 𦕕 𦕖 𦕗 𦕘 𦕙 𦕚 𦕛 𦕜 𦕝 𦕞 𦕟 𦕠 𦕡 𦕢 𦕣 𦕤 𦕥 𦕦 𦕧 𦕨 𦕩 𦕪 𦕫 𦕬 𦕭 𦕮 𦕯 𦕰 𦕱 𦕲 𦕳 𦕴 𦕵 𦕶 𦕷 𦕸 𦕹 𦕺 𦕻 𦕼 𦕽 𦕾 𦕿 𦖀 𦖁 𦖂 𦖃 𦖄 𦖅 𦖆 𦖇 𦖈 𦖉 𦖊 𦖋 𦖌 𦖍 𦖎 𦖏 𦖐 𦖑 𦖒 𦖓 𦖔 𦖕 𦖖 𦖗 𦖘 𦖙 𦖚 𦖛 𦖜 𦖝 𦖞 𦖟 𦖠 𦖡 𦖢 𦖣 𦖤 𦖥 𦖦 𦖧 𦖨 𦖩 𦖪 𦖫 𦖬 𦖭 𦖮 𦖯 𦖰 𦖱 𦖲 𦖳 𦖴 𦖵 𦖶 𦖷 𦖸 𦖹 𦖺 𦖻 𦖼 𦖽 𦖾 𦖿 𦗀 𦗁 𦗂 𦗃 𦗄 𦗅 𦗆 𦗇 𦗈 𦗉 𦗊 𦗋 𦗌 𦗍 𦗎 𦗏 𦗐 𦗑 𦗒 𦗓 𦗔 𦗕 𦗖 𦗗 𦗘 𦗙 𦗚 𦗛 𦗜 𦗝 𦗞 𦗟 𦗠 𦗡 𦗢 𦗣 𦗤 𦗥 𦗦 𦗧 𦗨 𦗩 𦗪 𦗫 𦗬 𦗭 𦗮 𦗯 𦗰 𦗱 𦗲 𦗳 𦗴 𦗵 𦗶 𦗷 𦗸 𦗹 𦗺 𦗻 𦗼 𦗽 𦗾 𦗿</t>
        </is>
      </c>
      <c r="R620" s="43" t="inlineStr"/>
      <c r="S620" s="40" t="n"/>
      <c r="V620" s="14">
        <f>(LEN(O620)+1)/2</f>
        <v/>
      </c>
      <c r="W620" s="14">
        <f>ROUNDDOWN((LEN(P620)+1)/2,0)</f>
        <v/>
      </c>
      <c r="X620" s="14">
        <f>ROUNDDOWN((LEN(Q620)+1)/2,0)</f>
        <v/>
      </c>
      <c r="Y620" s="14">
        <f>ROUNDDOWN((LEN(R620)+1)/2,0)</f>
        <v/>
      </c>
      <c r="Z620" s="14">
        <f>ROUNDDOWN((LEN(S620)+1)/2,0)</f>
        <v/>
      </c>
      <c r="AA620" s="56" t="n">
        <v>46150.55882081705</v>
      </c>
    </row>
    <row r="621" ht="102" customHeight="1">
      <c r="B621" s="46" t="inlineStr">
        <is>
          <t>U+26700-U+267FF</t>
        </is>
      </c>
      <c r="C621" s="46" t="inlineStr">
        <is>
          <t>CJK Unified Ideographs Extension B</t>
        </is>
      </c>
      <c r="D621" s="54">
        <f>HEX2DEC(MID(B621,3,FIND("-",E621)-3))</f>
        <v/>
      </c>
      <c r="E621" s="46" t="inlineStr">
        <is>
          <t>U+20000-U+2A6DF</t>
        </is>
      </c>
      <c r="F621" s="12" t="n">
        <v>4</v>
      </c>
      <c r="J621" s="19">
        <f>ROUNDDOWN(W621,0)/$V621</f>
        <v/>
      </c>
      <c r="K621" s="19">
        <f>ROUNDDOWN(X621,0)/$V621</f>
        <v/>
      </c>
      <c r="L621" s="19">
        <f>ROUNDDOWN(Y621,0)/$V621</f>
        <v/>
      </c>
      <c r="M621" s="19">
        <f>ROUNDDOWN(Z621,0)/$V621</f>
        <v/>
      </c>
      <c r="O621" s="36" t="inlineStr">
        <is>
          <t>𦘀 𦘁 𦘂 𦘃 𦘄 𦘅 𦘆 𦘇 𦘈 𦘉 𦘊 𦘋 𦘌 𦘍 𦘎 𦘏 𦘐 𦘑 𦘒 𦘓 𦘔 𦘕 𦘖 𦘗 𦘘 𦘙 𦘚 𦘛 𦘜 𦘝 𦘞 𦘟 𦘠 𦘡 𦘢 𦘣 𦘤 𦘥 𦘦 𦘧 𦘨 𦘩 𦘪 𦘫 𦘬 𦘭 𦘮 𦘯 𦘰 𦘱 𦘲 𦘳 𦘴 𦘵 𦘶 𦘷 𦘸 𦘹 𦘺 𦘻 𦘼 𦘽 𦘾 𦘿 𦙀 𦙁 𦙂 𦙃 𦙄 𦙅 𦙆 𦙇 𦙈 𦙉 𦙊 𦙋 𦙌 𦙍 𦙎 𦙏 𦙐 𦙑 𦙒 𦙓 𦙔 𦙕 𦙖 𦙗 𦙘 𦙙 𦙚 𦙛 𦙜 𦙝 𦙞 𦙟 𦙠 𦙡 𦙢 𦙣 𦙤 𦙥 𦙦 𦙧 𦙨 𦙩 𦙪 𦙫 𦙬 𦙭 𦙮 𦙯 𦙰 𦙱 𦙲 𦙳 𦙴 𦙵 𦙶 𦙷 𦙸 𦙹 𦙺 𦙻 𦙼 𦙽 𦙾 𦙿 𦚀 𦚁 𦚂 𦚃 𦚄 𦚅 𦚆 𦚇 𦚈 𦚉 𦚊 𦚋 𦚌 𦚍 𦚎 𦚏 𦚐 𦚑 𦚒 𦚓 𦚔 𦚕 𦚖 𦚗 𦚘 𦚙 𦚚 𦚛 𦚜 𦚝 𦚞 𦚟 𦚠 𦚡 𦚢 𦚣 𦚤 𦚥 𦚦 𦚧 𦚨 𦚩 𦚪 𦚫 𦚬 𦚭 𦚮 𦚯 𦚰 𦚱 𦚲 𦚳 𦚴 𦚵 𦚶 𦚷 𦚸 𦚹 𦚺 𦚻 𦚼 𦚽 𦚾 𦚿 𦛀 𦛁 𦛂 𦛃 𦛄 𦛅 𦛆 𦛇 𦛈 𦛉 𦛊 𦛋 𦛌 𦛍 𦛎 𦛏 𦛐 𦛑 𦛒 𦛓 𦛔 𦛕 𦛖 𦛗 𦛘 𦛙 𦛚 𦛛 𦛜 𦛝 𦛞 𦛟 𦛠 𦛡 𦛢 𦛣 𦛤 𦛥 𦛦 𦛧 𦛨 𦛩 𦛪 𦛫 𦛬 𦛭 𦛮 𦛯 𦛰 𦛱 𦛲 𦛳 𦛴 𦛵 𦛶 𦛷 𦛸 𦛹 𦛺 𦛻 𦛼 𦛽 𦛾 𦛿</t>
        </is>
      </c>
      <c r="P621" s="37" t="inlineStr">
        <is>
          <t>𦘀 𦘁 𦘂 𦘃 𦘄 𦘅 𦘆 𦘇 𦘈 𦘉 𦘊 𦘋 𦘌 𦘍 𦘎 𦘏 𦘐 𦘑 𦘒 𦘓 𦘔 𦘕 𦘖 𦘗 𦘘 𦘙 𦘚 𦘛 𦘜 𦘝 𦘞 𦘟 𦘠 𦘡 𦘢 𦘣 𦘤 𦘥 𦘦 𦘧 𦘨 𦘩 𦘪 𦘫 𦘬 𦘭 𦘮 𦘯 𦘰 𦘱 𦘲 𦘳 𦘴 𦘵 𦘶 𦘷 𦘸 𦘹 𦘺 𦘻 𦘼 𦘽 𦘾 𦘿 𦙀 𦙁 𦙂 𦙃 𦙄 𦙅 𦙆 𦙇 𦙈 𦙉 𦙊 𦙋 𦙌 𦙍 𦙎 𦙏 𦙐 𦙑 𦙒 𦙓 𦙔 𦙕 𦙖 𦙗 𦙘 𦙙 𦙚 𦙛 𦙜 𦙝 𦙞 𦙟 𦙠 𦙡 𦙢 𦙣 𦙤 𦙥 𦙦 𦙧 𦙨 𦙩 𦙪 𦙫 𦙬 𦙭 𦙮 𦙯 𦙰 𦙱 𦙲 𦙳 𦙴 𦙵 𦙶 𦙷 𦙸 𦙹 𦙺 𦙻 𦙼 𦙽 𦙾 𦙿 𦚀 𦚁 𦚂 𦚃 𦚄 𦚅 𦚆 𦚇 𦚈 𦚉 𦚊 𦚋 𦚌 𦚍 𦚎 𦚏 𦚐 𦚑 𦚒 𦚓 𦚔 𦚕 𦚖 𦚗 𦚘 𦚙 𦚚 𦚛 𦚜 𦚝 𦚞 𦚟 𦚠 𦚡 𦚢 𦚣 𦚤 𦚥 𦚦 𦚧 𦚨 𦚩 𦚪 𦚫 𦚬 𦚭 𦚮 𦚯 𦚰 𦚱 𦚲 𦚳 𦚴 𦚵 𦚶 𦚷 𦚸 𦚹 𦚺 𦚻 𦚼 𦚽 𦚾 𦚿 𦛀 𦛁 𦛂 𦛃 𦛄 𦛅 𦛆 𦛇 𦛈 𦛉 𦛊 𦛋 𦛌 𦛍 𦛎 𦛏 𦛐 𦛑 𦛒 𦛓 𦛔 𦛕 𦛖 𦛗 𦛘 𦛙 𦛚 𦛛 𦛜 𦛝 𦛞 𦛟 𦛠 𦛡 𦛢 𦛣 𦛤 𦛥 𦛦 𦛧 𦛨 𦛩 𦛪 𦛫 𦛬 𦛭 𦛮 𦛯 𦛰 𦛱 𦛲 𦛳 𦛴 𦛵 𦛶 𦛷 𦛸 𦛹 𦛺 𦛻 𦛼 𦛽 𦛾 𦛿</t>
        </is>
      </c>
      <c r="Q621" s="38" t="inlineStr">
        <is>
          <t>𦘀 𦘁 𦘂 𦘃 𦘄 𦘅 𦘆 𦘇 𦘈 𦘉 𦘊 𦘋 𦘌 𦘍 𦘎 𦘏 𦘐 𦘑 𦘒 𦘓 𦘔 𦘕 𦘖 𦘗 𦘘 𦘙 𦘚 𦘛 𦘜 𦘝 𦘞 𦘟 𦘠 𦘡 𦘢 𦘣 𦘤 𦘥 𦘦 𦘧 𦘨 𦘩 𦘪 𦘫 𦘬 𦘭 𦘮 𦘯 𦘰 𦘱 𦘲 𦘳 𦘴 𦘵 𦘶 𦘷 𦘸 𦘹 𦘺 𦘻 𦘼 𦘽 𦘾 𦘿 𦙀 𦙁 𦙂 𦙃 𦙄 𦙅 𦙆 𦙇 𦙈 𦙉 𦙊 𦙋 𦙌 𦙍 𦙎 𦙏 𦙐 𦙑 𦙒 𦙓 𦙔 𦙕 𦙖 𦙗 𦙘 𦙙 𦙚 𦙛 𦙜 𦙝 𦙞 𦙟 𦙠 𦙡 𦙢 𦙣 𦙤 𦙥 𦙦 𦙧 𦙨 𦙩 𦙪 𦙫 𦙬 𦙭 𦙮 𦙯 𦙰 𦙱 𦙲 𦙳 𦙴 𦙵 𦙶 𦙷 𦙸 𦙹 𦙺 𦙻 𦙼 𦙽 𦙾 𦙿 𦚀 𦚁 𦚂 𦚃 𦚄 𦚅 𦚆 𦚇 𦚈 𦚉 𦚊 𦚋 𦚌 𦚍 𦚎 𦚏 𦚐 𦚑 𦚒 𦚓 𦚔 𦚕 𦚖 𦚗 𦚘 𦚙 𦚚 𦚛 𦚜 𦚝 𦚞 𦚟 𦚠 𦚡 𦚢 𦚣 𦚤 𦚥 𦚦 𦚧 𦚨 𦚩 𦚪 𦚫 𦚬 𦚭 𦚮 𦚯 𦚰 𦚱 𦚲 𦚳 𦚴 𦚵 𦚶 𦚷 𦚸 𦚹 𦚺 𦚻 𦚼 𦚽 𦚾 𦚿 𦛀 𦛁 𦛂 𦛃 𦛄 𦛅 𦛆 𦛇 𦛈 𦛉 𦛊 𦛋 𦛌 𦛍 𦛎 𦛏 𦛐 𦛑 𦛒 𦛓 𦛔 𦛕 𦛖 𦛗 𦛘 𦛙 𦛚 𦛛 𦛜 𦛝 𦛞 𦛟 𦛠 𦛡 𦛢 𦛣 𦛤 𦛥 𦛦 𦛧 𦛨 𦛩 𦛪 𦛫 𦛬 𦛭 𦛮 𦛯 𦛰 𦛱 𦛲 𦛳 𦛴 𦛵 𦛶 𦛷 𦛸 𦛹 𦛺 𦛻 𦛼 𦛽 𦛾 𦛿</t>
        </is>
      </c>
      <c r="R621" s="43" t="inlineStr">
        <is>
          <t>𦙾 𦚰</t>
        </is>
      </c>
      <c r="S621" s="40" t="n"/>
      <c r="V621" s="14">
        <f>(LEN(O621)+1)/2</f>
        <v/>
      </c>
      <c r="W621" s="14">
        <f>ROUNDDOWN((LEN(P621)+1)/2,0)</f>
        <v/>
      </c>
      <c r="X621" s="14">
        <f>ROUNDDOWN((LEN(Q621)+1)/2,0)</f>
        <v/>
      </c>
      <c r="Y621" s="14">
        <f>ROUNDDOWN((LEN(R621)+1)/2,0)</f>
        <v/>
      </c>
      <c r="Z621" s="14">
        <f>ROUNDDOWN((LEN(S621)+1)/2,0)</f>
        <v/>
      </c>
      <c r="AA621" s="56" t="n">
        <v>46150.55882200682</v>
      </c>
    </row>
    <row r="622" ht="102" customHeight="1">
      <c r="B622" s="46" t="inlineStr">
        <is>
          <t>U+26800-U+268FF</t>
        </is>
      </c>
      <c r="C622" s="46" t="inlineStr">
        <is>
          <t>CJK Unified Ideographs Extension B</t>
        </is>
      </c>
      <c r="D622" s="54">
        <f>HEX2DEC(MID(B622,3,FIND("-",E622)-3))</f>
        <v/>
      </c>
      <c r="E622" s="46" t="inlineStr">
        <is>
          <t>U+20000-U+2A6DF</t>
        </is>
      </c>
      <c r="F622" s="12" t="n">
        <v>4</v>
      </c>
      <c r="J622" s="19">
        <f>ROUNDDOWN(W622,0)/$V622</f>
        <v/>
      </c>
      <c r="K622" s="19">
        <f>ROUNDDOWN(X622,0)/$V622</f>
        <v/>
      </c>
      <c r="L622" s="19">
        <f>ROUNDDOWN(Y622,0)/$V622</f>
        <v/>
      </c>
      <c r="M622" s="19">
        <f>ROUNDDOWN(Z622,0)/$V622</f>
        <v/>
      </c>
      <c r="O622" s="36" t="inlineStr">
        <is>
          <t>𦜀 𦜁 𦜂 𦜃 𦜄 𦜅 𦜆 𦜇 𦜈 𦜉 𦜊 𦜋 𦜌 𦜍 𦜎 𦜏 𦜐 𦜑 𦜒 𦜓 𦜔 𦜕 𦜖 𦜗 𦜘 𦜙 𦜚 𦜛 𦜜 𦜝 𦜞 𦜟 𦜠 𦜡 𦜢 𦜣 𦜤 𦜥 𦜦 𦜧 𦜨 𦜩 𦜪 𦜫 𦜬 𦜭 𦜮 𦜯 𦜰 𦜱 𦜲 𦜳 𦜴 𦜵 𦜶 𦜷 𦜸 𦜹 𦜺 𦜻 𦜼 𦜽 𦜾 𦜿 𦝀 𦝁 𦝂 𦝃 𦝄 𦝅 𦝆 𦝇 𦝈 𦝉 𦝊 𦝋 𦝌 𦝍 𦝎 𦝏 𦝐 𦝑 𦝒 𦝓 𦝔 𦝕 𦝖 𦝗 𦝘 𦝙 𦝚 𦝛 𦝜 𦝝 𦝞 𦝟 𦝠 𦝡 𦝢 𦝣 𦝤 𦝥 𦝦 𦝧 𦝨 𦝩 𦝪 𦝫 𦝬 𦝭 𦝮 𦝯 𦝰 𦝱 𦝲 𦝳 𦝴 𦝵 𦝶 𦝷 𦝸 𦝹 𦝺 𦝻 𦝼 𦝽 𦝾 𦝿 𦞀 𦞁 𦞂 𦞃 𦞄 𦞅 𦞆 𦞇 𦞈 𦞉 𦞊 𦞋 𦞌 𦞍 𦞎 𦞏 𦞐 𦞑 𦞒 𦞓 𦞔 𦞕 𦞖 𦞗 𦞘 𦞙 𦞚 𦞛 𦞜 𦞝 𦞞 𦞟 𦞠 𦞡 𦞢 𦞣 𦞤 𦞥 𦞦 𦞧 𦞨 𦞩 𦞪 𦞫 𦞬 𦞭 𦞮 𦞯 𦞰 𦞱 𦞲 𦞳 𦞴 𦞵 𦞶 𦞷 𦞸 𦞹 𦞺 𦞻 𦞼 𦞽 𦞾 𦞿 𦟀 𦟁 𦟂 𦟃 𦟄 𦟅 𦟆 𦟇 𦟈 𦟉 𦟊 𦟋 𦟌 𦟍 𦟎 𦟏 𦟐 𦟑 𦟒 𦟓 𦟔 𦟕 𦟖 𦟗 𦟘 𦟙 𦟚 𦟛 𦟜 𦟝 𦟞 𦟟 𦟠 𦟡 𦟢 𦟣 𦟤 𦟥 𦟦 𦟧 𦟨 𦟩 𦟪 𦟫 𦟬 𦟭 𦟮 𦟯 𦟰 𦟱 𦟲 𦟳 𦟴 𦟵 𦟶 𦟷 𦟸 𦟹 𦟺 𦟻 𦟼 𦟽 𦟾 𦟿</t>
        </is>
      </c>
      <c r="P622" s="37" t="inlineStr">
        <is>
          <t>𦜀 𦜁 𦜂 𦜃 𦜄 𦜅 𦜆 𦜇 𦜈 𦜉 𦜊 𦜋 𦜌 𦜍 𦜎 𦜏 𦜐 𦜑 𦜒 𦜓 𦜔 𦜕 𦜖 𦜗 𦜘 𦜙 𦜚 𦜛 𦜜 𦜝 𦜞 𦜟 𦜠 𦜡 𦜢 𦜣 𦜤 𦜥 𦜦 𦜧 𦜨 𦜩 𦜪 𦜫 𦜬 𦜭 𦜮 𦜯 𦜰 𦜱 𦜲 𦜳 𦜴 𦜵 𦜶 𦜷 𦜸 𦜹 𦜺 𦜻 𦜼 𦜽 𦜾 𦜿 𦝀 𦝁 𦝂 𦝃 𦝄 𦝅 𦝆 𦝇 𦝈 𦝉 𦝊 𦝋 𦝌 𦝍 𦝎 𦝏 𦝐 𦝑 𦝒 𦝓 𦝔 𦝕 𦝖 𦝗 𦝘 𦝙 𦝚 𦝛 𦝜 𦝝 𦝞 𦝟 𦝠 𦝡 𦝢 𦝣 𦝤 𦝥 𦝦 𦝧 𦝨 𦝩 𦝪 𦝫 𦝬 𦝭 𦝮 𦝯 𦝰 𦝱 𦝲 𦝳 𦝴 𦝵 𦝶 𦝷 𦝸 𦝹 𦝺 𦝻 𦝼 𦝽 𦝾 𦝿 𦞀 𦞁 𦞂 𦞃 𦞄 𦞅 𦞆 𦞇 𦞈 𦞉 𦞊 𦞋 𦞌 𦞍 𦞎 𦞏 𦞐 𦞑 𦞒 𦞓 𦞔 𦞕 𦞖 𦞗 𦞘 𦞙 𦞚 𦞛 𦞜 𦞝 𦞞 𦞟 𦞠 𦞡 𦞢 𦞣 𦞤 𦞥 𦞦 𦞧 𦞨 𦞩 𦞪 𦞫 𦞬 𦞭 𦞮 𦞯 𦞰 𦞱 𦞲 𦞳 𦞴 𦞵 𦞶 𦞷 𦞸 𦞹 𦞺 𦞻 𦞼 𦞽 𦞾 𦞿 𦟀 𦟁 𦟂 𦟃 𦟄 𦟅 𦟆 𦟇 𦟈 𦟉 𦟊 𦟋 𦟌 𦟍 𦟎 𦟏 𦟐 𦟑 𦟒 𦟓 𦟔 𦟕 𦟖 𦟗 𦟘 𦟙 𦟚 𦟛 𦟜 𦟝 𦟞 𦟟 𦟠 𦟡 𦟢 𦟣 𦟤 𦟥 𦟦 𦟧 𦟨 𦟩 𦟪 𦟫 𦟬 𦟭 𦟮 𦟯 𦟰 𦟱 𦟲 𦟳 𦟴 𦟵 𦟶 𦟷 𦟸 𦟹 𦟺 𦟻 𦟼 𦟽 𦟾 𦟿</t>
        </is>
      </c>
      <c r="Q622" s="38" t="inlineStr">
        <is>
          <t>𦜀 𦜁 𦜂 𦜃 𦜄 𦜅 𦜆 𦜇 𦜈 𦜉 𦜊 𦜋 𦜌 𦜍 𦜎 𦜏 𦜐 𦜑 𦜒 𦜓 𦜔 𦜕 𦜖 𦜗 𦜘 𦜙 𦜚 𦜛 𦜜 𦜝 𦜞 𦜟 𦜠 𦜡 𦜢 𦜣 𦜤 𦜥 𦜦 𦜧 𦜨 𦜩 𦜪 𦜫 𦜬 𦜭 𦜮 𦜯 𦜰 𦜱 𦜲 𦜳 𦜴 𦜵 𦜶 𦜷 𦜸 𦜹 𦜺 𦜻 𦜼 𦜽 𦜾 𦜿 𦝀 𦝁 𦝂 𦝃 𦝄 𦝅 𦝆 𦝇 𦝈 𦝉 𦝊 𦝋 𦝌 𦝍 𦝎 𦝏 𦝐 𦝑 𦝒 𦝓 𦝔 𦝕 𦝖 𦝗 𦝘 𦝙 𦝚 𦝛 𦝜 𦝝 𦝞 𦝟 𦝠 𦝡 𦝢 𦝣 𦝤 𦝥 𦝦 𦝧 𦝨 𦝩 𦝪 𦝫 𦝬 𦝭 𦝮 𦝯 𦝰 𦝱 𦝲 𦝳 𦝴 𦝵 𦝶 𦝷 𦝸 𦝹 𦝺 𦝻 𦝼 𦝽 𦝾 𦝿 𦞀 𦞁 𦞂 𦞃 𦞄 𦞅 𦞆 𦞇 𦞈 𦞉 𦞊 𦞋 𦞌 𦞍 𦞎 𦞏 𦞐 𦞑 𦞒 𦞓 𦞔 𦞕 𦞖 𦞗 𦞘 𦞙 𦞚 𦞛 𦞜 𦞝 𦞞 𦞟 𦞠 𦞡 𦞢 𦞣 𦞤 𦞥 𦞦 𦞧 𦞨 𦞩 𦞪 𦞫 𦞬 𦞭 𦞮 𦞯 𦞰 𦞱 𦞲 𦞳 𦞴 𦞵 𦞶 𦞷 𦞸 𦞹 𦞺 𦞻 𦞼 𦞽 𦞾 𦞿 𦟀 𦟁 𦟂 𦟃 𦟄 𦟅 𦟆 𦟇 𦟈 𦟉 𦟊 𦟋 𦟌 𦟍 𦟎 𦟏 𦟐 𦟑 𦟒 𦟓 𦟔 𦟕 𦟖 𦟗 𦟘 𦟙 𦟚 𦟛 𦟜 𦟝 𦟞 𦟟 𦟠 𦟡 𦟢 𦟣 𦟤 𦟥 𦟦 𦟧 𦟨 𦟩 𦟪 𦟫 𦟬 𦟭 𦟮 𦟯 𦟰 𦟱 𦟲 𦟳 𦟴 𦟵 𦟶 𦟷 𦟸 𦟹 𦟺 𦟻 𦟼 𦟽 𦟾 𦟿</t>
        </is>
      </c>
      <c r="R622" s="43" t="inlineStr">
        <is>
          <t>𦜝 𦟌 𦟪</t>
        </is>
      </c>
      <c r="S622" s="40" t="n"/>
      <c r="V622" s="14">
        <f>(LEN(O622)+1)/2</f>
        <v/>
      </c>
      <c r="W622" s="14">
        <f>ROUNDDOWN((LEN(P622)+1)/2,0)</f>
        <v/>
      </c>
      <c r="X622" s="14">
        <f>ROUNDDOWN((LEN(Q622)+1)/2,0)</f>
        <v/>
      </c>
      <c r="Y622" s="14">
        <f>ROUNDDOWN((LEN(R622)+1)/2,0)</f>
        <v/>
      </c>
      <c r="Z622" s="14">
        <f>ROUNDDOWN((LEN(S622)+1)/2,0)</f>
        <v/>
      </c>
      <c r="AA622" s="56" t="n">
        <v>46150.55882320266</v>
      </c>
    </row>
    <row r="623" ht="102" customHeight="1">
      <c r="B623" s="46" t="inlineStr">
        <is>
          <t>U+26900-U+269FF</t>
        </is>
      </c>
      <c r="C623" s="46" t="inlineStr">
        <is>
          <t>CJK Unified Ideographs Extension B</t>
        </is>
      </c>
      <c r="D623" s="54">
        <f>HEX2DEC(MID(B623,3,FIND("-",E623)-3))</f>
        <v/>
      </c>
      <c r="E623" s="46" t="inlineStr">
        <is>
          <t>U+20000-U+2A6DF</t>
        </is>
      </c>
      <c r="F623" s="12" t="n">
        <v>4</v>
      </c>
      <c r="J623" s="19">
        <f>ROUNDDOWN(W623,0)/$V623</f>
        <v/>
      </c>
      <c r="K623" s="19">
        <f>ROUNDDOWN(X623,0)/$V623</f>
        <v/>
      </c>
      <c r="L623" s="19">
        <f>ROUNDDOWN(Y623,0)/$V623</f>
        <v/>
      </c>
      <c r="M623" s="19">
        <f>ROUNDDOWN(Z623,0)/$V623</f>
        <v/>
      </c>
      <c r="O623" s="36" t="inlineStr">
        <is>
          <t>𦠀 𦠁 𦠂 𦠃 𦠄 𦠅 𦠆 𦠇 𦠈 𦠉 𦠊 𦠋 𦠌 𦠍 𦠎 𦠏 𦠐 𦠑 𦠒 𦠓 𦠔 𦠕 𦠖 𦠗 𦠘 𦠙 𦠚 𦠛 𦠜 𦠝 𦠞 𦠟 𦠠 𦠡 𦠢 𦠣 𦠤 𦠥 𦠦 𦠧 𦠨 𦠩 𦠪 𦠫 𦠬 𦠭 𦠮 𦠯 𦠰 𦠱 𦠲 𦠳 𦠴 𦠵 𦠶 𦠷 𦠸 𦠹 𦠺 𦠻 𦠼 𦠽 𦠾 𦠿 𦡀 𦡁 𦡂 𦡃 𦡄 𦡅 𦡆 𦡇 𦡈 𦡉 𦡊 𦡋 𦡌 𦡍 𦡎 𦡏 𦡐 𦡑 𦡒 𦡓 𦡔 𦡕 𦡖 𦡗 𦡘 𦡙 𦡚 𦡛 𦡜 𦡝 𦡞 𦡟 𦡠 𦡡 𦡢 𦡣 𦡤 𦡥 𦡦 𦡧 𦡨 𦡩 𦡪 𦡫 𦡬 𦡭 𦡮 𦡯 𦡰 𦡱 𦡲 𦡳 𦡴 𦡵 𦡶 𦡷 𦡸 𦡹 𦡺 𦡻 𦡼 𦡽 𦡾 𦡿 𦢀 𦢁 𦢂 𦢃 𦢄 𦢅 𦢆 𦢇 𦢈 𦢉 𦢊 𦢋 𦢌 𦢍 𦢎 𦢏 𦢐 𦢑 𦢒 𦢓 𦢔 𦢕 𦢖 𦢗 𦢘 𦢙 𦢚 𦢛 𦢜 𦢝 𦢞 𦢟 𦢠 𦢡 𦢢 𦢣 𦢤 𦢥 𦢦 𦢧 𦢨 𦢩 𦢪 𦢫 𦢬 𦢭 𦢮 𦢯 𦢰 𦢱 𦢲 𦢳 𦢴 𦢵 𦢶 𦢷 𦢸 𦢹 𦢺 𦢻 𦢼 𦢽 𦢾 𦢿 𦣀 𦣁 𦣂 𦣃 𦣄 𦣅 𦣆 𦣇 𦣈 𦣉 𦣊 𦣋 𦣌 𦣍 𦣎 𦣏 𦣐 𦣑 𦣒 𦣓 𦣔 𦣕 𦣖 𦣗 𦣘 𦣙 𦣚 𦣛 𦣜 𦣝 𦣞 𦣟 𦣠 𦣡 𦣢 𦣣 𦣤 𦣥 𦣦 𦣧 𦣨 𦣩 𦣪 𦣫 𦣬 𦣭 𦣮 𦣯 𦣰 𦣱 𦣲 𦣳 𦣴 𦣵 𦣶 𦣷 𦣸 𦣹 𦣺 𦣻 𦣼 𦣽 𦣾 𦣿</t>
        </is>
      </c>
      <c r="P623" s="37" t="inlineStr">
        <is>
          <t>𦠀 𦠁 𦠂 𦠃 𦠄 𦠅 𦠆 𦠇 𦠈 𦠉 𦠊 𦠋 𦠌 𦠍 𦠎 𦠏 𦠐 𦠑 𦠒 𦠓 𦠔 𦠕 𦠖 𦠗 𦠘 𦠙 𦠚 𦠛 𦠜 𦠝 𦠞 𦠟 𦠠 𦠡 𦠢 𦠣 𦠤 𦠥 𦠦 𦠧 𦠨 𦠩 𦠪 𦠫 𦠬 𦠭 𦠮 𦠯 𦠰 𦠱 𦠲 𦠳 𦠴 𦠵 𦠶 𦠷 𦠸 𦠹 𦠺 𦠻 𦠼 𦠽 𦠾 𦠿 𦡀 𦡁 𦡂 𦡃 𦡄 𦡅 𦡆 𦡇 𦡈 𦡉 𦡊 𦡋 𦡌 𦡍 𦡎 𦡏 𦡐 𦡑 𦡒 𦡓 𦡔 𦡕 𦡖 𦡗 𦡘 𦡙 𦡚 𦡛 𦡜 𦡝 𦡞 𦡟 𦡠 𦡡 𦡢 𦡣 𦡤 𦡥 𦡦 𦡧 𦡨 𦡩 𦡪 𦡫 𦡬 𦡭 𦡮 𦡯 𦡰 𦡱 𦡲 𦡳 𦡴 𦡵 𦡶 𦡷 𦡸 𦡹 𦡺 𦡻 𦡼 𦡽 𦡾 𦡿 𦢀 𦢁 𦢂 𦢃 𦢄 𦢅 𦢆 𦢇 𦢈 𦢉 𦢊 𦢋 𦢌 𦢍 𦢎 𦢏 𦢐 𦢑 𦢒 𦢓 𦢔 𦢕 𦢖 𦢗 𦢘 𦢙 𦢚 𦢛 𦢜 𦢝 𦢞 𦢟 𦢠 𦢡 𦢢 𦢣 𦢤 𦢥 𦢦 𦢧 𦢨 𦢩 𦢪 𦢫 𦢬 𦢭 𦢮 𦢯 𦢰 𦢱 𦢲 𦢳 𦢴 𦢵 𦢶 𦢷 𦢸 𦢹 𦢺 𦢻 𦢼 𦢽 𦢾 𦢿 𦣀 𦣁 𦣂 𦣃 𦣄 𦣅 𦣆 𦣇 𦣈 𦣉 𦣊 𦣋 𦣌 𦣍 𦣎 𦣏 𦣐 𦣑 𦣒 𦣓 𦣔 𦣕 𦣖 𦣗 𦣘 𦣙 𦣚 𦣛 𦣜 𦣝 𦣞 𦣟 𦣠 𦣡 𦣢 𦣣 𦣤 𦣥 𦣦 𦣧 𦣨 𦣩 𦣪 𦣫 𦣬 𦣭 𦣮 𦣯 𦣰 𦣱 𦣲 𦣳 𦣴 𦣵 𦣶 𦣷 𦣸 𦣹 𦣺 𦣻 𦣼 𦣽 𦣾 𦣿</t>
        </is>
      </c>
      <c r="Q623" s="38" t="inlineStr">
        <is>
          <t>𦠀 𦠁 𦠂 𦠃 𦠄 𦠅 𦠆 𦠇 𦠈 𦠉 𦠊 𦠋 𦠌 𦠍 𦠎 𦠏 𦠐 𦠑 𦠒 𦠓 𦠔 𦠕 𦠖 𦠗 𦠘 𦠙 𦠚 𦠛 𦠜 𦠝 𦠞 𦠟 𦠠 𦠡 𦠢 𦠣 𦠤 𦠥 𦠦 𦠧 𦠨 𦠩 𦠪 𦠫 𦠬 𦠭 𦠮 𦠯 𦠰 𦠱 𦠲 𦠳 𦠴 𦠵 𦠶 𦠷 𦠸 𦠹 𦠺 𦠻 𦠼 𦠽 𦠾 𦠿 𦡀 𦡁 𦡂 𦡃 𦡄 𦡅 𦡆 𦡇 𦡈 𦡉 𦡊 𦡋 𦡌 𦡍 𦡎 𦡏 𦡐 𦡑 𦡒 𦡓 𦡔 𦡕 𦡖 𦡗 𦡘 𦡙 𦡚 𦡛 𦡜 𦡝 𦡞 𦡟 𦡠 𦡡 𦡢 𦡣 𦡤 𦡥 𦡦 𦡧 𦡨 𦡩 𦡪 𦡫 𦡬 𦡭 𦡮 𦡯 𦡰 𦡱 𦡲 𦡳 𦡴 𦡵 𦡶 𦡷 𦡸 𦡹 𦡺 𦡻 𦡼 𦡽 𦡾 𦡿 𦢀 𦢁 𦢂 𦢃 𦢄 𦢅 𦢆 𦢇 𦢈 𦢉 𦢊 𦢋 𦢌 𦢍 𦢎 𦢏 𦢐 𦢑 𦢒 𦢓 𦢔 𦢕 𦢖 𦢗 𦢘 𦢙 𦢚 𦢛 𦢜 𦢝 𦢞 𦢟 𦢠 𦢡 𦢢 𦢣 𦢤 𦢥 𦢦 𦢧 𦢨 𦢩 𦢪 𦢫 𦢬 𦢭 𦢮 𦢯 𦢰 𦢱 𦢲 𦢳 𦢴 𦢵 𦢶 𦢷 𦢸 𦢹 𦢺 𦢻 𦢼 𦢽 𦢾 𦢿 𦣀 𦣁 𦣂 𦣃 𦣄 𦣅 𦣆 𦣇 𦣈 𦣉 𦣊 𦣋 𦣌 𦣍 𦣎 𦣏 𦣐 𦣑 𦣒 𦣓 𦣔 𦣕 𦣖 𦣗 𦣘 𦣙 𦣚 𦣛 𦣜 𦣝 𦣞 𦣟 𦣠 𦣡 𦣢 𦣣 𦣤 𦣥 𦣦 𦣧 𦣨 𦣩 𦣪 𦣫 𦣬 𦣭 𦣮 𦣯 𦣰 𦣱 𦣲 𦣳 𦣴 𦣵 𦣶 𦣷 𦣸 𦣹 𦣺 𦣻 𦣼 𦣽 𦣾 𦣿</t>
        </is>
      </c>
      <c r="R623" s="43" t="inlineStr">
        <is>
          <t>𦢊 𦣝 𦣪</t>
        </is>
      </c>
      <c r="S623" s="40" t="n"/>
      <c r="V623" s="14">
        <f>(LEN(O623)+1)/2</f>
        <v/>
      </c>
      <c r="W623" s="14">
        <f>ROUNDDOWN((LEN(P623)+1)/2,0)</f>
        <v/>
      </c>
      <c r="X623" s="14">
        <f>ROUNDDOWN((LEN(Q623)+1)/2,0)</f>
        <v/>
      </c>
      <c r="Y623" s="14">
        <f>ROUNDDOWN((LEN(R623)+1)/2,0)</f>
        <v/>
      </c>
      <c r="Z623" s="14">
        <f>ROUNDDOWN((LEN(S623)+1)/2,0)</f>
        <v/>
      </c>
      <c r="AA623" s="56" t="n">
        <v>46150.55882440976</v>
      </c>
    </row>
    <row r="624" ht="102" customHeight="1">
      <c r="B624" s="46" t="inlineStr">
        <is>
          <t>U+26A00-U+26AFF</t>
        </is>
      </c>
      <c r="C624" s="46" t="inlineStr">
        <is>
          <t>CJK Unified Ideographs Extension B</t>
        </is>
      </c>
      <c r="D624" s="54">
        <f>HEX2DEC(MID(B624,3,FIND("-",E624)-3))</f>
        <v/>
      </c>
      <c r="E624" s="46" t="inlineStr">
        <is>
          <t>U+20000-U+2A6DF</t>
        </is>
      </c>
      <c r="F624" s="12" t="n">
        <v>4</v>
      </c>
      <c r="J624" s="19">
        <f>ROUNDDOWN(W624,0)/$V624</f>
        <v/>
      </c>
      <c r="K624" s="19">
        <f>ROUNDDOWN(X624,0)/$V624</f>
        <v/>
      </c>
      <c r="L624" s="19">
        <f>ROUNDDOWN(Y624,0)/$V624</f>
        <v/>
      </c>
      <c r="M624" s="19">
        <f>ROUNDDOWN(Z624,0)/$V624</f>
        <v/>
      </c>
      <c r="O624" s="36" t="inlineStr">
        <is>
          <t>𦤀 𦤁 𦤂 𦤃 𦤄 𦤅 𦤆 𦤇 𦤈 𦤉 𦤊 𦤋 𦤌 𦤍 𦤎 𦤏 𦤐 𦤑 𦤒 𦤓 𦤔 𦤕 𦤖 𦤗 𦤘 𦤙 𦤚 𦤛 𦤜 𦤝 𦤞 𦤟 𦤠 𦤡 𦤢 𦤣 𦤤 𦤥 𦤦 𦤧 𦤨 𦤩 𦤪 𦤫 𦤬 𦤭 𦤮 𦤯 𦤰 𦤱 𦤲 𦤳 𦤴 𦤵 𦤶 𦤷 𦤸 𦤹 𦤺 𦤻 𦤼 𦤽 𦤾 𦤿 𦥀 𦥁 𦥂 𦥃 𦥄 𦥅 𦥆 𦥇 𦥈 𦥉 𦥊 𦥋 𦥌 𦥍 𦥎 𦥏 𦥐 𦥑 𦥒 𦥓 𦥔 𦥕 𦥖 𦥗 𦥘 𦥙 𦥚 𦥛 𦥜 𦥝 𦥞 𦥟 𦥠 𦥡 𦥢 𦥣 𦥤 𦥥 𦥦 𦥧 𦥨 𦥩 𦥪 𦥫 𦥬 𦥭 𦥮 𦥯 𦥰 𦥱 𦥲 𦥳 𦥴 𦥵 𦥶 𦥷 𦥸 𦥹 𦥺 𦥻 𦥼 𦥽 𦥾 𦥿 𦦀 𦦁 𦦂 𦦃 𦦄 𦦅 𦦆 𦦇 𦦈 𦦉 𦦊 𦦋 𦦌 𦦍 𦦎 𦦏 𦦐 𦦑 𦦒 𦦓 𦦔 𦦕 𦦖 𦦗 𦦘 𦦙 𦦚 𦦛 𦦜 𦦝 𦦞 𦦟 𦦠 𦦡 𦦢 𦦣 𦦤 𦦥 𦦦 𦦧 𦦨 𦦩 𦦪 𦦫 𦦬 𦦭 𦦮 𦦯 𦦰 𦦱 𦦲 𦦳 𦦴 𦦵 𦦶 𦦷 𦦸 𦦹 𦦺 𦦻 𦦼 𦦽 𦦾 𦦿 𦧀 𦧁 𦧂 𦧃 𦧄 𦧅 𦧆 𦧇 𦧈 𦧉 𦧊 𦧋 𦧌 𦧍 𦧎 𦧏 𦧐 𦧑 𦧒 𦧓 𦧔 𦧕 𦧖 𦧗 𦧘 𦧙 𦧚 𦧛 𦧜 𦧝 𦧞 𦧟 𦧠 𦧡 𦧢 𦧣 𦧤 𦧥 𦧦 𦧧 𦧨 𦧩 𦧪 𦧫 𦧬 𦧭 𦧮 𦧯 𦧰 𦧱 𦧲 𦧳 𦧴 𦧵 𦧶 𦧷 𦧸 𦧹 𦧺 𦧻 𦧼 𦧽 𦧾 𦧿</t>
        </is>
      </c>
      <c r="P624" s="37" t="inlineStr">
        <is>
          <t>𦤀 𦤁 𦤂 𦤃 𦤄 𦤅 𦤆 𦤇 𦤈 𦤉 𦤊 𦤋 𦤌 𦤍 𦤎 𦤏 𦤐 𦤑 𦤒 𦤓 𦤔 𦤕 𦤖 𦤗 𦤘 𦤙 𦤚 𦤛 𦤜 𦤝 𦤞 𦤟 𦤠 𦤡 𦤢 𦤣 𦤤 𦤥 𦤦 𦤧 𦤨 𦤩 𦤪 𦤫 𦤬 𦤭 𦤮 𦤯 𦤰 𦤱 𦤲 𦤳 𦤴 𦤵 𦤶 𦤷 𦤸 𦤹 𦤺 𦤻 𦤼 𦤽 𦤾 𦤿 𦥀 𦥁 𦥂 𦥃 𦥄 𦥅 𦥆 𦥇 𦥈 𦥉 𦥊 𦥋 𦥌 𦥍 𦥎 𦥏 𦥐 𦥑 𦥒 𦥓 𦥔 𦥕 𦥖 𦥗 𦥘 𦥙 𦥚 𦥛 𦥜 𦥝 𦥞 𦥟 𦥠 𦥡 𦥢 𦥣 𦥤 𦥥 𦥦 𦥧 𦥨 𦥩 𦥪 𦥫 𦥬 𦥭 𦥮 𦥯 𦥰 𦥱 𦥲 𦥳 𦥴 𦥵 𦥶 𦥷 𦥸 𦥹 𦥺 𦥻 𦥼 𦥽 𦥾 𦥿 𦦀 𦦁 𦦂 𦦃 𦦄 𦦅 𦦆 𦦇 𦦈 𦦉 𦦊 𦦋 𦦌 𦦍 𦦎 𦦏 𦦐 𦦑 𦦒 𦦓 𦦔 𦦕 𦦖 𦦗 𦦘 𦦙 𦦚 𦦛 𦦜 𦦝 𦦞 𦦟 𦦠 𦦡 𦦢 𦦣 𦦤 𦦥 𦦦 𦦧 𦦨 𦦩 𦦪 𦦫 𦦬 𦦭 𦦮 𦦯 𦦰 𦦱 𦦲 𦦳 𦦴 𦦵 𦦶 𦦷 𦦸 𦦹 𦦺 𦦻 𦦼 𦦽 𦦾 𦦿 𦧀 𦧁 𦧂 𦧃 𦧄 𦧅 𦧆 𦧇 𦧈 𦧉 𦧊 𦧋 𦧌 𦧍 𦧎 𦧏 𦧐 𦧑 𦧒 𦧓 𦧔 𦧕 𦧖 𦧗 𦧘 𦧙 𦧚 𦧛 𦧜 𦧝 𦧞 𦧟 𦧠 𦧡 𦧢 𦧣 𦧤 𦧥 𦧦 𦧧 𦧨 𦧩 𦧪 𦧫 𦧬 𦧭 𦧮 𦧯 𦧰 𦧱 𦧲 𦧳 𦧴 𦧵 𦧶 𦧷 𦧸 𦧹 𦧺 𦧻 𦧼 𦧽 𦧾 𦧿</t>
        </is>
      </c>
      <c r="Q624" s="38" t="inlineStr">
        <is>
          <t>𦤀 𦤁 𦤂 𦤃 𦤄 𦤅 𦤆 𦤇 𦤈 𦤉 𦤊 𦤋 𦤌 𦤍 𦤎 𦤏 𦤐 𦤑 𦤒 𦤓 𦤔 𦤕 𦤖 𦤗 𦤘 𦤙 𦤚 𦤛 𦤜 𦤝 𦤞 𦤟 𦤠 𦤡 𦤢 𦤣 𦤤 𦤥 𦤦 𦤧 𦤨 𦤩 𦤪 𦤫 𦤬 𦤭 𦤮 𦤯 𦤰 𦤱 𦤲 𦤳 𦤴 𦤵 𦤶 𦤷 𦤸 𦤹 𦤺 𦤻 𦤼 𦤽 𦤾 𦤿 𦥀 𦥁 𦥂 𦥃 𦥄 𦥅 𦥆 𦥇 𦥈 𦥉 𦥊 𦥋 𦥌 𦥍 𦥎 𦥏 𦥐 𦥑 𦥒 𦥓 𦥔 𦥕 𦥖 𦥗 𦥘 𦥙 𦥚 𦥛 𦥜 𦥝 𦥞 𦥟 𦥠 𦥡 𦥢 𦥣 𦥤 𦥥 𦥦 𦥧 𦥨 𦥩 𦥪 𦥫 𦥬 𦥭 𦥮 𦥯 𦥰 𦥱 𦥲 𦥳 𦥴 𦥵 𦥶 𦥷 𦥸 𦥹 𦥺 𦥻 𦥼 𦥽 𦥾 𦥿 𦦀 𦦁 𦦂 𦦃 𦦄 𦦅 𦦆 𦦇 𦦈 𦦉 𦦊 𦦋 𦦌 𦦍 𦦎 𦦏 𦦐 𦦑 𦦒 𦦓 𦦔 𦦕 𦦖 𦦗 𦦘 𦦙 𦦚 𦦛 𦦜 𦦝 𦦞 𦦟 𦦠 𦦡 𦦢 𦦣 𦦤 𦦥 𦦦 𦦧 𦦨 𦦩 𦦪 𦦫 𦦬 𦦭 𦦮 𦦯 𦦰 𦦱 𦦲 𦦳 𦦴 𦦵 𦦶 𦦷 𦦸 𦦹 𦦺 𦦻 𦦼 𦦽 𦦾 𦦿 𦧀 𦧁 𦧂 𦧃 𦧄 𦧅 𦧆 𦧇 𦧈 𦧉 𦧊 𦧋 𦧌 𦧍 𦧎 𦧏 𦧐 𦧑 𦧒 𦧓 𦧔 𦧕 𦧖 𦧗 𦧘 𦧙 𦧚 𦧛 𦧜 𦧝 𦧞 𦧟 𦧠 𦧡 𦧢 𦧣 𦧤 𦧥 𦧦 𦧧 𦧨 𦧩 𦧪 𦧫 𦧬 𦧭 𦧮 𦧯 𦧰 𦧱 𦧲 𦧳 𦧴 𦧵 𦧶 𦧷 𦧸 𦧹 𦧺 𦧻 𦧼 𦧽 𦧾 𦧿</t>
        </is>
      </c>
      <c r="R624" s="43" t="inlineStr">
        <is>
          <t>𦤎 𦥯 𦧝 𦧲 𦧺</t>
        </is>
      </c>
      <c r="S624" s="40" t="n"/>
      <c r="V624" s="14">
        <f>(LEN(O624)+1)/2</f>
        <v/>
      </c>
      <c r="W624" s="14">
        <f>ROUNDDOWN((LEN(P624)+1)/2,0)</f>
        <v/>
      </c>
      <c r="X624" s="14">
        <f>ROUNDDOWN((LEN(Q624)+1)/2,0)</f>
        <v/>
      </c>
      <c r="Y624" s="14">
        <f>ROUNDDOWN((LEN(R624)+1)/2,0)</f>
        <v/>
      </c>
      <c r="Z624" s="14">
        <f>ROUNDDOWN((LEN(S624)+1)/2,0)</f>
        <v/>
      </c>
      <c r="AA624" s="56" t="n">
        <v>46150.5588256324</v>
      </c>
    </row>
    <row r="625" ht="102" customHeight="1">
      <c r="B625" s="46" t="inlineStr">
        <is>
          <t>U+26B00-U+26BFF</t>
        </is>
      </c>
      <c r="C625" s="46" t="inlineStr">
        <is>
          <t>CJK Unified Ideographs Extension B</t>
        </is>
      </c>
      <c r="D625" s="54">
        <f>HEX2DEC(MID(B625,3,FIND("-",E625)-3))</f>
        <v/>
      </c>
      <c r="E625" s="46" t="inlineStr">
        <is>
          <t>U+20000-U+2A6DF</t>
        </is>
      </c>
      <c r="F625" s="12" t="n">
        <v>4</v>
      </c>
      <c r="J625" s="19">
        <f>ROUNDDOWN(W625,0)/$V625</f>
        <v/>
      </c>
      <c r="K625" s="19">
        <f>ROUNDDOWN(X625,0)/$V625</f>
        <v/>
      </c>
      <c r="L625" s="19">
        <f>ROUNDDOWN(Y625,0)/$V625</f>
        <v/>
      </c>
      <c r="M625" s="19">
        <f>ROUNDDOWN(Z625,0)/$V625</f>
        <v/>
      </c>
      <c r="O625" s="36" t="inlineStr">
        <is>
          <t>𦨀 𦨁 𦨂 𦨃 𦨄 𦨅 𦨆 𦨇 𦨈 𦨉 𦨊 𦨋 𦨌 𦨍 𦨎 𦨏 𦨐 𦨑 𦨒 𦨓 𦨔 𦨕 𦨖 𦨗 𦨘 𦨙 𦨚 𦨛 𦨜 𦨝 𦨞 𦨟 𦨠 𦨡 𦨢 𦨣 𦨤 𦨥 𦨦 𦨧 𦨨 𦨩 𦨪 𦨫 𦨬 𦨭 𦨮 𦨯 𦨰 𦨱 𦨲 𦨳 𦨴 𦨵 𦨶 𦨷 𦨸 𦨹 𦨺 𦨻 𦨼 𦨽 𦨾 𦨿 𦩀 𦩁 𦩂 𦩃 𦩄 𦩅 𦩆 𦩇 𦩈 𦩉 𦩊 𦩋 𦩌 𦩍 𦩎 𦩏 𦩐 𦩑 𦩒 𦩓 𦩔 𦩕 𦩖 𦩗 𦩘 𦩙 𦩚 𦩛 𦩜 𦩝 𦩞 𦩟 𦩠 𦩡 𦩢 𦩣 𦩤 𦩥 𦩦 𦩧 𦩨 𦩩 𦩪 𦩫 𦩬 𦩭 𦩮 𦩯 𦩰 𦩱 𦩲 𦩳 𦩴 𦩵 𦩶 𦩷 𦩸 𦩹 𦩺 𦩻 𦩼 𦩽 𦩾 𦩿 𦪀 𦪁 𦪂 𦪃 𦪄 𦪅 𦪆 𦪇 𦪈 𦪉 𦪊 𦪋 𦪌 𦪍 𦪎 𦪏 𦪐 𦪑 𦪒 𦪓 𦪔 𦪕 𦪖 𦪗 𦪘 𦪙 𦪚 𦪛 𦪜 𦪝 𦪞 𦪟 𦪠 𦪡 𦪢 𦪣 𦪤 𦪥 𦪦 𦪧 𦪨 𦪩 𦪪 𦪫 𦪬 𦪭 𦪮 𦪯 𦪰 𦪱 𦪲 𦪳 𦪴 𦪵 𦪶 𦪷 𦪸 𦪹 𦪺 𦪻 𦪼 𦪽 𦪾 𦪿 𦫀 𦫁 𦫂 𦫃 𦫄 𦫅 𦫆 𦫇 𦫈 𦫉 𦫊 𦫋 𦫌 𦫍 𦫎 𦫏 𦫐 𦫑 𦫒 𦫓 𦫔 𦫕 𦫖 𦫗 𦫘 𦫙 𦫚 𦫛 𦫜 𦫝 𦫞 𦫟 𦫠 𦫡 𦫢 𦫣 𦫤 𦫥 𦫦 𦫧 𦫨 𦫩 𦫪 𦫫 𦫬 𦫭 𦫮 𦫯 𦫰 𦫱 𦫲 𦫳 𦫴 𦫵 𦫶 𦫷 𦫸 𦫹 𦫺 𦫻 𦫼 𦫽 𦫾 𦫿</t>
        </is>
      </c>
      <c r="P625" s="37" t="inlineStr">
        <is>
          <t>𦨀 𦨁 𦨂 𦨃 𦨄 𦨅 𦨆 𦨇 𦨈 𦨉 𦨊 𦨋 𦨌 𦨍 𦨎 𦨏 𦨐 𦨑 𦨒 𦨓 𦨔 𦨕 𦨖 𦨗 𦨘 𦨙 𦨚 𦨛 𦨜 𦨝 𦨞 𦨟 𦨠 𦨡 𦨢 𦨣 𦨤 𦨥 𦨦 𦨧 𦨨 𦨩 𦨪 𦨫 𦨬 𦨭 𦨮 𦨯 𦨰 𦨱 𦨲 𦨳 𦨴 𦨵 𦨶 𦨷 𦨸 𦨹 𦨺 𦨻 𦨼 𦨽 𦨾 𦨿 𦩀 𦩁 𦩂 𦩃 𦩄 𦩅 𦩆 𦩇 𦩈 𦩉 𦩊 𦩋 𦩌 𦩍 𦩎 𦩏 𦩐 𦩑 𦩒 𦩓 𦩔 𦩕 𦩖 𦩗 𦩘 𦩙 𦩚 𦩛 𦩜 𦩝 𦩞 𦩟 𦩠 𦩡 𦩢 𦩣 𦩤 𦩥 𦩦 𦩧 𦩨 𦩩 𦩪 𦩫 𦩬 𦩭 𦩮 𦩯 𦩰 𦩱 𦩲 𦩳 𦩴 𦩵 𦩶 𦩷 𦩸 𦩹 𦩺 𦩻 𦩼 𦩽 𦩾 𦩿 𦪀 𦪁 𦪂 𦪃 𦪄 𦪅 𦪆 𦪇 𦪈 𦪉 𦪊 𦪋 𦪌 𦪍 𦪎 𦪏 𦪐 𦪑 𦪒 𦪓 𦪔 𦪕 𦪖 𦪗 𦪘 𦪙 𦪚 𦪛 𦪜 𦪝 𦪞 𦪟 𦪠 𦪡 𦪢 𦪣 𦪤 𦪥 𦪦 𦪧 𦪨 𦪩 𦪪 𦪫 𦪬 𦪭 𦪮 𦪯 𦪰 𦪱 𦪲 𦪳 𦪴 𦪵 𦪶 𦪷 𦪸 𦪹 𦪺 𦪻 𦪼 𦪽 𦪾 𦪿 𦫀 𦫁 𦫂 𦫃 𦫄 𦫅 𦫆 𦫇 𦫈 𦫉 𦫊 𦫋 𦫌 𦫍 𦫎 𦫏 𦫐 𦫑 𦫒 𦫓 𦫔 𦫕 𦫖 𦫗 𦫘 𦫙 𦫚 𦫛 𦫜 𦫝 𦫞 𦫟 𦫠 𦫡 𦫢 𦫣 𦫤 𦫥 𦫦 𦫧 𦫨 𦫩 𦫪 𦫫 𦫬 𦫭 𦫮 𦫯 𦫰 𦫱 𦫲 𦫳 𦫴 𦫵 𦫶 𦫷 𦫸 𦫹 𦫺 𦫻 𦫼 𦫽 𦫾 𦫿</t>
        </is>
      </c>
      <c r="Q625" s="38" t="inlineStr">
        <is>
          <t>𦨀 𦨁 𦨂 𦨃 𦨄 𦨅 𦨆 𦨇 𦨈 𦨉 𦨊 𦨋 𦨌 𦨍 𦨎 𦨏 𦨐 𦨑 𦨒 𦨓 𦨔 𦨕 𦨖 𦨗 𦨘 𦨙 𦨚 𦨛 𦨜 𦨝 𦨞 𦨟 𦨠 𦨡 𦨢 𦨣 𦨤 𦨥 𦨦 𦨧 𦨨 𦨩 𦨪 𦨫 𦨬 𦨭 𦨮 𦨯 𦨰 𦨱 𦨲 𦨳 𦨴 𦨵 𦨶 𦨷 𦨸 𦨹 𦨺 𦨻 𦨼 𦨽 𦨾 𦨿 𦩀 𦩁 𦩂 𦩃 𦩄 𦩅 𦩆 𦩇 𦩈 𦩉 𦩊 𦩋 𦩌 𦩍 𦩎 𦩏 𦩐 𦩑 𦩒 𦩓 𦩔 𦩕 𦩖 𦩗 𦩘 𦩙 𦩚 𦩛 𦩜 𦩝 𦩞 𦩟 𦩠 𦩡 𦩢 𦩣 𦩤 𦩥 𦩦 𦩧 𦩨 𦩩 𦩪 𦩫 𦩬 𦩭 𦩮 𦩯 𦩰 𦩱 𦩲 𦩳 𦩴 𦩵 𦩶 𦩷 𦩸 𦩹 𦩺 𦩻 𦩼 𦩽 𦩾 𦩿 𦪀 𦪁 𦪂 𦪃 𦪄 𦪅 𦪆 𦪇 𦪈 𦪉 𦪊 𦪋 𦪌 𦪍 𦪎 𦪏 𦪐 𦪑 𦪒 𦪓 𦪔 𦪕 𦪖 𦪗 𦪘 𦪙 𦪚 𦪛 𦪜 𦪝 𦪞 𦪟 𦪠 𦪡 𦪢 𦪣 𦪤 𦪥 𦪦 𦪧 𦪨 𦪩 𦪪 𦪫 𦪬 𦪭 𦪮 𦪯 𦪰 𦪱 𦪲 𦪳 𦪴 𦪵 𦪶 𦪷 𦪸 𦪹 𦪺 𦪻 𦪼 𦪽 𦪾 𦪿 𦫀 𦫁 𦫂 𦫃 𦫄 𦫅 𦫆 𦫇 𦫈 𦫉 𦫊 𦫋 𦫌 𦫍 𦫎 𦫏 𦫐 𦫑 𦫒 𦫓 𦫔 𦫕 𦫖 𦫗 𦫘 𦫙 𦫚 𦫛 𦫜 𦫝 𦫞 𦫟 𦫠 𦫡 𦫢 𦫣 𦫤 𦫥 𦫦 𦫧 𦫨 𦫩 𦫪 𦫫 𦫬 𦫭 𦫮 𦫯 𦫰 𦫱 𦫲 𦫳 𦫴 𦫵 𦫶 𦫷 𦫸 𦫹 𦫺 𦫻 𦫼 𦫽 𦫾 𦫿</t>
        </is>
      </c>
      <c r="R625" s="43" t="inlineStr">
        <is>
          <t>𦨞 𦨩 𦨭 𦩘 𦪌 𦪷 𦫿</t>
        </is>
      </c>
      <c r="S625" s="40" t="n"/>
      <c r="V625" s="14">
        <f>(LEN(O625)+1)/2</f>
        <v/>
      </c>
      <c r="W625" s="14">
        <f>ROUNDDOWN((LEN(P625)+1)/2,0)</f>
        <v/>
      </c>
      <c r="X625" s="14">
        <f>ROUNDDOWN((LEN(Q625)+1)/2,0)</f>
        <v/>
      </c>
      <c r="Y625" s="14">
        <f>ROUNDDOWN((LEN(R625)+1)/2,0)</f>
        <v/>
      </c>
      <c r="Z625" s="14">
        <f>ROUNDDOWN((LEN(S625)+1)/2,0)</f>
        <v/>
      </c>
      <c r="AA625" s="56" t="n">
        <v>46150.55882691554</v>
      </c>
    </row>
    <row r="626" ht="102" customHeight="1">
      <c r="B626" s="46" t="inlineStr">
        <is>
          <t>U+26C00-U+26CFF</t>
        </is>
      </c>
      <c r="C626" s="46" t="inlineStr">
        <is>
          <t>CJK Unified Ideographs Extension B</t>
        </is>
      </c>
      <c r="D626" s="54">
        <f>HEX2DEC(MID(B626,3,FIND("-",E626)-3))</f>
        <v/>
      </c>
      <c r="E626" s="46" t="inlineStr">
        <is>
          <t>U+20000-U+2A6DF</t>
        </is>
      </c>
      <c r="F626" s="12" t="n">
        <v>4</v>
      </c>
      <c r="J626" s="19">
        <f>ROUNDDOWN(W626,0)/$V626</f>
        <v/>
      </c>
      <c r="K626" s="19">
        <f>ROUNDDOWN(X626,0)/$V626</f>
        <v/>
      </c>
      <c r="L626" s="19">
        <f>ROUNDDOWN(Y626,0)/$V626</f>
        <v/>
      </c>
      <c r="M626" s="19">
        <f>ROUNDDOWN(Z626,0)/$V626</f>
        <v/>
      </c>
      <c r="O626" s="36" t="inlineStr">
        <is>
          <t>𦬀 𦬁 𦬂 𦬃 𦬄 𦬅 𦬆 𦬇 𦬈 𦬉 𦬊 𦬋 𦬌 𦬍 𦬎 𦬏 𦬐 𦬑 𦬒 𦬓 𦬔 𦬕 𦬖 𦬗 𦬘 𦬙 𦬚 𦬛 𦬜 𦬝 𦬞 𦬟 𦬠 𦬡 𦬢 𦬣 𦬤 𦬥 𦬦 𦬧 𦬨 𦬩 𦬪 𦬫 𦬬 𦬭 𦬮 𦬯 𦬰 𦬱 𦬲 𦬳 𦬴 𦬵 𦬶 𦬷 𦬸 𦬹 𦬺 𦬻 𦬼 𦬽 𦬾 𦬿 𦭀 𦭁 𦭂 𦭃 𦭄 𦭅 𦭆 𦭇 𦭈 𦭉 𦭊 𦭋 𦭌 𦭍 𦭎 𦭏 𦭐 𦭑 𦭒 𦭓 𦭔 𦭕 𦭖 𦭗 𦭘 𦭙 𦭚 𦭛 𦭜 𦭝 𦭞 𦭟 𦭠 𦭡 𦭢 𦭣 𦭤 𦭥 𦭦 𦭧 𦭨 𦭩 𦭪 𦭫 𦭬 𦭭 𦭮 𦭯 𦭰 𦭱 𦭲 𦭳 𦭴 𦭵 𦭶 𦭷 𦭸 𦭹 𦭺 𦭻 𦭼 𦭽 𦭾 𦭿 𦮀 𦮁 𦮂 𦮃 𦮄 𦮅 𦮆 𦮇 𦮈 𦮉 𦮊 𦮋 𦮌 𦮍 𦮎 𦮏 𦮐 𦮑 𦮒 𦮓 𦮔 𦮕 𦮖 𦮗 𦮘 𦮙 𦮚 𦮛 𦮜 𦮝 𦮞 𦮟 𦮠 𦮡 𦮢 𦮣 𦮤 𦮥 𦮦 𦮧 𦮨 𦮩 𦮪 𦮫 𦮬 𦮭 𦮮 𦮯 𦮰 𦮱 𦮲 𦮳 𦮴 𦮵 𦮶 𦮷 𦮸 𦮹 𦮺 𦮻 𦮼 𦮽 𦮾 𦮿 𦯀 𦯁 𦯂 𦯃 𦯄 𦯅 𦯆 𦯇 𦯈 𦯉 𦯊 𦯋 𦯌 𦯍 𦯎 𦯏 𦯐 𦯑 𦯒 𦯓 𦯔 𦯕 𦯖 𦯗 𦯘 𦯙 𦯚 𦯛 𦯜 𦯝 𦯞 𦯟 𦯠 𦯡 𦯢 𦯣 𦯤 𦯥 𦯦 𦯧 𦯨 𦯩 𦯪 𦯫 𦯬 𦯭 𦯮 𦯯 𦯰 𦯱 𦯲 𦯳 𦯴 𦯵 𦯶 𦯷 𦯸 𦯹 𦯺 𦯻 𦯼 𦯽 𦯾 𦯿</t>
        </is>
      </c>
      <c r="P626" s="37" t="inlineStr">
        <is>
          <t>𦬀 𦬁 𦬂 𦬃 𦬄 𦬅 𦬆 𦬇 𦬈 𦬉 𦬊 𦬋 𦬌 𦬍 𦬎 𦬏 𦬐 𦬑 𦬒 𦬓 𦬔 𦬕 𦬖 𦬗 𦬘 𦬙 𦬚 𦬛 𦬜 𦬝 𦬞 𦬟 𦬠 𦬡 𦬢 𦬣 𦬤 𦬥 𦬦 𦬧 𦬨 𦬩 𦬪 𦬫 𦬬 𦬭 𦬮 𦬯 𦬰 𦬱 𦬲 𦬳 𦬴 𦬵 𦬶 𦬷 𦬸 𦬹 𦬺 𦬻 𦬼 𦬽 𦬾 𦬿 𦭀 𦭁 𦭂 𦭃 𦭄 𦭅 𦭆 𦭇 𦭈 𦭉 𦭊 𦭋 𦭌 𦭍 𦭎 𦭏 𦭐 𦭑 𦭒 𦭓 𦭔 𦭕 𦭖 𦭗 𦭘 𦭙 𦭚 𦭛 𦭜 𦭝 𦭞 𦭟 𦭠 𦭡 𦭢 𦭣 𦭤 𦭥 𦭦 𦭧 𦭨 𦭩 𦭪 𦭫 𦭬 𦭭 𦭮 𦭯 𦭰 𦭱 𦭲 𦭳 𦭴 𦭵 𦭶 𦭷 𦭸 𦭹 𦭺 𦭻 𦭼 𦭽 𦭾 𦭿 𦮀 𦮁 𦮂 𦮃 𦮄 𦮅 𦮆 𦮇 𦮈 𦮉 𦮊 𦮋 𦮌 𦮍 𦮎 𦮏 𦮐 𦮑 𦮒 𦮓 𦮔 𦮕 𦮖 𦮗 𦮘 𦮙 𦮚 𦮛 𦮜 𦮝 𦮞 𦮟 𦮠 𦮡 𦮢 𦮣 𦮤 𦮥 𦮦 𦮧 𦮨 𦮩 𦮪 𦮫 𦮬 𦮭 𦮮 𦮯 𦮰 𦮱 𦮲 𦮳 𦮴 𦮵 𦮶 𦮷 𦮸 𦮹 𦮺 𦮻 𦮼 𦮽 𦮾 𦮿 𦯀 𦯁 𦯂 𦯃 𦯄 𦯅 𦯆 𦯇 𦯈 𦯉 𦯊 𦯋 𦯌 𦯍 𦯎 𦯏 𦯐 𦯑 𦯒 𦯓 𦯔 𦯕 𦯖 𦯗 𦯘 𦯙 𦯚 𦯛 𦯜 𦯝 𦯞 𦯟 𦯠 𦯡 𦯢 𦯣 𦯤 𦯥 𦯦 𦯧 𦯨 𦯩 𦯪 𦯫 𦯬 𦯭 𦯮 𦯯 𦯰 𦯱 𦯲 𦯳 𦯴 𦯵 𦯶 𦯷 𦯸 𦯹 𦯺 𦯻 𦯼 𦯽 𦯾 𦯿</t>
        </is>
      </c>
      <c r="Q626" s="38" t="inlineStr">
        <is>
          <t>𦬀 𦬁 𦬂 𦬃 𦬄 𦬅 𦬆 𦬇 𦬈 𦬉 𦬊 𦬋 𦬌 𦬍 𦬎 𦬏 𦬐 𦬑 𦬒 𦬓 𦬔 𦬕 𦬖 𦬗 𦬘 𦬙 𦬚 𦬛 𦬜 𦬝 𦬞 𦬟 𦬠 𦬡 𦬢 𦬣 𦬤 𦬥 𦬦 𦬧 𦬨 𦬩 𦬪 𦬫 𦬬 𦬭 𦬮 𦬯 𦬰 𦬱 𦬲 𦬳 𦬴 𦬵 𦬶 𦬷 𦬸 𦬹 𦬺 𦬻 𦬼 𦬽 𦬾 𦬿 𦭀 𦭁 𦭂 𦭃 𦭄 𦭅 𦭆 𦭇 𦭈 𦭉 𦭊 𦭋 𦭌 𦭍 𦭎 𦭏 𦭐 𦭑 𦭒 𦭓 𦭔 𦭕 𦭖 𦭗 𦭘 𦭙 𦭚 𦭛 𦭜 𦭝 𦭞 𦭟 𦭠 𦭡 𦭢 𦭣 𦭤 𦭥 𦭦 𦭧 𦭨 𦭩 𦭪 𦭫 𦭬 𦭭 𦭮 𦭯 𦭰 𦭱 𦭲 𦭳 𦭴 𦭵 𦭶 𦭷 𦭸 𦭹 𦭺 𦭻 𦭼 𦭽 𦭾 𦭿 𦮀 𦮁 𦮂 𦮃 𦮄 𦮅 𦮆 𦮇 𦮈 𦮉 𦮊 𦮋 𦮌 𦮍 𦮎 𦮏 𦮐 𦮑 𦮒 𦮓 𦮔 𦮕 𦮖 𦮗 𦮘 𦮙 𦮚 𦮛 𦮜 𦮝 𦮞 𦮟 𦮠 𦮡 𦮢 𦮣 𦮤 𦮥 𦮦 𦮧 𦮨 𦮩 𦮪 𦮫 𦮬 𦮭 𦮮 𦮯 𦮰 𦮱 𦮲 𦮳 𦮴 𦮵 𦮶 𦮷 𦮸 𦮹 𦮺 𦮻 𦮼 𦮽 𦮾 𦮿 𦯀 𦯁 𦯂 𦯃 𦯄 𦯅 𦯆 𦯇 𦯈 𦯉 𦯊 𦯋 𦯌 𦯍 𦯎 𦯏 𦯐 𦯑 𦯒 𦯓 𦯔 𦯕 𦯖 𦯗 𦯘 𦯙 𦯚 𦯛 𦯜 𦯝 𦯞 𦯟 𦯠 𦯡 𦯢 𦯣 𦯤 𦯥 𦯦 𦯧 𦯨 𦯩 𦯪 𦯫 𦯬 𦯭 𦯮 𦯯 𦯰 𦯱 𦯲 𦯳 𦯴 𦯵 𦯶 𦯷 𦯸 𦯹 𦯺 𦯻 𦯼 𦯽 𦯾 𦯿</t>
        </is>
      </c>
      <c r="R626" s="43" t="inlineStr">
        <is>
          <t>𦭌 𦭜</t>
        </is>
      </c>
      <c r="S626" s="40" t="n"/>
      <c r="V626" s="14">
        <f>(LEN(O626)+1)/2</f>
        <v/>
      </c>
      <c r="W626" s="14">
        <f>ROUNDDOWN((LEN(P626)+1)/2,0)</f>
        <v/>
      </c>
      <c r="X626" s="14">
        <f>ROUNDDOWN((LEN(Q626)+1)/2,0)</f>
        <v/>
      </c>
      <c r="Y626" s="14">
        <f>ROUNDDOWN((LEN(R626)+1)/2,0)</f>
        <v/>
      </c>
      <c r="Z626" s="14">
        <f>ROUNDDOWN((LEN(S626)+1)/2,0)</f>
        <v/>
      </c>
      <c r="AA626" s="56" t="n">
        <v>46150.55882806954</v>
      </c>
    </row>
    <row r="627" ht="102" customHeight="1">
      <c r="B627" s="46" t="inlineStr">
        <is>
          <t>U+26D00-U+26DFF</t>
        </is>
      </c>
      <c r="C627" s="46" t="inlineStr">
        <is>
          <t>CJK Unified Ideographs Extension B</t>
        </is>
      </c>
      <c r="D627" s="54">
        <f>HEX2DEC(MID(B627,3,FIND("-",E627)-3))</f>
        <v/>
      </c>
      <c r="E627" s="46" t="inlineStr">
        <is>
          <t>U+20000-U+2A6DF</t>
        </is>
      </c>
      <c r="F627" s="12" t="n">
        <v>4</v>
      </c>
      <c r="J627" s="19">
        <f>ROUNDDOWN(W627,0)/$V627</f>
        <v/>
      </c>
      <c r="K627" s="19">
        <f>ROUNDDOWN(X627,0)/$V627</f>
        <v/>
      </c>
      <c r="L627" s="19">
        <f>ROUNDDOWN(Y627,0)/$V627</f>
        <v/>
      </c>
      <c r="M627" s="19">
        <f>ROUNDDOWN(Z627,0)/$V627</f>
        <v/>
      </c>
      <c r="O627" s="36" t="inlineStr">
        <is>
          <t>𦰀 𦰁 𦰂 𦰃 𦰄 𦰅 𦰆 𦰇 𦰈 𦰉 𦰊 𦰋 𦰌 𦰍 𦰎 𦰏 𦰐 𦰑 𦰒 𦰓 𦰔 𦰕 𦰖 𦰗 𦰘 𦰙 𦰚 𦰛 𦰜 𦰝 𦰞 𦰟 𦰠 𦰡 𦰢 𦰣 𦰤 𦰥 𦰦 𦰧 𦰨 𦰩 𦰪 𦰫 𦰬 𦰭 𦰮 𦰯 𦰰 𦰱 𦰲 𦰳 𦰴 𦰵 𦰶 𦰷 𦰸 𦰹 𦰺 𦰻 𦰼 𦰽 𦰾 𦰿 𦱀 𦱁 𦱂 𦱃 𦱄 𦱅 𦱆 𦱇 𦱈 𦱉 𦱊 𦱋 𦱌 𦱍 𦱎 𦱏 𦱐 𦱑 𦱒 𦱓 𦱔 𦱕 𦱖 𦱗 𦱘 𦱙 𦱚 𦱛 𦱜 𦱝 𦱞 𦱟 𦱠 𦱡 𦱢 𦱣 𦱤 𦱥 𦱦 𦱧 𦱨 𦱩 𦱪 𦱫 𦱬 𦱭 𦱮 𦱯 𦱰 𦱱 𦱲 𦱳 𦱴 𦱵 𦱶 𦱷 𦱸 𦱹 𦱺 𦱻 𦱼 𦱽 𦱾 𦱿 𦲀 𦲁 𦲂 𦲃 𦲄 𦲅 𦲆 𦲇 𦲈 𦲉 𦲊 𦲋 𦲌 𦲍 𦲎 𦲏 𦲐 𦲑 𦲒 𦲓 𦲔 𦲕 𦲖 𦲗 𦲘 𦲙 𦲚 𦲛 𦲜 𦲝 𦲞 𦲟 𦲠 𦲡 𦲢 𦲣 𦲤 𦲥 𦲦 𦲧 𦲨 𦲩 𦲪 𦲫 𦲬 𦲭 𦲮 𦲯 𦲰 𦲱 𦲲 𦲳 𦲴 𦲵 𦲶 𦲷 𦲸 𦲹 𦲺 𦲻 𦲼 𦲽 𦲾 𦲿 𦳀 𦳁 𦳂 𦳃 𦳄 𦳅 𦳆 𦳇 𦳈 𦳉 𦳊 𦳋 𦳌 𦳍 𦳎 𦳏 𦳐 𦳑 𦳒 𦳓 𦳔 𦳕 𦳖 𦳗 𦳘 𦳙 𦳚 𦳛 𦳜 𦳝 𦳞 𦳟 𦳠 𦳡 𦳢 𦳣 𦳤 𦳥 𦳦 𦳧 𦳨 𦳩 𦳪 𦳫 𦳬 𦳭 𦳮 𦳯 𦳰 𦳱 𦳲 𦳳 𦳴 𦳵 𦳶 𦳷 𦳸 𦳹 𦳺 𦳻 𦳼 𦳽 𦳾 𦳿</t>
        </is>
      </c>
      <c r="P627" s="37" t="inlineStr">
        <is>
          <t>𦰀 𦰁 𦰂 𦰃 𦰄 𦰅 𦰆 𦰇 𦰈 𦰉 𦰊 𦰋 𦰌 𦰍 𦰎 𦰏 𦰐 𦰑 𦰒 𦰓 𦰔 𦰕 𦰖 𦰗 𦰘 𦰙 𦰚 𦰛 𦰜 𦰝 𦰞 𦰟 𦰠 𦰡 𦰢 𦰣 𦰤 𦰥 𦰦 𦰧 𦰨 𦰩 𦰪 𦰫 𦰬 𦰭 𦰮 𦰯 𦰰 𦰱 𦰲 𦰳 𦰴 𦰵 𦰶 𦰷 𦰸 𦰹 𦰺 𦰻 𦰼 𦰽 𦰾 𦰿 𦱀 𦱁 𦱂 𦱃 𦱄 𦱅 𦱆 𦱇 𦱈 𦱉 𦱊 𦱋 𦱌 𦱍 𦱎 𦱏 𦱐 𦱑 𦱒 𦱓 𦱔 𦱕 𦱖 𦱗 𦱘 𦱙 𦱚 𦱛 𦱜 𦱝 𦱞 𦱟 𦱠 𦱡 𦱢 𦱣 𦱤 𦱥 𦱦 𦱧 𦱨 𦱩 𦱪 𦱫 𦱬 𦱭 𦱮 𦱯 𦱰 𦱱 𦱲 𦱳 𦱴 𦱵 𦱶 𦱷 𦱸 𦱹 𦱺 𦱻 𦱼 𦱽 𦱾 𦱿 𦲀 𦲁 𦲂 𦲃 𦲄 𦲅 𦲆 𦲇 𦲈 𦲉 𦲊 𦲋 𦲌 𦲍 𦲎 𦲏 𦲐 𦲑 𦲒 𦲓 𦲔 𦲕 𦲖 𦲗 𦲘 𦲙 𦲚 𦲛 𦲜 𦲝 𦲞 𦲟 𦲠 𦲡 𦲢 𦲣 𦲤 𦲥 𦲦 𦲧 𦲨 𦲩 𦲪 𦲫 𦲬 𦲭 𦲮 𦲯 𦲰 𦲱 𦲲 𦲳 𦲴 𦲵 𦲶 𦲷 𦲸 𦲹 𦲺 𦲻 𦲼 𦲽 𦲾 𦲿 𦳀 𦳁 𦳂 𦳃 𦳄 𦳅 𦳆 𦳇 𦳈 𦳉 𦳊 𦳋 𦳌 𦳍 𦳎 𦳏 𦳐 𦳑 𦳒 𦳓 𦳔 𦳕 𦳖 𦳗 𦳘 𦳙 𦳚 𦳛 𦳜 𦳝 𦳞 𦳟 𦳠 𦳡 𦳢 𦳣 𦳤 𦳥 𦳦 𦳧 𦳨 𦳩 𦳪 𦳫 𦳬 𦳭 𦳮 𦳯 𦳰 𦳱 𦳲 𦳳 𦳴 𦳵 𦳶 𦳷 𦳸 𦳹 𦳺 𦳻 𦳼 𦳽 𦳾 𦳿</t>
        </is>
      </c>
      <c r="Q627" s="38" t="inlineStr">
        <is>
          <t>𦰀 𦰁 𦰂 𦰃 𦰄 𦰅 𦰆 𦰇 𦰈 𦰉 𦰊 𦰋 𦰌 𦰍 𦰎 𦰏 𦰐 𦰑 𦰒 𦰓 𦰔 𦰕 𦰖 𦰗 𦰘 𦰙 𦰚 𦰛 𦰜 𦰝 𦰞 𦰟 𦰠 𦰡 𦰢 𦰣 𦰤 𦰥 𦰦 𦰧 𦰨 𦰩 𦰪 𦰫 𦰬 𦰭 𦰮 𦰯 𦰰 𦰱 𦰲 𦰳 𦰴 𦰵 𦰶 𦰷 𦰸 𦰹 𦰺 𦰻 𦰼 𦰽 𦰾 𦰿 𦱀 𦱁 𦱂 𦱃 𦱄 𦱅 𦱆 𦱇 𦱈 𦱉 𦱊 𦱋 𦱌 𦱍 𦱎 𦱏 𦱐 𦱑 𦱒 𦱓 𦱔 𦱕 𦱖 𦱗 𦱘 𦱙 𦱚 𦱛 𦱜 𦱝 𦱞 𦱟 𦱠 𦱡 𦱢 𦱣 𦱤 𦱥 𦱦 𦱧 𦱨 𦱩 𦱪 𦱫 𦱬 𦱭 𦱮 𦱯 𦱰 𦱱 𦱲 𦱳 𦱴 𦱵 𦱶 𦱷 𦱸 𦱹 𦱺 𦱻 𦱼 𦱽 𦱾 𦱿 𦲀 𦲁 𦲂 𦲃 𦲄 𦲅 𦲆 𦲇 𦲈 𦲉 𦲊 𦲋 𦲌 𦲍 𦲎 𦲏 𦲐 𦲑 𦲒 𦲓 𦲔 𦲕 𦲖 𦲗 𦲘 𦲙 𦲚 𦲛 𦲜 𦲝 𦲞 𦲟 𦲠 𦲡 𦲢 𦲣 𦲤 𦲥 𦲦 𦲧 𦲨 𦲩 𦲪 𦲫 𦲬 𦲭 𦲮 𦲯 𦲰 𦲱 𦲲 𦲳 𦲴 𦲵 𦲶 𦲷 𦲸 𦲹 𦲺 𦲻 𦲼 𦲽 𦲾 𦲿 𦳀 𦳁 𦳂 𦳃 𦳄 𦳅 𦳆 𦳇 𦳈 𦳉 𦳊 𦳋 𦳌 𦳍 𦳎 𦳏 𦳐 𦳑 𦳒 𦳓 𦳔 𦳕 𦳖 𦳗 𦳘 𦳙 𦳚 𦳛 𦳜 𦳝 𦳞 𦳟 𦳠 𦳡 𦳢 𦳣 𦳤 𦳥 𦳦 𦳧 𦳨 𦳩 𦳪 𦳫 𦳬 𦳭 𦳮 𦳯 𦳰 𦳱 𦳲 𦳳 𦳴 𦳵 𦳶 𦳷 𦳸 𦳹 𦳺 𦳻 𦳼 𦳽 𦳾 𦳿</t>
        </is>
      </c>
      <c r="R627" s="43" t="inlineStr">
        <is>
          <t>𦰡 𦰩 𦱳 𦳝</t>
        </is>
      </c>
      <c r="S627" s="40" t="n"/>
      <c r="V627" s="14">
        <f>(LEN(O627)+1)/2</f>
        <v/>
      </c>
      <c r="W627" s="14">
        <f>ROUNDDOWN((LEN(P627)+1)/2,0)</f>
        <v/>
      </c>
      <c r="X627" s="14">
        <f>ROUNDDOWN((LEN(Q627)+1)/2,0)</f>
        <v/>
      </c>
      <c r="Y627" s="14">
        <f>ROUNDDOWN((LEN(R627)+1)/2,0)</f>
        <v/>
      </c>
      <c r="Z627" s="14">
        <f>ROUNDDOWN((LEN(S627)+1)/2,0)</f>
        <v/>
      </c>
      <c r="AA627" s="56" t="n">
        <v>46150.55882929633</v>
      </c>
    </row>
    <row r="628" ht="102" customHeight="1">
      <c r="B628" s="46" t="inlineStr">
        <is>
          <t>U+26E00-U+26EFF</t>
        </is>
      </c>
      <c r="C628" s="46" t="inlineStr">
        <is>
          <t>CJK Unified Ideographs Extension B</t>
        </is>
      </c>
      <c r="D628" s="54">
        <f>HEX2DEC(MID(B628,3,FIND("-",E628)-3))</f>
        <v/>
      </c>
      <c r="E628" s="46" t="inlineStr">
        <is>
          <t>U+20000-U+2A6DF</t>
        </is>
      </c>
      <c r="F628" s="12" t="n">
        <v>4</v>
      </c>
      <c r="J628" s="19">
        <f>ROUNDDOWN(W628,0)/$V628</f>
        <v/>
      </c>
      <c r="K628" s="19">
        <f>ROUNDDOWN(X628,0)/$V628</f>
        <v/>
      </c>
      <c r="L628" s="19">
        <f>ROUNDDOWN(Y628,0)/$V628</f>
        <v/>
      </c>
      <c r="M628" s="19">
        <f>ROUNDDOWN(Z628,0)/$V628</f>
        <v/>
      </c>
      <c r="O628" s="36" t="inlineStr">
        <is>
          <t>𦴀 𦴁 𦴂 𦴃 𦴄 𦴅 𦴆 𦴇 𦴈 𦴉 𦴊 𦴋 𦴌 𦴍 𦴎 𦴏 𦴐 𦴑 𦴒 𦴓 𦴔 𦴕 𦴖 𦴗 𦴘 𦴙 𦴚 𦴛 𦴜 𦴝 𦴞 𦴟 𦴠 𦴡 𦴢 𦴣 𦴤 𦴥 𦴦 𦴧 𦴨 𦴩 𦴪 𦴫 𦴬 𦴭 𦴮 𦴯 𦴰 𦴱 𦴲 𦴳 𦴴 𦴵 𦴶 𦴷 𦴸 𦴹 𦴺 𦴻 𦴼 𦴽 𦴾 𦴿 𦵀 𦵁 𦵂 𦵃 𦵄 𦵅 𦵆 𦵇 𦵈 𦵉 𦵊 𦵋 𦵌 𦵍 𦵎 𦵏 𦵐 𦵑 𦵒 𦵓 𦵔 𦵕 𦵖 𦵗 𦵘 𦵙 𦵚 𦵛 𦵜 𦵝 𦵞 𦵟 𦵠 𦵡 𦵢 𦵣 𦵤 𦵥 𦵦 𦵧 𦵨 𦵩 𦵪 𦵫 𦵬 𦵭 𦵮 𦵯 𦵰 𦵱 𦵲 𦵳 𦵴 𦵵 𦵶 𦵷 𦵸 𦵹 𦵺 𦵻 𦵼 𦵽 𦵾 𦵿 𦶀 𦶁 𦶂 𦶃 𦶄 𦶅 𦶆 𦶇 𦶈 𦶉 𦶊 𦶋 𦶌 𦶍 𦶎 𦶏 𦶐 𦶑 𦶒 𦶓 𦶔 𦶕 𦶖 𦶗 𦶘 𦶙 𦶚 𦶛 𦶜 𦶝 𦶞 𦶟 𦶠 𦶡 𦶢 𦶣 𦶤 𦶥 𦶦 𦶧 𦶨 𦶩 𦶪 𦶫 𦶬 𦶭 𦶮 𦶯 𦶰 𦶱 𦶲 𦶳 𦶴 𦶵 𦶶 𦶷 𦶸 𦶹 𦶺 𦶻 𦶼 𦶽 𦶾 𦶿 𦷀 𦷁 𦷂 𦷃 𦷄 𦷅 𦷆 𦷇 𦷈 𦷉 𦷊 𦷋 𦷌 𦷍 𦷎 𦷏 𦷐 𦷑 𦷒 𦷓 𦷔 𦷕 𦷖 𦷗 𦷘 𦷙 𦷚 𦷛 𦷜 𦷝 𦷞 𦷟 𦷠 𦷡 𦷢 𦷣 𦷤 𦷥 𦷦 𦷧 𦷨 𦷩 𦷪 𦷫 𦷬 𦷭 𦷮 𦷯 𦷰 𦷱 𦷲 𦷳 𦷴 𦷵 𦷶 𦷷 𦷸 𦷹 𦷺 𦷻 𦷼 𦷽 𦷾 𦷿</t>
        </is>
      </c>
      <c r="P628" s="37" t="inlineStr">
        <is>
          <t>𦴀 𦴁 𦴂 𦴃 𦴄 𦴅 𦴆 𦴇 𦴈 𦴉 𦴊 𦴋 𦴌 𦴍 𦴎 𦴏 𦴐 𦴑 𦴒 𦴓 𦴔 𦴕 𦴖 𦴗 𦴘 𦴙 𦴚 𦴛 𦴜 𦴝 𦴞 𦴟 𦴠 𦴡 𦴢 𦴣 𦴤 𦴥 𦴦 𦴧 𦴨 𦴩 𦴪 𦴫 𦴬 𦴭 𦴮 𦴯 𦴰 𦴱 𦴲 𦴳 𦴴 𦴵 𦴶 𦴷 𦴸 𦴹 𦴺 𦴻 𦴼 𦴽 𦴾 𦴿 𦵀 𦵁 𦵂 𦵃 𦵄 𦵅 𦵆 𦵇 𦵈 𦵉 𦵊 𦵋 𦵌 𦵍 𦵎 𦵏 𦵐 𦵑 𦵒 𦵓 𦵔 𦵕 𦵖 𦵗 𦵘 𦵙 𦵚 𦵛 𦵜 𦵝 𦵞 𦵟 𦵠 𦵡 𦵢 𦵣 𦵤 𦵥 𦵦 𦵧 𦵨 𦵩 𦵪 𦵫 𦵬 𦵭 𦵮 𦵯 𦵰 𦵱 𦵲 𦵳 𦵴 𦵵 𦵶 𦵷 𦵸 𦵹 𦵺 𦵻 𦵼 𦵽 𦵾 𦵿 𦶀 𦶁 𦶂 𦶃 𦶄 𦶅 𦶆 𦶇 𦶈 𦶉 𦶊 𦶋 𦶌 𦶍 𦶎 𦶏 𦶐 𦶑 𦶒 𦶓 𦶔 𦶕 𦶖 𦶗 𦶘 𦶙 𦶚 𦶛 𦶜 𦶝 𦶞 𦶟 𦶠 𦶡 𦶢 𦶣 𦶤 𦶥 𦶦 𦶧 𦶨 𦶩 𦶪 𦶫 𦶬 𦶭 𦶮 𦶯 𦶰 𦶱 𦶲 𦶳 𦶴 𦶵 𦶶 𦶷 𦶸 𦶹 𦶺 𦶻 𦶼 𦶽 𦶾 𦶿 𦷀 𦷁 𦷂 𦷃 𦷄 𦷅 𦷆 𦷇 𦷈 𦷉 𦷊 𦷋 𦷌 𦷍 𦷎 𦷏 𦷐 𦷑 𦷒 𦷓 𦷔 𦷕 𦷖 𦷗 𦷘 𦷙 𦷚 𦷛 𦷜 𦷝 𦷞 𦷟 𦷠 𦷡 𦷢 𦷣 𦷤 𦷥 𦷦 𦷧 𦷨 𦷩 𦷪 𦷫 𦷬 𦷭 𦷮 𦷯 𦷰 𦷱 𦷲 𦷳 𦷴 𦷵 𦷶 𦷷 𦷸 𦷹 𦷺 𦷻 𦷼 𦷽 𦷾 𦷿</t>
        </is>
      </c>
      <c r="Q628" s="38" t="inlineStr">
        <is>
          <t>𦴀 𦴁 𦴂 𦴃 𦴄 𦴅 𦴆 𦴇 𦴈 𦴉 𦴊 𦴋 𦴌 𦴍 𦴎 𦴏 𦴐 𦴑 𦴒 𦴓 𦴔 𦴕 𦴖 𦴗 𦴘 𦴙 𦴚 𦴛 𦴜 𦴝 𦴞 𦴟 𦴠 𦴡 𦴢 𦴣 𦴤 𦴥 𦴦 𦴧 𦴨 𦴩 𦴪 𦴫 𦴬 𦴭 𦴮 𦴯 𦴰 𦴱 𦴲 𦴳 𦴴 𦴵 𦴶 𦴷 𦴸 𦴹 𦴺 𦴻 𦴼 𦴽 𦴾 𦴿 𦵀 𦵁 𦵂 𦵃 𦵄 𦵅 𦵆 𦵇 𦵈 𦵉 𦵊 𦵋 𦵌 𦵍 𦵎 𦵏 𦵐 𦵑 𦵒 𦵓 𦵔 𦵕 𦵖 𦵗 𦵘 𦵙 𦵚 𦵛 𦵜 𦵝 𦵞 𦵟 𦵠 𦵡 𦵢 𦵣 𦵤 𦵥 𦵦 𦵧 𦵨 𦵩 𦵪 𦵫 𦵬 𦵭 𦵮 𦵯 𦵰 𦵱 𦵲 𦵳 𦵴 𦵵 𦵶 𦵷 𦵸 𦵹 𦵺 𦵻 𦵼 𦵽 𦵾 𦵿 𦶀 𦶁 𦶂 𦶃 𦶄 𦶅 𦶆 𦶇 𦶈 𦶉 𦶊 𦶋 𦶌 𦶍 𦶎 𦶏 𦶐 𦶑 𦶒 𦶓 𦶔 𦶕 𦶖 𦶗 𦶘 𦶙 𦶚 𦶛 𦶜 𦶝 𦶞 𦶟 𦶠 𦶡 𦶢 𦶣 𦶤 𦶥 𦶦 𦶧 𦶨 𦶩 𦶪 𦶫 𦶬 𦶭 𦶮 𦶯 𦶰 𦶱 𦶲 𦶳 𦶴 𦶵 𦶶 𦶷 𦶸 𦶹 𦶺 𦶻 𦶼 𦶽 𦶾 𦶿 𦷀 𦷁 𦷂 𦷃 𦷄 𦷅 𦷆 𦷇 𦷈 𦷉 𦷊 𦷋 𦷌 𦷍 𦷎 𦷏 𦷐 𦷑 𦷒 𦷓 𦷔 𦷕 𦷖 𦷗 𦷘 𦷙 𦷚 𦷛 𦷜 𦷝 𦷞 𦷟 𦷠 𦷡 𦷢 𦷣 𦷤 𦷥 𦷦 𦷧 𦷨 𦷩 𦷪 𦷫 𦷬 𦷭 𦷮 𦷯 𦷰 𦷱 𦷲 𦷳 𦷴 𦷵 𦷶 𦷷 𦷸 𦷹 𦷺 𦷻 𦷼 𦷽 𦷾 𦷿</t>
        </is>
      </c>
      <c r="R628" s="43" t="inlineStr">
        <is>
          <t>𦶟</t>
        </is>
      </c>
      <c r="S628" s="40" t="n"/>
      <c r="V628" s="14">
        <f>(LEN(O628)+1)/2</f>
        <v/>
      </c>
      <c r="W628" s="14">
        <f>ROUNDDOWN((LEN(P628)+1)/2,0)</f>
        <v/>
      </c>
      <c r="X628" s="14">
        <f>ROUNDDOWN((LEN(Q628)+1)/2,0)</f>
        <v/>
      </c>
      <c r="Y628" s="14">
        <f>ROUNDDOWN((LEN(R628)+1)/2,0)</f>
        <v/>
      </c>
      <c r="Z628" s="14">
        <f>ROUNDDOWN((LEN(S628)+1)/2,0)</f>
        <v/>
      </c>
      <c r="AA628" s="56" t="n">
        <v>46150.5588305134</v>
      </c>
    </row>
    <row r="629" ht="102" customHeight="1">
      <c r="B629" s="46" t="inlineStr">
        <is>
          <t>U+26F00-U+26FFF</t>
        </is>
      </c>
      <c r="C629" s="46" t="inlineStr">
        <is>
          <t>CJK Unified Ideographs Extension B</t>
        </is>
      </c>
      <c r="D629" s="54">
        <f>HEX2DEC(MID(B629,3,FIND("-",E629)-3))</f>
        <v/>
      </c>
      <c r="E629" s="46" t="inlineStr">
        <is>
          <t>U+20000-U+2A6DF</t>
        </is>
      </c>
      <c r="F629" s="12" t="n">
        <v>4</v>
      </c>
      <c r="J629" s="19">
        <f>ROUNDDOWN(W629,0)/$V629</f>
        <v/>
      </c>
      <c r="K629" s="19">
        <f>ROUNDDOWN(X629,0)/$V629</f>
        <v/>
      </c>
      <c r="L629" s="19">
        <f>ROUNDDOWN(Y629,0)/$V629</f>
        <v/>
      </c>
      <c r="M629" s="19">
        <f>ROUNDDOWN(Z629,0)/$V629</f>
        <v/>
      </c>
      <c r="O629" s="36" t="inlineStr">
        <is>
          <t>𦸀 𦸁 𦸂 𦸃 𦸄 𦸅 𦸆 𦸇 𦸈 𦸉 𦸊 𦸋 𦸌 𦸍 𦸎 𦸏 𦸐 𦸑 𦸒 𦸓 𦸔 𦸕 𦸖 𦸗 𦸘 𦸙 𦸚 𦸛 𦸜 𦸝 𦸞 𦸟 𦸠 𦸡 𦸢 𦸣 𦸤 𦸥 𦸦 𦸧 𦸨 𦸩 𦸪 𦸫 𦸬 𦸭 𦸮 𦸯 𦸰 𦸱 𦸲 𦸳 𦸴 𦸵 𦸶 𦸷 𦸸 𦸹 𦸺 𦸻 𦸼 𦸽 𦸾 𦸿 𦹀 𦹁 𦹂 𦹃 𦹄 𦹅 𦹆 𦹇 𦹈 𦹉 𦹊 𦹋 𦹌 𦹍 𦹎 𦹏 𦹐 𦹑 𦹒 𦹓 𦹔 𦹕 𦹖 𦹗 𦹘 𦹙 𦹚 𦹛 𦹜 𦹝 𦹞 𦹟 𦹠 𦹡 𦹢 𦹣 𦹤 𦹥 𦹦 𦹧 𦹨 𦹩 𦹪 𦹫 𦹬 𦹭 𦹮 𦹯 𦹰 𦹱 𦹲 𦹳 𦹴 𦹵 𦹶 𦹷 𦹸 𦹹 𦹺 𦹻 𦹼 𦹽 𦹾 𦹿 𦺀 𦺁 𦺂 𦺃 𦺄 𦺅 𦺆 𦺇 𦺈 𦺉 𦺊 𦺋 𦺌 𦺍 𦺎 𦺏 𦺐 𦺑 𦺒 𦺓 𦺔 𦺕 𦺖 𦺗 𦺘 𦺙 𦺚 𦺛 𦺜 𦺝 𦺞 𦺟 𦺠 𦺡 𦺢 𦺣 𦺤 𦺥 𦺦 𦺧 𦺨 𦺩 𦺪 𦺫 𦺬 𦺭 𦺮 𦺯 𦺰 𦺱 𦺲 𦺳 𦺴 𦺵 𦺶 𦺷 𦺸 𦺹 𦺺 𦺻 𦺼 𦺽 𦺾 𦺿 𦻀 𦻁 𦻂 𦻃 𦻄 𦻅 𦻆 𦻇 𦻈 𦻉 𦻊 𦻋 𦻌 𦻍 𦻎 𦻏 𦻐 𦻑 𦻒 𦻓 𦻔 𦻕 𦻖 𦻗 𦻘 𦻙 𦻚 𦻛 𦻜 𦻝 𦻞 𦻟 𦻠 𦻡 𦻢 𦻣 𦻤 𦻥 𦻦 𦻧 𦻨 𦻩 𦻪 𦻫 𦻬 𦻭 𦻮 𦻯 𦻰 𦻱 𦻲 𦻳 𦻴 𦻵 𦻶 𦻷 𦻸 𦻹 𦻺 𦻻 𦻼 𦻽 𦻾 𦻿</t>
        </is>
      </c>
      <c r="P629" s="37" t="inlineStr">
        <is>
          <t>𦸀 𦸁 𦸂 𦸃 𦸄 𦸅 𦸆 𦸇 𦸈 𦸉 𦸊 𦸋 𦸌 𦸍 𦸎 𦸏 𦸐 𦸑 𦸒 𦸓 𦸔 𦸕 𦸖 𦸗 𦸘 𦸙 𦸚 𦸛 𦸜 𦸝 𦸞 𦸟 𦸠 𦸡 𦸢 𦸣 𦸤 𦸥 𦸦 𦸧 𦸨 𦸩 𦸪 𦸫 𦸬 𦸭 𦸮 𦸯 𦸰 𦸱 𦸲 𦸳 𦸴 𦸵 𦸶 𦸷 𦸸 𦸹 𦸺 𦸻 𦸼 𦸽 𦸾 𦸿 𦹀 𦹁 𦹂 𦹃 𦹄 𦹅 𦹆 𦹇 𦹈 𦹉 𦹊 𦹋 𦹌 𦹍 𦹎 𦹏 𦹐 𦹑 𦹒 𦹓 𦹔 𦹕 𦹖 𦹗 𦹘 𦹙 𦹚 𦹛 𦹜 𦹝 𦹞 𦹟 𦹠 𦹡 𦹢 𦹣 𦹤 𦹥 𦹦 𦹧 𦹨 𦹩 𦹪 𦹫 𦹬 𦹭 𦹮 𦹯 𦹰 𦹱 𦹲 𦹳 𦹴 𦹵 𦹶 𦹷 𦹸 𦹹 𦹺 𦹻 𦹼 𦹽 𦹾 𦹿 𦺀 𦺁 𦺂 𦺃 𦺄 𦺅 𦺆 𦺇 𦺈 𦺉 𦺊 𦺋 𦺌 𦺍 𦺎 𦺏 𦺐 𦺑 𦺒 𦺓 𦺔 𦺕 𦺖 𦺗 𦺘 𦺙 𦺚 𦺛 𦺜 𦺝 𦺞 𦺟 𦺠 𦺡 𦺢 𦺣 𦺤 𦺥 𦺦 𦺧 𦺨 𦺩 𦺪 𦺫 𦺬 𦺭 𦺮 𦺯 𦺰 𦺱 𦺲 𦺳 𦺴 𦺵 𦺶 𦺷 𦺸 𦺹 𦺺 𦺻 𦺼 𦺽 𦺾 𦺿 𦻀 𦻁 𦻂 𦻃 𦻄 𦻅 𦻆 𦻇 𦻈 𦻉 𦻊 𦻋 𦻌 𦻍 𦻎 𦻏 𦻐 𦻑 𦻒 𦻓 𦻔 𦻕 𦻖 𦻗 𦻘 𦻙 𦻚 𦻛 𦻜 𦻝 𦻞 𦻟 𦻠 𦻡 𦻢 𦻣 𦻤 𦻥 𦻦 𦻧 𦻨 𦻩 𦻪 𦻫 𦻬 𦻭 𦻮 𦻯 𦻰 𦻱 𦻲 𦻳 𦻴 𦻵 𦻶 𦻷 𦻸 𦻹 𦻺 𦻻 𦻼 𦻽 𦻾 𦻿</t>
        </is>
      </c>
      <c r="Q629" s="38" t="inlineStr">
        <is>
          <t>𦸀 𦸁 𦸂 𦸃 𦸄 𦸅 𦸆 𦸇 𦸈 𦸉 𦸊 𦸋 𦸌 𦸍 𦸎 𦸏 𦸐 𦸑 𦸒 𦸓 𦸔 𦸕 𦸖 𦸗 𦸘 𦸙 𦸚 𦸛 𦸜 𦸝 𦸞 𦸟 𦸠 𦸡 𦸢 𦸣 𦸤 𦸥 𦸦 𦸧 𦸨 𦸩 𦸪 𦸫 𦸬 𦸭 𦸮 𦸯 𦸰 𦸱 𦸲 𦸳 𦸴 𦸵 𦸶 𦸷 𦸸 𦸹 𦸺 𦸻 𦸼 𦸽 𦸾 𦸿 𦹀 𦹁 𦹂 𦹃 𦹄 𦹅 𦹆 𦹇 𦹈 𦹉 𦹊 𦹋 𦹌 𦹍 𦹎 𦹏 𦹐 𦹑 𦹒 𦹓 𦹔 𦹕 𦹖 𦹗 𦹘 𦹙 𦹚 𦹛 𦹜 𦹝 𦹞 𦹟 𦹠 𦹡 𦹢 𦹣 𦹤 𦹥 𦹦 𦹧 𦹨 𦹩 𦹪 𦹫 𦹬 𦹭 𦹮 𦹯 𦹰 𦹱 𦹲 𦹳 𦹴 𦹵 𦹶 𦹷 𦹸 𦹹 𦹺 𦹻 𦹼 𦹽 𦹾 𦹿 𦺀 𦺁 𦺂 𦺃 𦺄 𦺅 𦺆 𦺇 𦺈 𦺉 𦺊 𦺋 𦺌 𦺍 𦺎 𦺏 𦺐 𦺑 𦺒 𦺓 𦺔 𦺕 𦺖 𦺗 𦺘 𦺙 𦺚 𦺛 𦺜 𦺝 𦺞 𦺟 𦺠 𦺡 𦺢 𦺣 𦺤 𦺥 𦺦 𦺧 𦺨 𦺩 𦺪 𦺫 𦺬 𦺭 𦺮 𦺯 𦺰 𦺱 𦺲 𦺳 𦺴 𦺵 𦺶 𦺷 𦺸 𦺹 𦺺 𦺻 𦺼 𦺽 𦺾 𦺿 𦻀 𦻁 𦻂 𦻃 𦻄 𦻅 𦻆 𦻇 𦻈 𦻉 𦻊 𦻋 𦻌 𦻍 𦻎 𦻏 𦻐 𦻑 𦻒 𦻓 𦻔 𦻕 𦻖 𦻗 𦻘 𦻙 𦻚 𦻛 𦻜 𦻝 𦻞 𦻟 𦻠 𦻡 𦻢 𦻣 𦻤 𦻥 𦻦 𦻧 𦻨 𦻩 𦻪 𦻫 𦻬 𦻭 𦻮 𦻯 𦻰 𦻱 𦻲 𦻳 𦻴 𦻵 𦻶 𦻷 𦻸 𦻹 𦻺 𦻻 𦻼 𦻽 𦻾 𦻿</t>
        </is>
      </c>
      <c r="R629" s="43" t="inlineStr">
        <is>
          <t>𦸅 𦹀 𦹥 𦻘</t>
        </is>
      </c>
      <c r="S629" s="40" t="n"/>
      <c r="V629" s="14">
        <f>(LEN(O629)+1)/2</f>
        <v/>
      </c>
      <c r="W629" s="14">
        <f>ROUNDDOWN((LEN(P629)+1)/2,0)</f>
        <v/>
      </c>
      <c r="X629" s="14">
        <f>ROUNDDOWN((LEN(Q629)+1)/2,0)</f>
        <v/>
      </c>
      <c r="Y629" s="14">
        <f>ROUNDDOWN((LEN(R629)+1)/2,0)</f>
        <v/>
      </c>
      <c r="Z629" s="14">
        <f>ROUNDDOWN((LEN(S629)+1)/2,0)</f>
        <v/>
      </c>
      <c r="AA629" s="56" t="n">
        <v>46150.55883171171</v>
      </c>
    </row>
    <row r="630" ht="102" customHeight="1">
      <c r="B630" s="46" t="inlineStr">
        <is>
          <t>U+27000-U+270FF</t>
        </is>
      </c>
      <c r="C630" s="46" t="inlineStr">
        <is>
          <t>CJK Unified Ideographs Extension B</t>
        </is>
      </c>
      <c r="D630" s="54">
        <f>HEX2DEC(MID(B630,3,FIND("-",E630)-3))</f>
        <v/>
      </c>
      <c r="E630" s="46" t="inlineStr">
        <is>
          <t>U+20000-U+2A6DF</t>
        </is>
      </c>
      <c r="F630" s="12" t="n">
        <v>4</v>
      </c>
      <c r="J630" s="19">
        <f>ROUNDDOWN(W630,0)/$V630</f>
        <v/>
      </c>
      <c r="K630" s="19">
        <f>ROUNDDOWN(X630,0)/$V630</f>
        <v/>
      </c>
      <c r="L630" s="19">
        <f>ROUNDDOWN(Y630,0)/$V630</f>
        <v/>
      </c>
      <c r="M630" s="19">
        <f>ROUNDDOWN(Z630,0)/$V630</f>
        <v/>
      </c>
      <c r="O630" s="36" t="inlineStr">
        <is>
          <t>𦼀 𦼁 𦼂 𦼃 𦼄 𦼅 𦼆 𦼇 𦼈 𦼉 𦼊 𦼋 𦼌 𦼍 𦼎 𦼏 𦼐 𦼑 𦼒 𦼓 𦼔 𦼕 𦼖 𦼗 𦼘 𦼙 𦼚 𦼛 𦼜 𦼝 𦼞 𦼟 𦼠 𦼡 𦼢 𦼣 𦼤 𦼥 𦼦 𦼧 𦼨 𦼩 𦼪 𦼫 𦼬 𦼭 𦼮 𦼯 𦼰 𦼱 𦼲 𦼳 𦼴 𦼵 𦼶 𦼷 𦼸 𦼹 𦼺 𦼻 𦼼 𦼽 𦼾 𦼿 𦽀 𦽁 𦽂 𦽃 𦽄 𦽅 𦽆 𦽇 𦽈 𦽉 𦽊 𦽋 𦽌 𦽍 𦽎 𦽏 𦽐 𦽑 𦽒 𦽓 𦽔 𦽕 𦽖 𦽗 𦽘 𦽙 𦽚 𦽛 𦽜 𦽝 𦽞 𦽟 𦽠 𦽡 𦽢 𦽣 𦽤 𦽥 𦽦 𦽧 𦽨 𦽩 𦽪 𦽫 𦽬 𦽭 𦽮 𦽯 𦽰 𦽱 𦽲 𦽳 𦽴 𦽵 𦽶 𦽷 𦽸 𦽹 𦽺 𦽻 𦽼 𦽽 𦽾 𦽿 𦾀 𦾁 𦾂 𦾃 𦾄 𦾅 𦾆 𦾇 𦾈 𦾉 𦾊 𦾋 𦾌 𦾍 𦾎 𦾏 𦾐 𦾑 𦾒 𦾓 𦾔 𦾕 𦾖 𦾗 𦾘 𦾙 𦾚 𦾛 𦾜 𦾝 𦾞 𦾟 𦾠 𦾡 𦾢 𦾣 𦾤 𦾥 𦾦 𦾧 𦾨 𦾩 𦾪 𦾫 𦾬 𦾭 𦾮 𦾯 𦾰 𦾱 𦾲 𦾳 𦾴 𦾵 𦾶 𦾷 𦾸 𦾹 𦾺 𦾻 𦾼 𦾽 𦾾 𦾿 𦿀 𦿁 𦿂 𦿃 𦿄 𦿅 𦿆 𦿇 𦿈 𦿉 𦿊 𦿋 𦿌 𦿍 𦿎 𦿏 𦿐 𦿑 𦿒 𦿓 𦿔 𦿕 𦿖 𦿗 𦿘 𦿙 𦿚 𦿛 𦿜 𦿝 𦿞 𦿟 𦿠 𦿡 𦿢 𦿣 𦿤 𦿥 𦿦 𦿧 𦿨 𦿩 𦿪 𦿫 𦿬 𦿭 𦿮 𦿯 𦿰 𦿱 𦿲 𦿳 𦿴 𦿵 𦿶 𦿷 𦿸 𦿹 𦿺 𦿻 𦿼 𦿽 𦿾 𦿿</t>
        </is>
      </c>
      <c r="P630" s="37" t="inlineStr">
        <is>
          <t>𦼀 𦼁 𦼂 𦼃 𦼄 𦼅 𦼆 𦼇 𦼈 𦼉 𦼊 𦼋 𦼌 𦼍 𦼎 𦼏 𦼐 𦼑 𦼒 𦼓 𦼔 𦼕 𦼖 𦼗 𦼘 𦼙 𦼚 𦼛 𦼜 𦼝 𦼞 𦼟 𦼠 𦼡 𦼢 𦼣 𦼤 𦼥 𦼦 𦼧 𦼨 𦼩 𦼪 𦼫 𦼬 𦼭 𦼮 𦼯 𦼰 𦼱 𦼲 𦼳 𦼴 𦼵 𦼶 𦼷 𦼸 𦼹 𦼺 𦼻 𦼼 𦼽 𦼾 𦼿 𦽀 𦽁 𦽂 𦽃 𦽄 𦽅 𦽆 𦽇 𦽈 𦽉 𦽊 𦽋 𦽌 𦽍 𦽎 𦽏 𦽐 𦽑 𦽒 𦽓 𦽔 𦽕 𦽖 𦽗 𦽘 𦽙 𦽚 𦽛 𦽜 𦽝 𦽞 𦽟 𦽠 𦽡 𦽢 𦽣 𦽤 𦽥 𦽦 𦽧 𦽨 𦽩 𦽪 𦽫 𦽬 𦽭 𦽮 𦽯 𦽰 𦽱 𦽲 𦽳 𦽴 𦽵 𦽶 𦽷 𦽸 𦽹 𦽺 𦽻 𦽼 𦽽 𦽾 𦽿 𦾀 𦾁 𦾂 𦾃 𦾄 𦾅 𦾆 𦾇 𦾈 𦾉 𦾊 𦾋 𦾌 𦾍 𦾎 𦾏 𦾐 𦾑 𦾒 𦾓 𦾔 𦾕 𦾖 𦾗 𦾘 𦾙 𦾚 𦾛 𦾜 𦾝 𦾞 𦾟 𦾠 𦾡 𦾢 𦾣 𦾤 𦾥 𦾦 𦾧 𦾨 𦾩 𦾪 𦾫 𦾬 𦾭 𦾮 𦾯 𦾰 𦾱 𦾲 𦾳 𦾴 𦾵 𦾶 𦾷 𦾸 𦾹 𦾺 𦾻 𦾼 𦾽 𦾾 𦾿 𦿀 𦿁 𦿂 𦿃 𦿄 𦿅 𦿆 𦿇 𦿈 𦿉 𦿊 𦿋 𦿌 𦿍 𦿎 𦿏 𦿐 𦿑 𦿒 𦿓 𦿔 𦿕 𦿖 𦿗 𦿘 𦿙 𦿚 𦿛 𦿜 𦿝 𦿞 𦿟 𦿠 𦿡 𦿢 𦿣 𦿤 𦿥 𦿦 𦿧 𦿨 𦿩 𦿪 𦿫 𦿬 𦿭 𦿮 𦿯 𦿰 𦿱 𦿲 𦿳 𦿴 𦿵 𦿶 𦿷 𦿸 𦿹 𦿺 𦿻 𦿼 𦿽 𦿾 𦿿</t>
        </is>
      </c>
      <c r="Q630" s="38" t="inlineStr">
        <is>
          <t>𦼀 𦼁 𦼂 𦼃 𦼄 𦼅 𦼆 𦼇 𦼈 𦼉 𦼊 𦼋 𦼌 𦼍 𦼎 𦼏 𦼐 𦼑 𦼒 𦼓 𦼔 𦼕 𦼖 𦼗 𦼘 𦼙 𦼚 𦼛 𦼜 𦼝 𦼞 𦼟 𦼠 𦼡 𦼢 𦼣 𦼤 𦼥 𦼦 𦼧 𦼨 𦼩 𦼪 𦼫 𦼬 𦼭 𦼮 𦼯 𦼰 𦼱 𦼲 𦼳 𦼴 𦼵 𦼶 𦼷 𦼸 𦼹 𦼺 𦼻 𦼼 𦼽 𦼾 𦼿 𦽀 𦽁 𦽂 𦽃 𦽄 𦽅 𦽆 𦽇 𦽈 𦽉 𦽊 𦽋 𦽌 𦽍 𦽎 𦽏 𦽐 𦽑 𦽒 𦽓 𦽔 𦽕 𦽖 𦽗 𦽘 𦽙 𦽚 𦽛 𦽜 𦽝 𦽞 𦽟 𦽠 𦽡 𦽢 𦽣 𦽤 𦽥 𦽦 𦽧 𦽨 𦽩 𦽪 𦽫 𦽬 𦽭 𦽮 𦽯 𦽰 𦽱 𦽲 𦽳 𦽴 𦽵 𦽶 𦽷 𦽸 𦽹 𦽺 𦽻 𦽼 𦽽 𦽾 𦽿 𦾀 𦾁 𦾂 𦾃 𦾄 𦾅 𦾆 𦾇 𦾈 𦾉 𦾊 𦾋 𦾌 𦾍 𦾎 𦾏 𦾐 𦾑 𦾒 𦾓 𦾔 𦾕 𦾖 𦾗 𦾘 𦾙 𦾚 𦾛 𦾜 𦾝 𦾞 𦾟 𦾠 𦾡 𦾢 𦾣 𦾤 𦾥 𦾦 𦾧 𦾨 𦾩 𦾪 𦾫 𦾬 𦾭 𦾮 𦾯 𦾰 𦾱 𦾲 𦾳 𦾴 𦾵 𦾶 𦾷 𦾸 𦾹 𦾺 𦾻 𦾼 𦾽 𦾾 𦾿 𦿀 𦿁 𦿂 𦿃 𦿄 𦿅 𦿆 𦿇 𦿈 𦿉 𦿊 𦿋 𦿌 𦿍 𦿎 𦿏 𦿐 𦿑 𦿒 𦿓 𦿔 𦿕 𦿖 𦿗 𦿘 𦿙 𦿚 𦿛 𦿜 𦿝 𦿞 𦿟 𦿠 𦿡 𦿢 𦿣 𦿤 𦿥 𦿦 𦿧 𦿨 𦿩 𦿪 𦿫 𦿬 𦿭 𦿮 𦿯 𦿰 𦿱 𦿲 𦿳 𦿴 𦿵 𦿶 𦿷 𦿸 𦿹 𦿺 𦿻 𦿼 𦿽 𦿾 𦿿</t>
        </is>
      </c>
      <c r="R630" s="43" t="inlineStr">
        <is>
          <t>𦾔 𦿶 𦿷 𦿸</t>
        </is>
      </c>
      <c r="S630" s="40" t="n"/>
      <c r="V630" s="14">
        <f>(LEN(O630)+1)/2</f>
        <v/>
      </c>
      <c r="W630" s="14">
        <f>ROUNDDOWN((LEN(P630)+1)/2,0)</f>
        <v/>
      </c>
      <c r="X630" s="14">
        <f>ROUNDDOWN((LEN(Q630)+1)/2,0)</f>
        <v/>
      </c>
      <c r="Y630" s="14">
        <f>ROUNDDOWN((LEN(R630)+1)/2,0)</f>
        <v/>
      </c>
      <c r="Z630" s="14">
        <f>ROUNDDOWN((LEN(S630)+1)/2,0)</f>
        <v/>
      </c>
      <c r="AA630" s="56" t="n">
        <v>46150.55883320957</v>
      </c>
    </row>
    <row r="631" ht="102" customHeight="1">
      <c r="B631" s="46" t="inlineStr">
        <is>
          <t>U+27100-U+271FF</t>
        </is>
      </c>
      <c r="C631" s="46" t="inlineStr">
        <is>
          <t>CJK Unified Ideographs Extension B</t>
        </is>
      </c>
      <c r="D631" s="54">
        <f>HEX2DEC(MID(B631,3,FIND("-",E631)-3))</f>
        <v/>
      </c>
      <c r="E631" s="46" t="inlineStr">
        <is>
          <t>U+20000-U+2A6DF</t>
        </is>
      </c>
      <c r="F631" s="12" t="n">
        <v>4</v>
      </c>
      <c r="J631" s="19">
        <f>ROUNDDOWN(W631,0)/$V631</f>
        <v/>
      </c>
      <c r="K631" s="19">
        <f>ROUNDDOWN(X631,0)/$V631</f>
        <v/>
      </c>
      <c r="L631" s="19">
        <f>ROUNDDOWN(Y631,0)/$V631</f>
        <v/>
      </c>
      <c r="M631" s="19">
        <f>ROUNDDOWN(Z631,0)/$V631</f>
        <v/>
      </c>
      <c r="O631" s="36" t="inlineStr">
        <is>
          <t>𧀀 𧀁 𧀂 𧀃 𧀄 𧀅 𧀆 𧀇 𧀈 𧀉 𧀊 𧀋 𧀌 𧀍 𧀎 𧀏 𧀐 𧀑 𧀒 𧀓 𧀔 𧀕 𧀖 𧀗 𧀘 𧀙 𧀚 𧀛 𧀜 𧀝 𧀞 𧀟 𧀠 𧀡 𧀢 𧀣 𧀤 𧀥 𧀦 𧀧 𧀨 𧀩 𧀪 𧀫 𧀬 𧀭 𧀮 𧀯 𧀰 𧀱 𧀲 𧀳 𧀴 𧀵 𧀶 𧀷 𧀸 𧀹 𧀺 𧀻 𧀼 𧀽 𧀾 𧀿 𧁀 𧁁 𧁂 𧁃 𧁄 𧁅 𧁆 𧁇 𧁈 𧁉 𧁊 𧁋 𧁌 𧁍 𧁎 𧁏 𧁐 𧁑 𧁒 𧁓 𧁔 𧁕 𧁖 𧁗 𧁘 𧁙 𧁚 𧁛 𧁜 𧁝 𧁞 𧁟 𧁠 𧁡 𧁢 𧁣 𧁤 𧁥 𧁦 𧁧 𧁨 𧁩 𧁪 𧁫 𧁬 𧁭 𧁮 𧁯 𧁰 𧁱 𧁲 𧁳 𧁴 𧁵 𧁶 𧁷 𧁸 𧁹 𧁺 𧁻 𧁼 𧁽 𧁾 𧁿 𧂀 𧂁 𧂂 𧂃 𧂄 𧂅 𧂆 𧂇 𧂈 𧂉 𧂊 𧂋 𧂌 𧂍 𧂎 𧂏 𧂐 𧂑 𧂒 𧂓 𧂔 𧂕 𧂖 𧂗 𧂘 𧂙 𧂚 𧂛 𧂜 𧂝 𧂞 𧂟 𧂠 𧂡 𧂢 𧂣 𧂤 𧂥 𧂦 𧂧 𧂨 𧂩 𧂪 𧂫 𧂬 𧂭 𧂮 𧂯 𧂰 𧂱 𧂲 𧂳 𧂴 𧂵 𧂶 𧂷 𧂸 𧂹 𧂺 𧂻 𧂼 𧂽 𧂾 𧂿 𧃀 𧃁 𧃂 𧃃 𧃄 𧃅 𧃆 𧃇 𧃈 𧃉 𧃊 𧃋 𧃌 𧃍 𧃎 𧃏 𧃐 𧃑 𧃒 𧃓 𧃔 𧃕 𧃖 𧃗 𧃘 𧃙 𧃚 𧃛 𧃜 𧃝 𧃞 𧃟 𧃠 𧃡 𧃢 𧃣 𧃤 𧃥 𧃦 𧃧 𧃨 𧃩 𧃪 𧃫 𧃬 𧃭 𧃮 𧃯 𧃰 𧃱 𧃲 𧃳 𧃴 𧃵 𧃶 𧃷 𧃸 𧃹 𧃺 𧃻 𧃼 𧃽 𧃾 𧃿</t>
        </is>
      </c>
      <c r="P631" s="37" t="inlineStr">
        <is>
          <t>𧀀 𧀁 𧀂 𧀃 𧀄 𧀅 𧀆 𧀇 𧀈 𧀉 𧀊 𧀋 𧀌 𧀍 𧀎 𧀏 𧀐 𧀑 𧀒 𧀓 𧀔 𧀕 𧀖 𧀗 𧀘 𧀙 𧀚 𧀛 𧀜 𧀝 𧀞 𧀟 𧀠 𧀡 𧀢 𧀣 𧀤 𧀥 𧀦 𧀧 𧀨 𧀩 𧀪 𧀫 𧀬 𧀭 𧀮 𧀯 𧀰 𧀱 𧀲 𧀳 𧀴 𧀵 𧀶 𧀷 𧀸 𧀹 𧀺 𧀻 𧀼 𧀽 𧀾 𧀿 𧁀 𧁁 𧁂 𧁃 𧁄 𧁅 𧁆 𧁇 𧁈 𧁉 𧁊 𧁋 𧁌 𧁍 𧁎 𧁏 𧁐 𧁑 𧁒 𧁓 𧁔 𧁕 𧁖 𧁗 𧁘 𧁙 𧁚 𧁛 𧁜 𧁝 𧁞 𧁟 𧁠 𧁡 𧁢 𧁣 𧁤 𧁥 𧁦 𧁧 𧁨 𧁩 𧁪 𧁫 𧁬 𧁭 𧁮 𧁯 𧁰 𧁱 𧁲 𧁳 𧁴 𧁵 𧁶 𧁷 𧁸 𧁹 𧁺 𧁻 𧁼 𧁽 𧁾 𧁿 𧂀 𧂁 𧂂 𧂃 𧂄 𧂅 𧂆 𧂇 𧂈 𧂉 𧂊 𧂋 𧂌 𧂍 𧂎 𧂏 𧂐 𧂑 𧂒 𧂓 𧂔 𧂕 𧂖 𧂗 𧂘 𧂙 𧂚 𧂛 𧂜 𧂝 𧂞 𧂟 𧂠 𧂡 𧂢 𧂣 𧂤 𧂥 𧂦 𧂧 𧂨 𧂩 𧂪 𧂫 𧂬 𧂭 𧂮 𧂯 𧂰 𧂱 𧂲 𧂳 𧂴 𧂵 𧂶 𧂷 𧂸 𧂹 𧂺 𧂻 𧂼 𧂽 𧂾 𧂿 𧃀 𧃁 𧃂 𧃃 𧃄 𧃅 𧃆 𧃇 𧃈 𧃉 𧃊 𧃋 𧃌 𧃍 𧃎 𧃏 𧃐 𧃑 𧃒 𧃓 𧃔 𧃕 𧃖 𧃗 𧃘 𧃙 𧃚 𧃛 𧃜 𧃝 𧃞 𧃟 𧃠 𧃡 𧃢 𧃣 𧃤 𧃥 𧃦 𧃧 𧃨 𧃩 𧃪 𧃫 𧃬 𧃭 𧃮 𧃯 𧃰 𧃱 𧃲 𧃳 𧃴 𧃵 𧃶 𧃷 𧃸 𧃹 𧃺 𧃻 𧃼 𧃽 𧃾 𧃿</t>
        </is>
      </c>
      <c r="Q631" s="38" t="inlineStr">
        <is>
          <t>𧀀 𧀁 𧀂 𧀃 𧀄 𧀅 𧀆 𧀇 𧀈 𧀉 𧀊 𧀋 𧀌 𧀍 𧀎 𧀏 𧀐 𧀑 𧀒 𧀓 𧀔 𧀕 𧀖 𧀗 𧀘 𧀙 𧀚 𧀛 𧀜 𧀝 𧀞 𧀟 𧀠 𧀡 𧀢 𧀣 𧀤 𧀥 𧀦 𧀧 𧀨 𧀩 𧀪 𧀫 𧀬 𧀭 𧀮 𧀯 𧀰 𧀱 𧀲 𧀳 𧀴 𧀵 𧀶 𧀷 𧀸 𧀹 𧀺 𧀻 𧀼 𧀽 𧀾 𧀿 𧁀 𧁁 𧁂 𧁃 𧁄 𧁅 𧁆 𧁇 𧁈 𧁉 𧁊 𧁋 𧁌 𧁍 𧁎 𧁏 𧁐 𧁑 𧁒 𧁓 𧁔 𧁕 𧁖 𧁗 𧁘 𧁙 𧁚 𧁛 𧁜 𧁝 𧁞 𧁟 𧁠 𧁡 𧁢 𧁣 𧁤 𧁥 𧁦 𧁧 𧁨 𧁩 𧁪 𧁫 𧁬 𧁭 𧁮 𧁯 𧁰 𧁱 𧁲 𧁳 𧁴 𧁵 𧁶 𧁷 𧁸 𧁹 𧁺 𧁻 𧁼 𧁽 𧁾 𧁿 𧂀 𧂁 𧂂 𧂃 𧂄 𧂅 𧂆 𧂇 𧂈 𧂉 𧂊 𧂋 𧂌 𧂍 𧂎 𧂏 𧂐 𧂑 𧂒 𧂓 𧂔 𧂕 𧂖 𧂗 𧂘 𧂙 𧂚 𧂛 𧂜 𧂝 𧂞 𧂟 𧂠 𧂡 𧂢 𧂣 𧂤 𧂥 𧂦 𧂧 𧂨 𧂩 𧂪 𧂫 𧂬 𧂭 𧂮 𧂯 𧂰 𧂱 𧂲 𧂳 𧂴 𧂵 𧂶 𧂷 𧂸 𧂹 𧂺 𧂻 𧂼 𧂽 𧂾 𧂿 𧃀 𧃁 𧃂 𧃃 𧃄 𧃅 𧃆 𧃇 𧃈 𧃉 𧃊 𧃋 𧃌 𧃍 𧃎 𧃏 𧃐 𧃑 𧃒 𧃓 𧃔 𧃕 𧃖 𧃗 𧃘 𧃙 𧃚 𧃛 𧃜 𧃝 𧃞 𧃟 𧃠 𧃡 𧃢 𧃣 𧃤 𧃥 𧃦 𧃧 𧃨 𧃩 𧃪 𧃫 𧃬 𧃭 𧃮 𧃯 𧃰 𧃱 𧃲 𧃳 𧃴 𧃵 𧃶 𧃷 𧃸 𧃹 𧃺 𧃻 𧃼 𧃽 𧃾 𧃿</t>
        </is>
      </c>
      <c r="R631" s="43" t="inlineStr">
        <is>
          <t>𧃴</t>
        </is>
      </c>
      <c r="S631" s="40" t="n"/>
      <c r="V631" s="14">
        <f>(LEN(O631)+1)/2</f>
        <v/>
      </c>
      <c r="W631" s="14">
        <f>ROUNDDOWN((LEN(P631)+1)/2,0)</f>
        <v/>
      </c>
      <c r="X631" s="14">
        <f>ROUNDDOWN((LEN(Q631)+1)/2,0)</f>
        <v/>
      </c>
      <c r="Y631" s="14">
        <f>ROUNDDOWN((LEN(R631)+1)/2,0)</f>
        <v/>
      </c>
      <c r="Z631" s="14">
        <f>ROUNDDOWN((LEN(S631)+1)/2,0)</f>
        <v/>
      </c>
      <c r="AA631" s="56" t="n">
        <v>46150.55883436702</v>
      </c>
    </row>
    <row r="632" ht="102" customHeight="1">
      <c r="B632" s="46" t="inlineStr">
        <is>
          <t>U+27200-U+272FF</t>
        </is>
      </c>
      <c r="C632" s="46" t="inlineStr">
        <is>
          <t>CJK Unified Ideographs Extension B</t>
        </is>
      </c>
      <c r="D632" s="54">
        <f>HEX2DEC(MID(B632,3,FIND("-",E632)-3))</f>
        <v/>
      </c>
      <c r="E632" s="46" t="inlineStr">
        <is>
          <t>U+20000-U+2A6DF</t>
        </is>
      </c>
      <c r="F632" s="12" t="n">
        <v>4</v>
      </c>
      <c r="J632" s="19">
        <f>ROUNDDOWN(W632,0)/$V632</f>
        <v/>
      </c>
      <c r="K632" s="19">
        <f>ROUNDDOWN(X632,0)/$V632</f>
        <v/>
      </c>
      <c r="L632" s="19">
        <f>ROUNDDOWN(Y632,0)/$V632</f>
        <v/>
      </c>
      <c r="M632" s="19">
        <f>ROUNDDOWN(Z632,0)/$V632</f>
        <v/>
      </c>
      <c r="O632" s="36" t="inlineStr">
        <is>
          <t>𧄀 𧄁 𧄂 𧄃 𧄄 𧄅 𧄆 𧄇 𧄈 𧄉 𧄊 𧄋 𧄌 𧄍 𧄎 𧄏 𧄐 𧄑 𧄒 𧄓 𧄔 𧄕 𧄖 𧄗 𧄘 𧄙 𧄚 𧄛 𧄜 𧄝 𧄞 𧄟 𧄠 𧄡 𧄢 𧄣 𧄤 𧄥 𧄦 𧄧 𧄨 𧄩 𧄪 𧄫 𧄬 𧄭 𧄮 𧄯 𧄰 𧄱 𧄲 𧄳 𧄴 𧄵 𧄶 𧄷 𧄸 𧄹 𧄺 𧄻 𧄼 𧄽 𧄾 𧄿 𧅀 𧅁 𧅂 𧅃 𧅄 𧅅 𧅆 𧅇 𧅈 𧅉 𧅊 𧅋 𧅌 𧅍 𧅎 𧅏 𧅐 𧅑 𧅒 𧅓 𧅔 𧅕 𧅖 𧅗 𧅘 𧅙 𧅚 𧅛 𧅜 𧅝 𧅞 𧅟 𧅠 𧅡 𧅢 𧅣 𧅤 𧅥 𧅦 𧅧 𧅨 𧅩 𧅪 𧅫 𧅬 𧅭 𧅮 𧅯 𧅰 𧅱 𧅲 𧅳 𧅴 𧅵 𧅶 𧅷 𧅸 𧅹 𧅺 𧅻 𧅼 𧅽 𧅾 𧅿 𧆀 𧆁 𧆂 𧆃 𧆄 𧆅 𧆆 𧆇 𧆈 𧆉 𧆊 𧆋 𧆌 𧆍 𧆎 𧆏 𧆐 𧆑 𧆒 𧆓 𧆔 𧆕 𧆖 𧆗 𧆘 𧆙 𧆚 𧆛 𧆜 𧆝 𧆞 𧆟 𧆠 𧆡 𧆢 𧆣 𧆤 𧆥 𧆦 𧆧 𧆨 𧆩 𧆪 𧆫 𧆬 𧆭 𧆮 𧆯 𧆰 𧆱 𧆲 𧆳 𧆴 𧆵 𧆶 𧆷 𧆸 𧆹 𧆺 𧆻 𧆼 𧆽 𧆾 𧆿 𧇀 𧇁 𧇂 𧇃 𧇄 𧇅 𧇆 𧇇 𧇈 𧇉 𧇊 𧇋 𧇌 𧇍 𧇎 𧇏 𧇐 𧇑 𧇒 𧇓 𧇔 𧇕 𧇖 𧇗 𧇘 𧇙 𧇚 𧇛 𧇜 𧇝 𧇞 𧇟 𧇠 𧇡 𧇢 𧇣 𧇤 𧇥 𧇦 𧇧 𧇨 𧇩 𧇪 𧇫 𧇬 𧇭 𧇮 𧇯 𧇰 𧇱 𧇲 𧇳 𧇴 𧇵 𧇶 𧇷 𧇸 𧇹 𧇺 𧇻 𧇼 𧇽 𧇾 𧇿</t>
        </is>
      </c>
      <c r="P632" s="37" t="inlineStr">
        <is>
          <t>𧄀 𧄁 𧄂 𧄃 𧄄 𧄅 𧄆 𧄇 𧄈 𧄉 𧄊 𧄋 𧄌 𧄍 𧄎 𧄏 𧄐 𧄑 𧄒 𧄓 𧄔 𧄕 𧄖 𧄗 𧄘 𧄙 𧄚 𧄛 𧄜 𧄝 𧄞 𧄟 𧄠 𧄡 𧄢 𧄣 𧄤 𧄥 𧄦 𧄧 𧄨 𧄩 𧄪 𧄫 𧄬 𧄭 𧄮 𧄯 𧄰 𧄱 𧄲 𧄳 𧄴 𧄵 𧄶 𧄷 𧄸 𧄹 𧄺 𧄻 𧄼 𧄽 𧄾 𧄿 𧅀 𧅁 𧅂 𧅃 𧅄 𧅅 𧅆 𧅇 𧅈 𧅉 𧅊 𧅋 𧅌 𧅍 𧅎 𧅏 𧅐 𧅑 𧅒 𧅓 𧅔 𧅕 𧅖 𧅗 𧅘 𧅙 𧅚 𧅛 𧅜 𧅝 𧅞 𧅟 𧅠 𧅡 𧅢 𧅣 𧅤 𧅥 𧅦 𧅧 𧅨 𧅩 𧅪 𧅫 𧅬 𧅭 𧅮 𧅯 𧅰 𧅱 𧅲 𧅳 𧅴 𧅵 𧅶 𧅷 𧅸 𧅹 𧅺 𧅻 𧅼 𧅽 𧅾 𧅿 𧆀 𧆁 𧆂 𧆃 𧆄 𧆅 𧆆 𧆇 𧆈 𧆉 𧆊 𧆋 𧆌 𧆍 𧆎 𧆏 𧆐 𧆑 𧆒 𧆓 𧆔 𧆕 𧆖 𧆗 𧆘 𧆙 𧆚 𧆛 𧆜 𧆝 𧆞 𧆟 𧆠 𧆡 𧆢 𧆣 𧆤 𧆥 𧆦 𧆧 𧆨 𧆩 𧆪 𧆫 𧆬 𧆭 𧆮 𧆯 𧆰 𧆱 𧆲 𧆳 𧆴 𧆵 𧆶 𧆷 𧆸 𧆹 𧆺 𧆻 𧆼 𧆽 𧆾 𧆿 𧇀 𧇁 𧇂 𧇃 𧇄 𧇅 𧇆 𧇇 𧇈 𧇉 𧇊 𧇋 𧇌 𧇍 𧇎 𧇏 𧇐 𧇑 𧇒 𧇓 𧇔 𧇕 𧇖 𧇗 𧇘 𧇙 𧇚 𧇛 𧇜 𧇝 𧇞 𧇟 𧇠 𧇡 𧇢 𧇣 𧇤 𧇥 𧇦 𧇧 𧇨 𧇩 𧇪 𧇫 𧇬 𧇭 𧇮 𧇯 𧇰 𧇱 𧇲 𧇳 𧇴 𧇵 𧇶 𧇷 𧇸 𧇹 𧇺 𧇻 𧇼 𧇽 𧇾 𧇿</t>
        </is>
      </c>
      <c r="Q632" s="38" t="inlineStr">
        <is>
          <t>𧄀 𧄁 𧄂 𧄃 𧄄 𧄅 𧄆 𧄇 𧄈 𧄉 𧄊 𧄋 𧄌 𧄍 𧄎 𧄏 𧄐 𧄑 𧄒 𧄓 𧄔 𧄕 𧄖 𧄗 𧄘 𧄙 𧄚 𧄛 𧄜 𧄝 𧄞 𧄟 𧄠 𧄡 𧄢 𧄣 𧄤 𧄥 𧄦 𧄧 𧄨 𧄩 𧄪 𧄫 𧄬 𧄭 𧄮 𧄯 𧄰 𧄱 𧄲 𧄳 𧄴 𧄵 𧄶 𧄷 𧄸 𧄹 𧄺 𧄻 𧄼 𧄽 𧄾 𧄿 𧅀 𧅁 𧅂 𧅃 𧅄 𧅅 𧅆 𧅇 𧅈 𧅉 𧅊 𧅋 𧅌 𧅍 𧅎 𧅏 𧅐 𧅑 𧅒 𧅓 𧅔 𧅕 𧅖 𧅗 𧅘 𧅙 𧅚 𧅛 𧅜 𧅝 𧅞 𧅟 𧅠 𧅡 𧅢 𧅣 𧅤 𧅥 𧅦 𧅧 𧅨 𧅩 𧅪 𧅫 𧅬 𧅭 𧅮 𧅯 𧅰 𧅱 𧅲 𧅳 𧅴 𧅵 𧅶 𧅷 𧅸 𧅹 𧅺 𧅻 𧅼 𧅽 𧅾 𧅿 𧆀 𧆁 𧆂 𧆃 𧆄 𧆅 𧆆 𧆇 𧆈 𧆉 𧆊 𧆋 𧆌 𧆍 𧆎 𧆏 𧆐 𧆑 𧆒 𧆓 𧆔 𧆕 𧆖 𧆗 𧆘 𧆙 𧆚 𧆛 𧆜 𧆝 𧆞 𧆟 𧆠 𧆡 𧆢 𧆣 𧆤 𧆥 𧆦 𧆧 𧆨 𧆩 𧆪 𧆫 𧆬 𧆭 𧆮 𧆯 𧆰 𧆱 𧆲 𧆳 𧆴 𧆵 𧆶 𧆷 𧆸 𧆹 𧆺 𧆻 𧆼 𧆽 𧆾 𧆿 𧇀 𧇁 𧇂 𧇃 𧇄 𧇅 𧇆 𧇇 𧇈 𧇉 𧇊 𧇋 𧇌 𧇍 𧇎 𧇏 𧇐 𧇑 𧇒 𧇓 𧇔 𧇕 𧇖 𧇗 𧇘 𧇙 𧇚 𧇛 𧇜 𧇝 𧇞 𧇟 𧇠 𧇡 𧇢 𧇣 𧇤 𧇥 𧇦 𧇧 𧇨 𧇩 𧇪 𧇫 𧇬 𧇭 𧇮 𧇯 𧇰 𧇱 𧇲 𧇳 𧇴 𧇵 𧇶 𧇷 𧇸 𧇹 𧇺 𧇻 𧇼 𧇽 𧇾 𧇿</t>
        </is>
      </c>
      <c r="R632" s="43" t="inlineStr">
        <is>
          <t>𧄍 𧄹</t>
        </is>
      </c>
      <c r="S632" s="40" t="n"/>
      <c r="V632" s="14">
        <f>(LEN(O632)+1)/2</f>
        <v/>
      </c>
      <c r="W632" s="14">
        <f>ROUNDDOWN((LEN(P632)+1)/2,0)</f>
        <v/>
      </c>
      <c r="X632" s="14">
        <f>ROUNDDOWN((LEN(Q632)+1)/2,0)</f>
        <v/>
      </c>
      <c r="Y632" s="14">
        <f>ROUNDDOWN((LEN(R632)+1)/2,0)</f>
        <v/>
      </c>
      <c r="Z632" s="14">
        <f>ROUNDDOWN((LEN(S632)+1)/2,0)</f>
        <v/>
      </c>
      <c r="AA632" s="56" t="n">
        <v>46150.55883554942</v>
      </c>
    </row>
    <row r="633" ht="102" customHeight="1">
      <c r="B633" s="46" t="inlineStr">
        <is>
          <t>U+27300-U+273FF</t>
        </is>
      </c>
      <c r="C633" s="46" t="inlineStr">
        <is>
          <t>CJK Unified Ideographs Extension B</t>
        </is>
      </c>
      <c r="D633" s="54">
        <f>HEX2DEC(MID(B633,3,FIND("-",E633)-3))</f>
        <v/>
      </c>
      <c r="E633" s="46" t="inlineStr">
        <is>
          <t>U+20000-U+2A6DF</t>
        </is>
      </c>
      <c r="F633" s="12" t="n">
        <v>4</v>
      </c>
      <c r="J633" s="19">
        <f>ROUNDDOWN(W633,0)/$V633</f>
        <v/>
      </c>
      <c r="K633" s="19">
        <f>ROUNDDOWN(X633,0)/$V633</f>
        <v/>
      </c>
      <c r="L633" s="19">
        <f>ROUNDDOWN(Y633,0)/$V633</f>
        <v/>
      </c>
      <c r="M633" s="19">
        <f>ROUNDDOWN(Z633,0)/$V633</f>
        <v/>
      </c>
      <c r="O633" s="36" t="inlineStr">
        <is>
          <t>𧈀 𧈁 𧈂 𧈃 𧈄 𧈅 𧈆 𧈇 𧈈 𧈉 𧈊 𧈋 𧈌 𧈍 𧈎 𧈏 𧈐 𧈑 𧈒 𧈓 𧈔 𧈕 𧈖 𧈗 𧈘 𧈙 𧈚 𧈛 𧈜 𧈝 𧈞 𧈟 𧈠 𧈡 𧈢 𧈣 𧈤 𧈥 𧈦 𧈧 𧈨 𧈩 𧈪 𧈫 𧈬 𧈭 𧈮 𧈯 𧈰 𧈱 𧈲 𧈳 𧈴 𧈵 𧈶 𧈷 𧈸 𧈹 𧈺 𧈻 𧈼 𧈽 𧈾 𧈿 𧉀 𧉁 𧉂 𧉃 𧉄 𧉅 𧉆 𧉇 𧉈 𧉉 𧉊 𧉋 𧉌 𧉍 𧉎 𧉏 𧉐 𧉑 𧉒 𧉓 𧉔 𧉕 𧉖 𧉗 𧉘 𧉙 𧉚 𧉛 𧉜 𧉝 𧉞 𧉟 𧉠 𧉡 𧉢 𧉣 𧉤 𧉥 𧉦 𧉧 𧉨 𧉩 𧉪 𧉫 𧉬 𧉭 𧉮 𧉯 𧉰 𧉱 𧉲 𧉳 𧉴 𧉵 𧉶 𧉷 𧉸 𧉹 𧉺 𧉻 𧉼 𧉽 𧉾 𧉿 𧊀 𧊁 𧊂 𧊃 𧊄 𧊅 𧊆 𧊇 𧊈 𧊉 𧊊 𧊋 𧊌 𧊍 𧊎 𧊏 𧊐 𧊑 𧊒 𧊓 𧊔 𧊕 𧊖 𧊗 𧊘 𧊙 𧊚 𧊛 𧊜 𧊝 𧊞 𧊟 𧊠 𧊡 𧊢 𧊣 𧊤 𧊥 𧊦 𧊧 𧊨 𧊩 𧊪 𧊫 𧊬 𧊭 𧊮 𧊯 𧊰 𧊱 𧊲 𧊳 𧊴 𧊵 𧊶 𧊷 𧊸 𧊹 𧊺 𧊻 𧊼 𧊽 𧊾 𧊿 𧋀 𧋁 𧋂 𧋃 𧋄 𧋅 𧋆 𧋇 𧋈 𧋉 𧋊 𧋋 𧋌 𧋍 𧋎 𧋏 𧋐 𧋑 𧋒 𧋓 𧋔 𧋕 𧋖 𧋗 𧋘 𧋙 𧋚 𧋛 𧋜 𧋝 𧋞 𧋟 𧋠 𧋡 𧋢 𧋣 𧋤 𧋥 𧋦 𧋧 𧋨 𧋩 𧋪 𧋫 𧋬 𧋭 𧋮 𧋯 𧋰 𧋱 𧋲 𧋳 𧋴 𧋵 𧋶 𧋷 𧋸 𧋹 𧋺 𧋻 𧋼 𧋽 𧋾 𧋿</t>
        </is>
      </c>
      <c r="P633" s="37" t="inlineStr">
        <is>
          <t>𧈀 𧈁 𧈂 𧈃 𧈄 𧈅 𧈆 𧈇 𧈈 𧈉 𧈊 𧈋 𧈌 𧈍 𧈎 𧈏 𧈐 𧈑 𧈒 𧈓 𧈔 𧈕 𧈖 𧈗 𧈘 𧈙 𧈚 𧈛 𧈜 𧈝 𧈞 𧈟 𧈠 𧈡 𧈢 𧈣 𧈤 𧈥 𧈦 𧈧 𧈨 𧈩 𧈪 𧈫 𧈬 𧈭 𧈮 𧈯 𧈰 𧈱 𧈲 𧈳 𧈴 𧈵 𧈶 𧈷 𧈸 𧈹 𧈺 𧈻 𧈼 𧈽 𧈾 𧈿 𧉀 𧉁 𧉂 𧉃 𧉄 𧉅 𧉆 𧉇 𧉈 𧉉 𧉊 𧉋 𧉌 𧉍 𧉎 𧉏 𧉐 𧉑 𧉒 𧉓 𧉔 𧉕 𧉖 𧉗 𧉘 𧉙 𧉚 𧉛 𧉜 𧉝 𧉞 𧉟 𧉠 𧉡 𧉢 𧉣 𧉤 𧉥 𧉦 𧉧 𧉨 𧉩 𧉪 𧉫 𧉬 𧉭 𧉮 𧉯 𧉰 𧉱 𧉲 𧉳 𧉴 𧉵 𧉶 𧉷 𧉸 𧉹 𧉺 𧉻 𧉼 𧉽 𧉾 𧉿 𧊀 𧊁 𧊂 𧊃 𧊄 𧊅 𧊆 𧊇 𧊈 𧊉 𧊊 𧊋 𧊌 𧊍 𧊎 𧊏 𧊐 𧊑 𧊒 𧊓 𧊔 𧊕 𧊖 𧊗 𧊘 𧊙 𧊚 𧊛 𧊜 𧊝 𧊞 𧊟 𧊠 𧊡 𧊢 𧊣 𧊤 𧊥 𧊦 𧊧 𧊨 𧊩 𧊪 𧊫 𧊬 𧊭 𧊮 𧊯 𧊰 𧊱 𧊲 𧊳 𧊴 𧊵 𧊶 𧊷 𧊸 𧊹 𧊺 𧊻 𧊼 𧊽 𧊾 𧊿 𧋀 𧋁 𧋂 𧋃 𧋄 𧋅 𧋆 𧋇 𧋈 𧋉 𧋊 𧋋 𧋌 𧋍 𧋎 𧋏 𧋐 𧋑 𧋒 𧋓 𧋔 𧋕 𧋖 𧋗 𧋘 𧋙 𧋚 𧋛 𧋜 𧋝 𧋞 𧋟 𧋠 𧋡 𧋢 𧋣 𧋤 𧋥 𧋦 𧋧 𧋨 𧋩 𧋪 𧋫 𧋬 𧋭 𧋮 𧋯 𧋰 𧋱 𧋲 𧋳 𧋴 𧋵 𧋶 𧋷 𧋸 𧋹 𧋺 𧋻 𧋼 𧋽 𧋾 𧋿</t>
        </is>
      </c>
      <c r="Q633" s="38" t="inlineStr">
        <is>
          <t>𧈀 𧈁 𧈂 𧈃 𧈄 𧈅 𧈆 𧈇 𧈈 𧈉 𧈊 𧈋 𧈌 𧈍 𧈎 𧈏 𧈐 𧈑 𧈒 𧈓 𧈔 𧈕 𧈖 𧈗 𧈘 𧈙 𧈚 𧈛 𧈜 𧈝 𧈞 𧈟 𧈠 𧈡 𧈢 𧈣 𧈤 𧈥 𧈦 𧈧 𧈨 𧈩 𧈪 𧈫 𧈬 𧈭 𧈮 𧈯 𧈰 𧈱 𧈲 𧈳 𧈴 𧈵 𧈶 𧈷 𧈸 𧈹 𧈺 𧈻 𧈼 𧈽 𧈾 𧈿 𧉀 𧉁 𧉂 𧉃 𧉄 𧉅 𧉆 𧉇 𧉈 𧉉 𧉊 𧉋 𧉌 𧉍 𧉎 𧉏 𧉐 𧉑 𧉒 𧉓 𧉔 𧉕 𧉖 𧉗 𧉘 𧉙 𧉚 𧉛 𧉜 𧉝 𧉞 𧉟 𧉠 𧉡 𧉢 𧉣 𧉤 𧉥 𧉦 𧉧 𧉨 𧉩 𧉪 𧉫 𧉬 𧉭 𧉮 𧉯 𧉰 𧉱 𧉲 𧉳 𧉴 𧉵 𧉶 𧉷 𧉸 𧉹 𧉺 𧉻 𧉼 𧉽 𧉾 𧉿 𧊀 𧊁 𧊂 𧊃 𧊄 𧊅 𧊆 𧊇 𧊈 𧊉 𧊊 𧊋 𧊌 𧊍 𧊎 𧊏 𧊐 𧊑 𧊒 𧊓 𧊔 𧊕 𧊖 𧊗 𧊘 𧊙 𧊚 𧊛 𧊜 𧊝 𧊞 𧊟 𧊠 𧊡 𧊢 𧊣 𧊤 𧊥 𧊦 𧊧 𧊨 𧊩 𧊪 𧊫 𧊬 𧊭 𧊮 𧊯 𧊰 𧊱 𧊲 𧊳 𧊴 𧊵 𧊶 𧊷 𧊸 𧊹 𧊺 𧊻 𧊼 𧊽 𧊾 𧊿 𧋀 𧋁 𧋂 𧋃 𧋄 𧋅 𧋆 𧋇 𧋈 𧋉 𧋊 𧋋 𧋌 𧋍 𧋎 𧋏 𧋐 𧋑 𧋒 𧋓 𧋔 𧋕 𧋖 𧋗 𧋘 𧋙 𧋚 𧋛 𧋜 𧋝 𧋞 𧋟 𧋠 𧋡 𧋢 𧋣 𧋤 𧋥 𧋦 𧋧 𧋨 𧋩 𧋪 𧋫 𧋬 𧋭 𧋮 𧋯 𧋰 𧋱 𧋲 𧋳 𧋴 𧋵 𧋶 𧋷 𧋸 𧋹 𧋺 𧋻 𧋼 𧋽 𧋾 𧋿</t>
        </is>
      </c>
      <c r="R633" s="43" t="inlineStr">
        <is>
          <t>𧊅</t>
        </is>
      </c>
      <c r="S633" s="40" t="n"/>
      <c r="V633" s="14">
        <f>(LEN(O633)+1)/2</f>
        <v/>
      </c>
      <c r="W633" s="14">
        <f>ROUNDDOWN((LEN(P633)+1)/2,0)</f>
        <v/>
      </c>
      <c r="X633" s="14">
        <f>ROUNDDOWN((LEN(Q633)+1)/2,0)</f>
        <v/>
      </c>
      <c r="Y633" s="14">
        <f>ROUNDDOWN((LEN(R633)+1)/2,0)</f>
        <v/>
      </c>
      <c r="Z633" s="14">
        <f>ROUNDDOWN((LEN(S633)+1)/2,0)</f>
        <v/>
      </c>
      <c r="AA633" s="56" t="n">
        <v>46150.55883663843</v>
      </c>
    </row>
    <row r="634" ht="102" customHeight="1">
      <c r="B634" s="46" t="inlineStr">
        <is>
          <t>U+27400-U+274FF</t>
        </is>
      </c>
      <c r="C634" s="46" t="inlineStr">
        <is>
          <t>CJK Unified Ideographs Extension B</t>
        </is>
      </c>
      <c r="D634" s="54">
        <f>HEX2DEC(MID(B634,3,FIND("-",E634)-3))</f>
        <v/>
      </c>
      <c r="E634" s="46" t="inlineStr">
        <is>
          <t>U+20000-U+2A6DF</t>
        </is>
      </c>
      <c r="F634" s="12" t="n">
        <v>4</v>
      </c>
      <c r="J634" s="19">
        <f>ROUNDDOWN(W634,0)/$V634</f>
        <v/>
      </c>
      <c r="K634" s="19">
        <f>ROUNDDOWN(X634,0)/$V634</f>
        <v/>
      </c>
      <c r="L634" s="19">
        <f>ROUNDDOWN(Y634,0)/$V634</f>
        <v/>
      </c>
      <c r="M634" s="19">
        <f>ROUNDDOWN(Z634,0)/$V634</f>
        <v/>
      </c>
      <c r="O634" s="36" t="inlineStr">
        <is>
          <t>𧌀 𧌁 𧌂 𧌃 𧌄 𧌅 𧌆 𧌇 𧌈 𧌉 𧌊 𧌋 𧌌 𧌍 𧌎 𧌏 𧌐 𧌑 𧌒 𧌓 𧌔 𧌕 𧌖 𧌗 𧌘 𧌙 𧌚 𧌛 𧌜 𧌝 𧌞 𧌟 𧌠 𧌡 𧌢 𧌣 𧌤 𧌥 𧌦 𧌧 𧌨 𧌩 𧌪 𧌫 𧌬 𧌭 𧌮 𧌯 𧌰 𧌱 𧌲 𧌳 𧌴 𧌵 𧌶 𧌷 𧌸 𧌹 𧌺 𧌻 𧌼 𧌽 𧌾 𧌿 𧍀 𧍁 𧍂 𧍃 𧍄 𧍅 𧍆 𧍇 𧍈 𧍉 𧍊 𧍋 𧍌 𧍍 𧍎 𧍏 𧍐 𧍑 𧍒 𧍓 𧍔 𧍕 𧍖 𧍗 𧍘 𧍙 𧍚 𧍛 𧍜 𧍝 𧍞 𧍟 𧍠 𧍡 𧍢 𧍣 𧍤 𧍥 𧍦 𧍧 𧍨 𧍩 𧍪 𧍫 𧍬 𧍭 𧍮 𧍯 𧍰 𧍱 𧍲 𧍳 𧍴 𧍵 𧍶 𧍷 𧍸 𧍹 𧍺 𧍻 𧍼 𧍽 𧍾 𧍿 𧎀 𧎁 𧎂 𧎃 𧎄 𧎅 𧎆 𧎇 𧎈 𧎉 𧎊 𧎋 𧎌 𧎍 𧎎 𧎏 𧎐 𧎑 𧎒 𧎓 𧎔 𧎕 𧎖 𧎗 𧎘 𧎙 𧎚 𧎛 𧎜 𧎝 𧎞 𧎟 𧎠 𧎡 𧎢 𧎣 𧎤 𧎥 𧎦 𧎧 𧎨 𧎩 𧎪 𧎫 𧎬 𧎭 𧎮 𧎯 𧎰 𧎱 𧎲 𧎳 𧎴 𧎵 𧎶 𧎷 𧎸 𧎹 𧎺 𧎻 𧎼 𧎽 𧎾 𧎿 𧏀 𧏁 𧏂 𧏃 𧏄 𧏅 𧏆 𧏇 𧏈 𧏉 𧏊 𧏋 𧏌 𧏍 𧏎 𧏏 𧏐 𧏑 𧏒 𧏓 𧏔 𧏕 𧏖 𧏗 𧏘 𧏙 𧏚 𧏛 𧏜 𧏝 𧏞 𧏟 𧏠 𧏡 𧏢 𧏣 𧏤 𧏥 𧏦 𧏧 𧏨 𧏩 𧏪 𧏫 𧏬 𧏭 𧏮 𧏯 𧏰 𧏱 𧏲 𧏳 𧏴 𧏵 𧏶 𧏷 𧏸 𧏹 𧏺 𧏻 𧏼 𧏽 𧏾 𧏿</t>
        </is>
      </c>
      <c r="P634" s="37" t="inlineStr">
        <is>
          <t>𧌀 𧌁 𧌂 𧌃 𧌄 𧌅 𧌆 𧌇 𧌈 𧌉 𧌊 𧌋 𧌌 𧌍 𧌎 𧌏 𧌐 𧌑 𧌒 𧌓 𧌔 𧌕 𧌖 𧌗 𧌘 𧌙 𧌚 𧌛 𧌜 𧌝 𧌞 𧌟 𧌠 𧌡 𧌢 𧌣 𧌤 𧌥 𧌦 𧌧 𧌨 𧌩 𧌪 𧌫 𧌬 𧌭 𧌮 𧌯 𧌰 𧌱 𧌲 𧌳 𧌴 𧌵 𧌶 𧌷 𧌸 𧌹 𧌺 𧌻 𧌼 𧌽 𧌾 𧌿 𧍀 𧍁 𧍂 𧍃 𧍄 𧍅 𧍆 𧍇 𧍈 𧍉 𧍊 𧍋 𧍌 𧍍 𧍎 𧍏 𧍐 𧍑 𧍒 𧍓 𧍔 𧍕 𧍖 𧍗 𧍘 𧍙 𧍚 𧍛 𧍜 𧍝 𧍞 𧍟 𧍠 𧍡 𧍢 𧍣 𧍤 𧍥 𧍦 𧍧 𧍨 𧍩 𧍪 𧍫 𧍬 𧍭 𧍮 𧍯 𧍰 𧍱 𧍲 𧍳 𧍴 𧍵 𧍶 𧍷 𧍸 𧍹 𧍺 𧍻 𧍼 𧍽 𧍾 𧍿 𧎀 𧎁 𧎂 𧎃 𧎄 𧎅 𧎆 𧎇 𧎈 𧎉 𧎊 𧎋 𧎌 𧎍 𧎎 𧎏 𧎐 𧎑 𧎒 𧎓 𧎔 𧎕 𧎖 𧎗 𧎘 𧎙 𧎚 𧎛 𧎜 𧎝 𧎞 𧎟 𧎠 𧎡 𧎢 𧎣 𧎤 𧎥 𧎦 𧎧 𧎨 𧎩 𧎪 𧎫 𧎬 𧎭 𧎮 𧎯 𧎰 𧎱 𧎲 𧎳 𧎴 𧎵 𧎶 𧎷 𧎸 𧎹 𧎺 𧎻 𧎼 𧎽 𧎾 𧎿 𧏀 𧏁 𧏂 𧏃 𧏄 𧏅 𧏆 𧏇 𧏈 𧏉 𧏊 𧏋 𧏌 𧏍 𧏎 𧏏 𧏐 𧏑 𧏒 𧏓 𧏔 𧏕 𧏖 𧏗 𧏘 𧏙 𧏚 𧏛 𧏜 𧏝 𧏞 𧏟 𧏠 𧏡 𧏢 𧏣 𧏤 𧏥 𧏦 𧏧 𧏨 𧏩 𧏪 𧏫 𧏬 𧏭 𧏮 𧏯 𧏰 𧏱 𧏲 𧏳 𧏴 𧏵 𧏶 𧏷 𧏸 𧏹 𧏺 𧏻 𧏼 𧏽 𧏾 𧏿</t>
        </is>
      </c>
      <c r="Q634" s="38" t="inlineStr">
        <is>
          <t>𧌀 𧌁 𧌂 𧌃 𧌄 𧌅 𧌆 𧌇 𧌈 𧌉 𧌊 𧌋 𧌌 𧌍 𧌎 𧌏 𧌐 𧌑 𧌒 𧌓 𧌔 𧌕 𧌖 𧌗 𧌘 𧌙 𧌚 𧌛 𧌜 𧌝 𧌞 𧌟 𧌠 𧌡 𧌢 𧌣 𧌤 𧌥 𧌦 𧌧 𧌨 𧌩 𧌪 𧌫 𧌬 𧌭 𧌮 𧌯 𧌰 𧌱 𧌲 𧌳 𧌴 𧌵 𧌶 𧌷 𧌸 𧌹 𧌺 𧌻 𧌼 𧌽 𧌾 𧌿 𧍀 𧍁 𧍂 𧍃 𧍄 𧍅 𧍆 𧍇 𧍈 𧍉 𧍊 𧍋 𧍌 𧍍 𧍎 𧍏 𧍐 𧍑 𧍒 𧍓 𧍔 𧍕 𧍖 𧍗 𧍘 𧍙 𧍚 𧍛 𧍜 𧍝 𧍞 𧍟 𧍠 𧍡 𧍢 𧍣 𧍤 𧍥 𧍦 𧍧 𧍨 𧍩 𧍪 𧍫 𧍬 𧍭 𧍮 𧍯 𧍰 𧍱 𧍲 𧍳 𧍴 𧍵 𧍶 𧍷 𧍸 𧍹 𧍺 𧍻 𧍼 𧍽 𧍾 𧍿 𧎀 𧎁 𧎂 𧎃 𧎄 𧎅 𧎆 𧎇 𧎈 𧎉 𧎊 𧎋 𧎌 𧎍 𧎎 𧎏 𧎐 𧎑 𧎒 𧎓 𧎔 𧎕 𧎖 𧎗 𧎘 𧎙 𧎚 𧎛 𧎜 𧎝 𧎞 𧎟 𧎠 𧎡 𧎢 𧎣 𧎤 𧎥 𧎦 𧎧 𧎨 𧎩 𧎪 𧎫 𧎬 𧎭 𧎮 𧎯 𧎰 𧎱 𧎲 𧎳 𧎴 𧎵 𧎶 𧎷 𧎸 𧎹 𧎺 𧎻 𧎼 𧎽 𧎾 𧎿 𧏀 𧏁 𧏂 𧏃 𧏄 𧏅 𧏆 𧏇 𧏈 𧏉 𧏊 𧏋 𧏌 𧏍 𧏎 𧏏 𧏐 𧏑 𧏒 𧏓 𧏔 𧏕 𧏖 𧏗 𧏘 𧏙 𧏚 𧏛 𧏜 𧏝 𧏞 𧏟 𧏠 𧏡 𧏢 𧏣 𧏤 𧏥 𧏦 𧏧 𧏨 𧏩 𧏪 𧏫 𧏬 𧏭 𧏮 𧏯 𧏰 𧏱 𧏲 𧏳 𧏴 𧏵 𧏶 𧏷 𧏸 𧏹 𧏺 𧏻 𧏼 𧏽 𧏾 𧏿</t>
        </is>
      </c>
      <c r="R634" s="43" t="inlineStr">
        <is>
          <t>𧌄 𧍱 𧏛 𧏾</t>
        </is>
      </c>
      <c r="S634" s="40" t="n"/>
      <c r="V634" s="14">
        <f>(LEN(O634)+1)/2</f>
        <v/>
      </c>
      <c r="W634" s="14">
        <f>ROUNDDOWN((LEN(P634)+1)/2,0)</f>
        <v/>
      </c>
      <c r="X634" s="14">
        <f>ROUNDDOWN((LEN(Q634)+1)/2,0)</f>
        <v/>
      </c>
      <c r="Y634" s="14">
        <f>ROUNDDOWN((LEN(R634)+1)/2,0)</f>
        <v/>
      </c>
      <c r="Z634" s="14">
        <f>ROUNDDOWN((LEN(S634)+1)/2,0)</f>
        <v/>
      </c>
      <c r="AA634" s="56" t="n">
        <v>46150.5588377397</v>
      </c>
    </row>
    <row r="635" ht="102" customHeight="1">
      <c r="B635" s="46" t="inlineStr">
        <is>
          <t>U+27500-U+275FF</t>
        </is>
      </c>
      <c r="C635" s="46" t="inlineStr">
        <is>
          <t>CJK Unified Ideographs Extension B</t>
        </is>
      </c>
      <c r="D635" s="54">
        <f>HEX2DEC(MID(B635,3,FIND("-",E635)-3))</f>
        <v/>
      </c>
      <c r="E635" s="46" t="inlineStr">
        <is>
          <t>U+20000-U+2A6DF</t>
        </is>
      </c>
      <c r="F635" s="12" t="n">
        <v>4</v>
      </c>
      <c r="J635" s="19">
        <f>ROUNDDOWN(W635,0)/$V635</f>
        <v/>
      </c>
      <c r="K635" s="19">
        <f>ROUNDDOWN(X635,0)/$V635</f>
        <v/>
      </c>
      <c r="L635" s="19">
        <f>ROUNDDOWN(Y635,0)/$V635</f>
        <v/>
      </c>
      <c r="M635" s="19">
        <f>ROUNDDOWN(Z635,0)/$V635</f>
        <v/>
      </c>
      <c r="O635" s="36" t="inlineStr">
        <is>
          <t>𧐀 𧐁 𧐂 𧐃 𧐄 𧐅 𧐆 𧐇 𧐈 𧐉 𧐊 𧐋 𧐌 𧐍 𧐎 𧐏 𧐐 𧐑 𧐒 𧐓 𧐔 𧐕 𧐖 𧐗 𧐘 𧐙 𧐚 𧐛 𧐜 𧐝 𧐞 𧐟 𧐠 𧐡 𧐢 𧐣 𧐤 𧐥 𧐦 𧐧 𧐨 𧐩 𧐪 𧐫 𧐬 𧐭 𧐮 𧐯 𧐰 𧐱 𧐲 𧐳 𧐴 𧐵 𧐶 𧐷 𧐸 𧐹 𧐺 𧐻 𧐼 𧐽 𧐾 𧐿 𧑀 𧑁 𧑂 𧑃 𧑄 𧑅 𧑆 𧑇 𧑈 𧑉 𧑊 𧑋 𧑌 𧑍 𧑎 𧑏 𧑐 𧑑 𧑒 𧑓 𧑔 𧑕 𧑖 𧑗 𧑘 𧑙 𧑚 𧑛 𧑜 𧑝 𧑞 𧑟 𧑠 𧑡 𧑢 𧑣 𧑤 𧑥 𧑦 𧑧 𧑨 𧑩 𧑪 𧑫 𧑬 𧑭 𧑮 𧑯 𧑰 𧑱 𧑲 𧑳 𧑴 𧑵 𧑶 𧑷 𧑸 𧑹 𧑺 𧑻 𧑼 𧑽 𧑾 𧑿 𧒀 𧒁 𧒂 𧒃 𧒄 𧒅 𧒆 𧒇 𧒈 𧒉 𧒊 𧒋 𧒌 𧒍 𧒎 𧒏 𧒐 𧒑 𧒒 𧒓 𧒔 𧒕 𧒖 𧒗 𧒘 𧒙 𧒚 𧒛 𧒜 𧒝 𧒞 𧒟 𧒠 𧒡 𧒢 𧒣 𧒤 𧒥 𧒦 𧒧 𧒨 𧒩 𧒪 𧒫 𧒬 𧒭 𧒮 𧒯 𧒰 𧒱 𧒲 𧒳 𧒴 𧒵 𧒶 𧒷 𧒸 𧒹 𧒺 𧒻 𧒼 𧒽 𧒾 𧒿 𧓀 𧓁 𧓂 𧓃 𧓄 𧓅 𧓆 𧓇 𧓈 𧓉 𧓊 𧓋 𧓌 𧓍 𧓎 𧓏 𧓐 𧓑 𧓒 𧓓 𧓔 𧓕 𧓖 𧓗 𧓘 𧓙 𧓚 𧓛 𧓜 𧓝 𧓞 𧓟 𧓠 𧓡 𧓢 𧓣 𧓤 𧓥 𧓦 𧓧 𧓨 𧓩 𧓪 𧓫 𧓬 𧓭 𧓮 𧓯 𧓰 𧓱 𧓲 𧓳 𧓴 𧓵 𧓶 𧓷 𧓸 𧓹 𧓺 𧓻 𧓼 𧓽 𧓾 𧓿</t>
        </is>
      </c>
      <c r="P635" s="37" t="inlineStr">
        <is>
          <t>𧐀 𧐁 𧐂 𧐃 𧐄 𧐅 𧐆 𧐇 𧐈 𧐉 𧐊 𧐋 𧐌 𧐍 𧐎 𧐏 𧐐 𧐑 𧐒 𧐓 𧐔 𧐕 𧐖 𧐗 𧐘 𧐙 𧐚 𧐛 𧐜 𧐝 𧐞 𧐟 𧐠 𧐡 𧐢 𧐣 𧐤 𧐥 𧐦 𧐧 𧐨 𧐩 𧐪 𧐫 𧐬 𧐭 𧐮 𧐯 𧐰 𧐱 𧐲 𧐳 𧐴 𧐵 𧐶 𧐷 𧐸 𧐹 𧐺 𧐻 𧐼 𧐽 𧐾 𧐿 𧑀 𧑁 𧑂 𧑃 𧑄 𧑅 𧑆 𧑇 𧑈 𧑉 𧑊 𧑋 𧑌 𧑍 𧑎 𧑏 𧑐 𧑑 𧑒 𧑓 𧑔 𧑕 𧑖 𧑗 𧑘 𧑙 𧑚 𧑛 𧑜 𧑝 𧑞 𧑟 𧑠 𧑡 𧑢 𧑣 𧑤 𧑥 𧑦 𧑧 𧑨 𧑩 𧑪 𧑫 𧑬 𧑭 𧑮 𧑯 𧑰 𧑱 𧑲 𧑳 𧑴 𧑵 𧑶 𧑷 𧑸 𧑹 𧑺 𧑻 𧑼 𧑽 𧑾 𧑿 𧒀 𧒁 𧒂 𧒃 𧒄 𧒅 𧒆 𧒇 𧒈 𧒉 𧒊 𧒋 𧒌 𧒍 𧒎 𧒏 𧒐 𧒑 𧒒 𧒓 𧒔 𧒕 𧒖 𧒗 𧒘 𧒙 𧒚 𧒛 𧒜 𧒝 𧒞 𧒟 𧒠 𧒡 𧒢 𧒣 𧒤 𧒥 𧒦 𧒧 𧒨 𧒩 𧒪 𧒫 𧒬 𧒭 𧒮 𧒯 𧒰 𧒱 𧒲 𧒳 𧒴 𧒵 𧒶 𧒷 𧒸 𧒹 𧒺 𧒻 𧒼 𧒽 𧒾 𧒿 𧓀 𧓁 𧓂 𧓃 𧓄 𧓅 𧓆 𧓇 𧓈 𧓉 𧓊 𧓋 𧓌 𧓍 𧓎 𧓏 𧓐 𧓑 𧓒 𧓓 𧓔 𧓕 𧓖 𧓗 𧓘 𧓙 𧓚 𧓛 𧓜 𧓝 𧓞 𧓟 𧓠 𧓡 𧓢 𧓣 𧓤 𧓥 𧓦 𧓧 𧓨 𧓩 𧓪 𧓫 𧓬 𧓭 𧓮 𧓯 𧓰 𧓱 𧓲 𧓳 𧓴 𧓵 𧓶 𧓷 𧓸 𧓹 𧓺 𧓻 𧓼 𧓽 𧓾 𧓿</t>
        </is>
      </c>
      <c r="Q635" s="38" t="inlineStr">
        <is>
          <t>𧐀 𧐁 𧐂 𧐃 𧐄 𧐅 𧐆 𧐇 𧐈 𧐉 𧐊 𧐋 𧐌 𧐍 𧐎 𧐏 𧐐 𧐑 𧐒 𧐓 𧐔 𧐕 𧐖 𧐗 𧐘 𧐙 𧐚 𧐛 𧐜 𧐝 𧐞 𧐟 𧐠 𧐡 𧐢 𧐣 𧐤 𧐥 𧐦 𧐧 𧐨 𧐩 𧐪 𧐫 𧐬 𧐭 𧐮 𧐯 𧐰 𧐱 𧐲 𧐳 𧐴 𧐵 𧐶 𧐷 𧐸 𧐹 𧐺 𧐻 𧐼 𧐽 𧐾 𧐿 𧑀 𧑁 𧑂 𧑃 𧑄 𧑅 𧑆 𧑇 𧑈 𧑉 𧑊 𧑋 𧑌 𧑍 𧑎 𧑏 𧑐 𧑑 𧑒 𧑓 𧑔 𧑕 𧑖 𧑗 𧑘 𧑙 𧑚 𧑛 𧑜 𧑝 𧑞 𧑟 𧑠 𧑡 𧑢 𧑣 𧑤 𧑥 𧑦 𧑧 𧑨 𧑩 𧑪 𧑫 𧑬 𧑭 𧑮 𧑯 𧑰 𧑱 𧑲 𧑳 𧑴 𧑵 𧑶 𧑷 𧑸 𧑹 𧑺 𧑻 𧑼 𧑽 𧑾 𧑿 𧒀 𧒁 𧒂 𧒃 𧒄 𧒅 𧒆 𧒇 𧒈 𧒉 𧒊 𧒋 𧒌 𧒍 𧒎 𧒏 𧒐 𧒑 𧒒 𧒓 𧒔 𧒕 𧒖 𧒗 𧒘 𧒙 𧒚 𧒛 𧒜 𧒝 𧒞 𧒟 𧒠 𧒡 𧒢 𧒣 𧒤 𧒥 𧒦 𧒧 𧒨 𧒩 𧒪 𧒫 𧒬 𧒭 𧒮 𧒯 𧒰 𧒱 𧒲 𧒳 𧒴 𧒵 𧒶 𧒷 𧒸 𧒹 𧒺 𧒻 𧒼 𧒽 𧒾 𧒿 𧓀 𧓁 𧓂 𧓃 𧓄 𧓅 𧓆 𧓇 𧓈 𧓉 𧓊 𧓋 𧓌 𧓍 𧓎 𧓏 𧓐 𧓑 𧓒 𧓓 𧓔 𧓕 𧓖 𧓗 𧓘 𧓙 𧓚 𧓛 𧓜 𧓝 𧓞 𧓟 𧓠 𧓡 𧓢 𧓣 𧓤 𧓥 𧓦 𧓧 𧓨 𧓩 𧓪 𧓫 𧓬 𧓭 𧓮 𧓯 𧓰 𧓱 𧓲 𧓳 𧓴 𧓵 𧓶 𧓷 𧓸 𧓹 𧓺 𧓻 𧓼 𧓽 𧓾 𧓿</t>
        </is>
      </c>
      <c r="R635" s="43" t="inlineStr">
        <is>
          <t>𧐐 𧑉</t>
        </is>
      </c>
      <c r="S635" s="40" t="n"/>
      <c r="V635" s="14">
        <f>(LEN(O635)+1)/2</f>
        <v/>
      </c>
      <c r="W635" s="14">
        <f>ROUNDDOWN((LEN(P635)+1)/2,0)</f>
        <v/>
      </c>
      <c r="X635" s="14">
        <f>ROUNDDOWN((LEN(Q635)+1)/2,0)</f>
        <v/>
      </c>
      <c r="Y635" s="14">
        <f>ROUNDDOWN((LEN(R635)+1)/2,0)</f>
        <v/>
      </c>
      <c r="Z635" s="14">
        <f>ROUNDDOWN((LEN(S635)+1)/2,0)</f>
        <v/>
      </c>
      <c r="AA635" s="56" t="n">
        <v>46150.55883882793</v>
      </c>
    </row>
    <row r="636" ht="102" customHeight="1">
      <c r="B636" s="46" t="inlineStr">
        <is>
          <t>U+27600-U+276FF</t>
        </is>
      </c>
      <c r="C636" s="46" t="inlineStr">
        <is>
          <t>CJK Unified Ideographs Extension B</t>
        </is>
      </c>
      <c r="D636" s="54">
        <f>HEX2DEC(MID(B636,3,FIND("-",E636)-3))</f>
        <v/>
      </c>
      <c r="E636" s="46" t="inlineStr">
        <is>
          <t>U+20000-U+2A6DF</t>
        </is>
      </c>
      <c r="F636" s="12" t="n">
        <v>4</v>
      </c>
      <c r="J636" s="19">
        <f>ROUNDDOWN(W636,0)/$V636</f>
        <v/>
      </c>
      <c r="K636" s="19">
        <f>ROUNDDOWN(X636,0)/$V636</f>
        <v/>
      </c>
      <c r="L636" s="19">
        <f>ROUNDDOWN(Y636,0)/$V636</f>
        <v/>
      </c>
      <c r="M636" s="19">
        <f>ROUNDDOWN(Z636,0)/$V636</f>
        <v/>
      </c>
      <c r="O636" s="36" t="inlineStr">
        <is>
          <t>𧔀 𧔁 𧔂 𧔃 𧔄 𧔅 𧔆 𧔇 𧔈 𧔉 𧔊 𧔋 𧔌 𧔍 𧔎 𧔏 𧔐 𧔑 𧔒 𧔓 𧔔 𧔕 𧔖 𧔗 𧔘 𧔙 𧔚 𧔛 𧔜 𧔝 𧔞 𧔟 𧔠 𧔡 𧔢 𧔣 𧔤 𧔥 𧔦 𧔧 𧔨 𧔩 𧔪 𧔫 𧔬 𧔭 𧔮 𧔯 𧔰 𧔱 𧔲 𧔳 𧔴 𧔵 𧔶 𧔷 𧔸 𧔹 𧔺 𧔻 𧔼 𧔽 𧔾 𧔿 𧕀 𧕁 𧕂 𧕃 𧕄 𧕅 𧕆 𧕇 𧕈 𧕉 𧕊 𧕋 𧕌 𧕍 𧕎 𧕏 𧕐 𧕑 𧕒 𧕓 𧕔 𧕕 𧕖 𧕗 𧕘 𧕙 𧕚 𧕛 𧕜 𧕝 𧕞 𧕟 𧕠 𧕡 𧕢 𧕣 𧕤 𧕥 𧕦 𧕧 𧕨 𧕩 𧕪 𧕫 𧕬 𧕭 𧕮 𧕯 𧕰 𧕱 𧕲 𧕳 𧕴 𧕵 𧕶 𧕷 𧕸 𧕹 𧕺 𧕻 𧕼 𧕽 𧕾 𧕿 𧖀 𧖁 𧖂 𧖃 𧖄 𧖅 𧖆 𧖇 𧖈 𧖉 𧖊 𧖋 𧖌 𧖍 𧖎 𧖏 𧖐 𧖑 𧖒 𧖓 𧖔 𧖕 𧖖 𧖗 𧖘 𧖙 𧖚 𧖛 𧖜 𧖝 𧖞 𧖟 𧖠 𧖡 𧖢 𧖣 𧖤 𧖥 𧖦 𧖧 𧖨 𧖩 𧖪 𧖫 𧖬 𧖭 𧖮 𧖯 𧖰 𧖱 𧖲 𧖳 𧖴 𧖵 𧖶 𧖷 𧖸 𧖹 𧖺 𧖻 𧖼 𧖽 𧖾 𧖿 𧗀 𧗁 𧗂 𧗃 𧗄 𧗅 𧗆 𧗇 𧗈 𧗉 𧗊 𧗋 𧗌 𧗍 𧗎 𧗏 𧗐 𧗑 𧗒 𧗓 𧗔 𧗕 𧗖 𧗗 𧗘 𧗙 𧗚 𧗛 𧗜 𧗝 𧗞 𧗟 𧗠 𧗡 𧗢 𧗣 𧗤 𧗥 𧗦 𧗧 𧗨 𧗩 𧗪 𧗫 𧗬 𧗭 𧗮 𧗯 𧗰 𧗱 𧗲 𧗳 𧗴 𧗵 𧗶 𧗷 𧗸 𧗹 𧗺 𧗻 𧗼 𧗽 𧗾 𧗿</t>
        </is>
      </c>
      <c r="P636" s="37" t="inlineStr">
        <is>
          <t>𧔀 𧔁 𧔂 𧔃 𧔄 𧔅 𧔆 𧔇 𧔈 𧔉 𧔊 𧔋 𧔌 𧔍 𧔎 𧔏 𧔐 𧔑 𧔒 𧔓 𧔔 𧔕 𧔖 𧔗 𧔘 𧔙 𧔚 𧔛 𧔜 𧔝 𧔞 𧔟 𧔠 𧔡 𧔢 𧔣 𧔤 𧔥 𧔦 𧔧 𧔨 𧔩 𧔪 𧔫 𧔬 𧔭 𧔮 𧔯 𧔰 𧔱 𧔲 𧔳 𧔴 𧔵 𧔶 𧔷 𧔸 𧔹 𧔺 𧔻 𧔼 𧔽 𧔾 𧔿 𧕀 𧕁 𧕂 𧕃 𧕄 𧕅 𧕆 𧕇 𧕈 𧕉 𧕊 𧕋 𧕌 𧕍 𧕎 𧕏 𧕐 𧕑 𧕒 𧕓 𧕔 𧕕 𧕖 𧕗 𧕘 𧕙 𧕚 𧕛 𧕜 𧕝 𧕞 𧕟 𧕠 𧕡 𧕢 𧕣 𧕤 𧕥 𧕦 𧕧 𧕨 𧕩 𧕪 𧕫 𧕬 𧕭 𧕮 𧕯 𧕰 𧕱 𧕲 𧕳 𧕴 𧕵 𧕶 𧕷 𧕸 𧕹 𧕺 𧕻 𧕼 𧕽 𧕾 𧕿 𧖀 𧖁 𧖂 𧖃 𧖄 𧖅 𧖆 𧖇 𧖈 𧖉 𧖊 𧖋 𧖌 𧖍 𧖎 𧖏 𧖐 𧖑 𧖒 𧖓 𧖔 𧖕 𧖖 𧖗 𧖘 𧖙 𧖚 𧖛 𧖜 𧖝 𧖞 𧖟 𧖠 𧖡 𧖢 𧖣 𧖤 𧖥 𧖦 𧖧 𧖨 𧖩 𧖪 𧖫 𧖬 𧖭 𧖮 𧖯 𧖰 𧖱 𧖲 𧖳 𧖴 𧖵 𧖶 𧖷 𧖸 𧖹 𧖺 𧖻 𧖼 𧖽 𧖾 𧖿 𧗀 𧗁 𧗂 𧗃 𧗄 𧗅 𧗆 𧗇 𧗈 𧗉 𧗊 𧗋 𧗌 𧗍 𧗎 𧗏 𧗐 𧗑 𧗒 𧗓 𧗔 𧗕 𧗖 𧗗 𧗘 𧗙 𧗚 𧗛 𧗜 𧗝 𧗞 𧗟 𧗠 𧗡 𧗢 𧗣 𧗤 𧗥 𧗦 𧗧 𧗨 𧗩 𧗪 𧗫 𧗬 𧗭 𧗮 𧗯 𧗰 𧗱 𧗲 𧗳 𧗴 𧗵 𧗶 𧗷 𧗸 𧗹 𧗺 𧗻 𧗼 𧗽 𧗾 𧗿</t>
        </is>
      </c>
      <c r="Q636" s="38" t="inlineStr">
        <is>
          <t>𧔀 𧔁 𧔂 𧔃 𧔄 𧔅 𧔆 𧔇 𧔈 𧔉 𧔊 𧔋 𧔌 𧔍 𧔎 𧔏 𧔐 𧔑 𧔒 𧔓 𧔔 𧔕 𧔖 𧔗 𧔘 𧔙 𧔚 𧔛 𧔜 𧔝 𧔞 𧔟 𧔠 𧔡 𧔢 𧔣 𧔤 𧔥 𧔦 𧔧 𧔨 𧔩 𧔪 𧔫 𧔬 𧔭 𧔮 𧔯 𧔰 𧔱 𧔲 𧔳 𧔴 𧔵 𧔶 𧔷 𧔸 𧔹 𧔺 𧔻 𧔼 𧔽 𧔾 𧔿 𧕀 𧕁 𧕂 𧕃 𧕄 𧕅 𧕆 𧕇 𧕈 𧕉 𧕊 𧕋 𧕌 𧕍 𧕎 𧕏 𧕐 𧕑 𧕒 𧕓 𧕔 𧕕 𧕖 𧕗 𧕘 𧕙 𧕚 𧕛 𧕜 𧕝 𧕞 𧕟 𧕠 𧕡 𧕢 𧕣 𧕤 𧕥 𧕦 𧕧 𧕨 𧕩 𧕪 𧕫 𧕬 𧕭 𧕮 𧕯 𧕰 𧕱 𧕲 𧕳 𧕴 𧕵 𧕶 𧕷 𧕸 𧕹 𧕺 𧕻 𧕼 𧕽 𧕾 𧕿 𧖀 𧖁 𧖂 𧖃 𧖄 𧖅 𧖆 𧖇 𧖈 𧖉 𧖊 𧖋 𧖌 𧖍 𧖎 𧖏 𧖐 𧖑 𧖒 𧖓 𧖔 𧖕 𧖖 𧖗 𧖘 𧖙 𧖚 𧖛 𧖜 𧖝 𧖞 𧖟 𧖠 𧖡 𧖢 𧖣 𧖤 𧖥 𧖦 𧖧 𧖨 𧖩 𧖪 𧖫 𧖬 𧖭 𧖮 𧖯 𧖰 𧖱 𧖲 𧖳 𧖴 𧖵 𧖶 𧖷 𧖸 𧖹 𧖺 𧖻 𧖼 𧖽 𧖾 𧖿 𧗀 𧗁 𧗂 𧗃 𧗄 𧗅 𧗆 𧗇 𧗈 𧗉 𧗊 𧗋 𧗌 𧗍 𧗎 𧗏 𧗐 𧗑 𧗒 𧗓 𧗔 𧗕 𧗖 𧗗 𧗘 𧗙 𧗚 𧗛 𧗜 𧗝 𧗞 𧗟 𧗠 𧗡 𧗢 𧗣 𧗤 𧗥 𧗦 𧗧 𧗨 𧗩 𧗪 𧗫 𧗬 𧗭 𧗮 𧗯 𧗰 𧗱 𧗲 𧗳 𧗴 𧗵 𧗶 𧗷 𧗸 𧗹 𧗺 𧗻 𧗼 𧗽 𧗾 𧗿</t>
        </is>
      </c>
      <c r="R636" s="43" t="inlineStr"/>
      <c r="S636" s="40" t="n"/>
      <c r="V636" s="14">
        <f>(LEN(O636)+1)/2</f>
        <v/>
      </c>
      <c r="W636" s="14">
        <f>ROUNDDOWN((LEN(P636)+1)/2,0)</f>
        <v/>
      </c>
      <c r="X636" s="14">
        <f>ROUNDDOWN((LEN(Q636)+1)/2,0)</f>
        <v/>
      </c>
      <c r="Y636" s="14">
        <f>ROUNDDOWN((LEN(R636)+1)/2,0)</f>
        <v/>
      </c>
      <c r="Z636" s="14">
        <f>ROUNDDOWN((LEN(S636)+1)/2,0)</f>
        <v/>
      </c>
      <c r="AA636" s="56" t="n">
        <v>46150.55883988079</v>
      </c>
    </row>
    <row r="637" ht="102" customHeight="1">
      <c r="B637" s="46" t="inlineStr">
        <is>
          <t>U+27700-U+277FF</t>
        </is>
      </c>
      <c r="C637" s="46" t="inlineStr">
        <is>
          <t>CJK Unified Ideographs Extension B</t>
        </is>
      </c>
      <c r="D637" s="54">
        <f>HEX2DEC(MID(B637,3,FIND("-",E637)-3))</f>
        <v/>
      </c>
      <c r="E637" s="46" t="inlineStr">
        <is>
          <t>U+20000-U+2A6DF</t>
        </is>
      </c>
      <c r="F637" s="12" t="n">
        <v>4</v>
      </c>
      <c r="J637" s="19">
        <f>ROUNDDOWN(W637,0)/$V637</f>
        <v/>
      </c>
      <c r="K637" s="19">
        <f>ROUNDDOWN(X637,0)/$V637</f>
        <v/>
      </c>
      <c r="L637" s="19">
        <f>ROUNDDOWN(Y637,0)/$V637</f>
        <v/>
      </c>
      <c r="M637" s="19">
        <f>ROUNDDOWN(Z637,0)/$V637</f>
        <v/>
      </c>
      <c r="O637" s="36" t="inlineStr">
        <is>
          <t>𧘀 𧘁 𧘂 𧘃 𧘄 𧘅 𧘆 𧘇 𧘈 𧘉 𧘊 𧘋 𧘌 𧘍 𧘎 𧘏 𧘐 𧘑 𧘒 𧘓 𧘔 𧘕 𧘖 𧘗 𧘘 𧘙 𧘚 𧘛 𧘜 𧘝 𧘞 𧘟 𧘠 𧘡 𧘢 𧘣 𧘤 𧘥 𧘦 𧘧 𧘨 𧘩 𧘪 𧘫 𧘬 𧘭 𧘮 𧘯 𧘰 𧘱 𧘲 𧘳 𧘴 𧘵 𧘶 𧘷 𧘸 𧘹 𧘺 𧘻 𧘼 𧘽 𧘾 𧘿 𧙀 𧙁 𧙂 𧙃 𧙄 𧙅 𧙆 𧙇 𧙈 𧙉 𧙊 𧙋 𧙌 𧙍 𧙎 𧙏 𧙐 𧙑 𧙒 𧙓 𧙔 𧙕 𧙖 𧙗 𧙘 𧙙 𧙚 𧙛 𧙜 𧙝 𧙞 𧙟 𧙠 𧙡 𧙢 𧙣 𧙤 𧙥 𧙦 𧙧 𧙨 𧙩 𧙪 𧙫 𧙬 𧙭 𧙮 𧙯 𧙰 𧙱 𧙲 𧙳 𧙴 𧙵 𧙶 𧙷 𧙸 𧙹 𧙺 𧙻 𧙼 𧙽 𧙾 𧙿 𧚀 𧚁 𧚂 𧚃 𧚄 𧚅 𧚆 𧚇 𧚈 𧚉 𧚊 𧚋 𧚌 𧚍 𧚎 𧚏 𧚐 𧚑 𧚒 𧚓 𧚔 𧚕 𧚖 𧚗 𧚘 𧚙 𧚚 𧚛 𧚜 𧚝 𧚞 𧚟 𧚠 𧚡 𧚢 𧚣 𧚤 𧚥 𧚦 𧚧 𧚨 𧚩 𧚪 𧚫 𧚬 𧚭 𧚮 𧚯 𧚰 𧚱 𧚲 𧚳 𧚴 𧚵 𧚶 𧚷 𧚸 𧚹 𧚺 𧚻 𧚼 𧚽 𧚾 𧚿 𧛀 𧛁 𧛂 𧛃 𧛄 𧛅 𧛆 𧛇 𧛈 𧛉 𧛊 𧛋 𧛌 𧛍 𧛎 𧛏 𧛐 𧛑 𧛒 𧛓 𧛔 𧛕 𧛖 𧛗 𧛘 𧛙 𧛚 𧛛 𧛜 𧛝 𧛞 𧛟 𧛠 𧛡 𧛢 𧛣 𧛤 𧛥 𧛦 𧛧 𧛨 𧛩 𧛪 𧛫 𧛬 𧛭 𧛮 𧛯 𧛰 𧛱 𧛲 𧛳 𧛴 𧛵 𧛶 𧛷 𧛸 𧛹 𧛺 𧛻 𧛼 𧛽 𧛾 𧛿</t>
        </is>
      </c>
      <c r="P637" s="37" t="inlineStr">
        <is>
          <t>𧘀 𧘁 𧘂 𧘃 𧘄 𧘅 𧘆 𧘇 𧘈 𧘉 𧘊 𧘋 𧘌 𧘍 𧘎 𧘏 𧘐 𧘑 𧘒 𧘓 𧘔 𧘕 𧘖 𧘗 𧘘 𧘙 𧘚 𧘛 𧘜 𧘝 𧘞 𧘟 𧘠 𧘡 𧘢 𧘣 𧘤 𧘥 𧘦 𧘧 𧘨 𧘩 𧘪 𧘫 𧘬 𧘭 𧘮 𧘯 𧘰 𧘱 𧘲 𧘳 𧘴 𧘵 𧘶 𧘷 𧘸 𧘹 𧘺 𧘻 𧘼 𧘽 𧘾 𧘿 𧙀 𧙁 𧙂 𧙃 𧙄 𧙅 𧙆 𧙇 𧙈 𧙉 𧙊 𧙋 𧙌 𧙍 𧙎 𧙏 𧙐 𧙑 𧙒 𧙓 𧙔 𧙕 𧙖 𧙗 𧙘 𧙙 𧙚 𧙛 𧙜 𧙝 𧙞 𧙟 𧙠 𧙡 𧙢 𧙣 𧙤 𧙥 𧙦 𧙧 𧙨 𧙩 𧙪 𧙫 𧙬 𧙭 𧙮 𧙯 𧙰 𧙱 𧙲 𧙳 𧙴 𧙵 𧙶 𧙷 𧙸 𧙹 𧙺 𧙻 𧙼 𧙽 𧙾 𧙿 𧚀 𧚁 𧚂 𧚃 𧚄 𧚅 𧚆 𧚇 𧚈 𧚉 𧚊 𧚋 𧚌 𧚍 𧚎 𧚏 𧚐 𧚑 𧚒 𧚓 𧚔 𧚕 𧚖 𧚗 𧚘 𧚙 𧚚 𧚛 𧚜 𧚝 𧚞 𧚟 𧚠 𧚡 𧚢 𧚣 𧚤 𧚥 𧚦 𧚧 𧚨 𧚩 𧚪 𧚫 𧚬 𧚭 𧚮 𧚯 𧚰 𧚱 𧚲 𧚳 𧚴 𧚵 𧚶 𧚷 𧚸 𧚹 𧚺 𧚻 𧚼 𧚽 𧚾 𧚿 𧛀 𧛁 𧛂 𧛃 𧛄 𧛅 𧛆 𧛇 𧛈 𧛉 𧛊 𧛋 𧛌 𧛍 𧛎 𧛏 𧛐 𧛑 𧛒 𧛓 𧛔 𧛕 𧛖 𧛗 𧛘 𧛙 𧛚 𧛛 𧛜 𧛝 𧛞 𧛟 𧛠 𧛡 𧛢 𧛣 𧛤 𧛥 𧛦 𧛧 𧛨 𧛩 𧛪 𧛫 𧛬 𧛭 𧛮 𧛯 𧛰 𧛱 𧛲 𧛳 𧛴 𧛵 𧛶 𧛷 𧛸 𧛹 𧛺 𧛻 𧛼 𧛽 𧛾 𧛿</t>
        </is>
      </c>
      <c r="Q637" s="38" t="inlineStr">
        <is>
          <t>𧘀 𧘁 𧘂 𧘃 𧘄 𧘅 𧘆 𧘇 𧘈 𧘉 𧘊 𧘋 𧘌 𧘍 𧘎 𧘏 𧘐 𧘑 𧘒 𧘓 𧘔 𧘕 𧘖 𧘗 𧘘 𧘙 𧘚 𧘛 𧘜 𧘝 𧘞 𧘟 𧘠 𧘡 𧘢 𧘣 𧘤 𧘥 𧘦 𧘧 𧘨 𧘩 𧘪 𧘫 𧘬 𧘭 𧘮 𧘯 𧘰 𧘱 𧘲 𧘳 𧘴 𧘵 𧘶 𧘷 𧘸 𧘹 𧘺 𧘻 𧘼 𧘽 𧘾 𧘿 𧙀 𧙁 𧙂 𧙃 𧙄 𧙅 𧙆 𧙇 𧙈 𧙉 𧙊 𧙋 𧙌 𧙍 𧙎 𧙏 𧙐 𧙑 𧙒 𧙓 𧙔 𧙕 𧙖 𧙗 𧙘 𧙙 𧙚 𧙛 𧙜 𧙝 𧙞 𧙟 𧙠 𧙡 𧙢 𧙣 𧙤 𧙥 𧙦 𧙧 𧙨 𧙩 𧙪 𧙫 𧙬 𧙭 𧙮 𧙯 𧙰 𧙱 𧙲 𧙳 𧙴 𧙵 𧙶 𧙷 𧙸 𧙹 𧙺 𧙻 𧙼 𧙽 𧙾 𧙿 𧚀 𧚁 𧚂 𧚃 𧚄 𧚅 𧚆 𧚇 𧚈 𧚉 𧚊 𧚋 𧚌 𧚍 𧚎 𧚏 𧚐 𧚑 𧚒 𧚓 𧚔 𧚕 𧚖 𧚗 𧚘 𧚙 𧚚 𧚛 𧚜 𧚝 𧚞 𧚟 𧚠 𧚡 𧚢 𧚣 𧚤 𧚥 𧚦 𧚧 𧚨 𧚩 𧚪 𧚫 𧚬 𧚭 𧚮 𧚯 𧚰 𧚱 𧚲 𧚳 𧚴 𧚵 𧚶 𧚷 𧚸 𧚹 𧚺 𧚻 𧚼 𧚽 𧚾 𧚿 𧛀 𧛁 𧛂 𧛃 𧛄 𧛅 𧛆 𧛇 𧛈 𧛉 𧛊 𧛋 𧛌 𧛍 𧛎 𧛏 𧛐 𧛑 𧛒 𧛓 𧛔 𧛕 𧛖 𧛗 𧛘 𧛙 𧛚 𧛛 𧛜 𧛝 𧛞 𧛟 𧛠 𧛡 𧛢 𧛣 𧛤 𧛥 𧛦 𧛧 𧛨 𧛩 𧛪 𧛫 𧛬 𧛭 𧛮 𧛯 𧛰 𧛱 𧛲 𧛳 𧛴 𧛵 𧛶 𧛷 𧛸 𧛹 𧛺 𧛻 𧛼 𧛽 𧛾 𧛿</t>
        </is>
      </c>
      <c r="R637" s="43" t="inlineStr">
        <is>
          <t>𧘔 𧘕 𧚄 𧚓</t>
        </is>
      </c>
      <c r="S637" s="40" t="n"/>
      <c r="V637" s="14">
        <f>(LEN(O637)+1)/2</f>
        <v/>
      </c>
      <c r="W637" s="14">
        <f>ROUNDDOWN((LEN(P637)+1)/2,0)</f>
        <v/>
      </c>
      <c r="X637" s="14">
        <f>ROUNDDOWN((LEN(Q637)+1)/2,0)</f>
        <v/>
      </c>
      <c r="Y637" s="14">
        <f>ROUNDDOWN((LEN(R637)+1)/2,0)</f>
        <v/>
      </c>
      <c r="Z637" s="14">
        <f>ROUNDDOWN((LEN(S637)+1)/2,0)</f>
        <v/>
      </c>
      <c r="AA637" s="56" t="n">
        <v>46150.55884097104</v>
      </c>
    </row>
    <row r="638" ht="102" customHeight="1">
      <c r="B638" s="46" t="inlineStr">
        <is>
          <t>U+27800-U+278FF</t>
        </is>
      </c>
      <c r="C638" s="46" t="inlineStr">
        <is>
          <t>CJK Unified Ideographs Extension B</t>
        </is>
      </c>
      <c r="D638" s="54">
        <f>HEX2DEC(MID(B638,3,FIND("-",E638)-3))</f>
        <v/>
      </c>
      <c r="E638" s="46" t="inlineStr">
        <is>
          <t>U+20000-U+2A6DF</t>
        </is>
      </c>
      <c r="F638" s="12" t="n">
        <v>4</v>
      </c>
      <c r="J638" s="19">
        <f>ROUNDDOWN(W638,0)/$V638</f>
        <v/>
      </c>
      <c r="K638" s="19">
        <f>ROUNDDOWN(X638,0)/$V638</f>
        <v/>
      </c>
      <c r="L638" s="19">
        <f>ROUNDDOWN(Y638,0)/$V638</f>
        <v/>
      </c>
      <c r="M638" s="19">
        <f>ROUNDDOWN(Z638,0)/$V638</f>
        <v/>
      </c>
      <c r="O638" s="36" t="inlineStr">
        <is>
          <t>𧜀 𧜁 𧜂 𧜃 𧜄 𧜅 𧜆 𧜇 𧜈 𧜉 𧜊 𧜋 𧜌 𧜍 𧜎 𧜏 𧜐 𧜑 𧜒 𧜓 𧜔 𧜕 𧜖 𧜗 𧜘 𧜙 𧜚 𧜛 𧜜 𧜝 𧜞 𧜟 𧜠 𧜡 𧜢 𧜣 𧜤 𧜥 𧜦 𧜧 𧜨 𧜩 𧜪 𧜫 𧜬 𧜭 𧜮 𧜯 𧜰 𧜱 𧜲 𧜳 𧜴 𧜵 𧜶 𧜷 𧜸 𧜹 𧜺 𧜻 𧜼 𧜽 𧜾 𧜿 𧝀 𧝁 𧝂 𧝃 𧝄 𧝅 𧝆 𧝇 𧝈 𧝉 𧝊 𧝋 𧝌 𧝍 𧝎 𧝏 𧝐 𧝑 𧝒 𧝓 𧝔 𧝕 𧝖 𧝗 𧝘 𧝙 𧝚 𧝛 𧝜 𧝝 𧝞 𧝟 𧝠 𧝡 𧝢 𧝣 𧝤 𧝥 𧝦 𧝧 𧝨 𧝩 𧝪 𧝫 𧝬 𧝭 𧝮 𧝯 𧝰 𧝱 𧝲 𧝳 𧝴 𧝵 𧝶 𧝷 𧝸 𧝹 𧝺 𧝻 𧝼 𧝽 𧝾 𧝿 𧞀 𧞁 𧞂 𧞃 𧞄 𧞅 𧞆 𧞇 𧞈 𧞉 𧞊 𧞋 𧞌 𧞍 𧞎 𧞏 𧞐 𧞑 𧞒 𧞓 𧞔 𧞕 𧞖 𧞗 𧞘 𧞙 𧞚 𧞛 𧞜 𧞝 𧞞 𧞟 𧞠 𧞡 𧞢 𧞣 𧞤 𧞥 𧞦 𧞧 𧞨 𧞩 𧞪 𧞫 𧞬 𧞭 𧞮 𧞯 𧞰 𧞱 𧞲 𧞳 𧞴 𧞵 𧞶 𧞷 𧞸 𧞹 𧞺 𧞻 𧞼 𧞽 𧞾 𧞿 𧟀 𧟁 𧟂 𧟃 𧟄 𧟅 𧟆 𧟇 𧟈 𧟉 𧟊 𧟋 𧟌 𧟍 𧟎 𧟏 𧟐 𧟑 𧟒 𧟓 𧟔 𧟕 𧟖 𧟗 𧟘 𧟙 𧟚 𧟛 𧟜 𧟝 𧟞 𧟟 𧟠 𧟡 𧟢 𧟣 𧟤 𧟥 𧟦 𧟧 𧟨 𧟩 𧟪 𧟫 𧟬 𧟭 𧟮 𧟯 𧟰 𧟱 𧟲 𧟳 𧟴 𧟵 𧟶 𧟷 𧟸 𧟹 𧟺 𧟻 𧟼 𧟽 𧟾 𧟿</t>
        </is>
      </c>
      <c r="P638" s="37" t="inlineStr">
        <is>
          <t>𧜀 𧜁 𧜂 𧜃 𧜄 𧜅 𧜆 𧜇 𧜈 𧜉 𧜊 𧜋 𧜌 𧜍 𧜎 𧜏 𧜐 𧜑 𧜒 𧜓 𧜔 𧜕 𧜖 𧜗 𧜘 𧜙 𧜚 𧜛 𧜜 𧜝 𧜞 𧜟 𧜠 𧜡 𧜢 𧜣 𧜤 𧜥 𧜦 𧜧 𧜨 𧜩 𧜪 𧜫 𧜬 𧜭 𧜮 𧜯 𧜰 𧜱 𧜲 𧜳 𧜴 𧜵 𧜶 𧜷 𧜸 𧜹 𧜺 𧜻 𧜼 𧜽 𧜾 𧜿 𧝀 𧝁 𧝂 𧝃 𧝄 𧝅 𧝆 𧝇 𧝈 𧝉 𧝊 𧝋 𧝌 𧝍 𧝎 𧝏 𧝐 𧝑 𧝒 𧝓 𧝔 𧝕 𧝖 𧝗 𧝘 𧝙 𧝚 𧝛 𧝜 𧝝 𧝞 𧝟 𧝠 𧝡 𧝢 𧝣 𧝤 𧝥 𧝦 𧝧 𧝨 𧝩 𧝪 𧝫 𧝬 𧝭 𧝮 𧝯 𧝰 𧝱 𧝲 𧝳 𧝴 𧝵 𧝶 𧝷 𧝸 𧝹 𧝺 𧝻 𧝼 𧝽 𧝾 𧝿 𧞀 𧞁 𧞂 𧞃 𧞄 𧞅 𧞆 𧞇 𧞈 𧞉 𧞊 𧞋 𧞌 𧞍 𧞎 𧞏 𧞐 𧞑 𧞒 𧞓 𧞔 𧞕 𧞖 𧞗 𧞘 𧞙 𧞚 𧞛 𧞜 𧞝 𧞞 𧞟 𧞠 𧞡 𧞢 𧞣 𧞤 𧞥 𧞦 𧞧 𧞨 𧞩 𧞪 𧞫 𧞬 𧞭 𧞮 𧞯 𧞰 𧞱 𧞲 𧞳 𧞴 𧞵 𧞶 𧞷 𧞸 𧞹 𧞺 𧞻 𧞼 𧞽 𧞾 𧞿 𧟀 𧟁 𧟂 𧟃 𧟄 𧟅 𧟆 𧟇 𧟈 𧟉 𧟊 𧟋 𧟌 𧟍 𧟎 𧟏 𧟐 𧟑 𧟒 𧟓 𧟔 𧟕 𧟖 𧟗 𧟘 𧟙 𧟚 𧟛 𧟜 𧟝 𧟞 𧟟 𧟠 𧟡 𧟢 𧟣 𧟤 𧟥 𧟦 𧟧 𧟨 𧟩 𧟪 𧟫 𧟬 𧟭 𧟮 𧟯 𧟰 𧟱 𧟲 𧟳 𧟴 𧟵 𧟶 𧟷 𧟸 𧟹 𧟺 𧟻 𧟼 𧟽 𧟾 𧟿</t>
        </is>
      </c>
      <c r="Q638" s="38" t="inlineStr">
        <is>
          <t>𧜀 𧜁 𧜂 𧜃 𧜄 𧜅 𧜆 𧜇 𧜈 𧜉 𧜊 𧜋 𧜌 𧜍 𧜎 𧜏 𧜐 𧜑 𧜒 𧜓 𧜔 𧜕 𧜖 𧜗 𧜘 𧜙 𧜚 𧜛 𧜜 𧜝 𧜞 𧜟 𧜠 𧜡 𧜢 𧜣 𧜤 𧜥 𧜦 𧜧 𧜨 𧜩 𧜪 𧜫 𧜬 𧜭 𧜮 𧜯 𧜰 𧜱 𧜲 𧜳 𧜴 𧜵 𧜶 𧜷 𧜸 𧜹 𧜺 𧜻 𧜼 𧜽 𧜾 𧜿 𧝀 𧝁 𧝂 𧝃 𧝄 𧝅 𧝆 𧝇 𧝈 𧝉 𧝊 𧝋 𧝌 𧝍 𧝎 𧝏 𧝐 𧝑 𧝒 𧝓 𧝔 𧝕 𧝖 𧝗 𧝘 𧝙 𧝚 𧝛 𧝜 𧝝 𧝞 𧝟 𧝠 𧝡 𧝢 𧝣 𧝤 𧝥 𧝦 𧝧 𧝨 𧝩 𧝪 𧝫 𧝬 𧝭 𧝮 𧝯 𧝰 𧝱 𧝲 𧝳 𧝴 𧝵 𧝶 𧝷 𧝸 𧝹 𧝺 𧝻 𧝼 𧝽 𧝾 𧝿 𧞀 𧞁 𧞂 𧞃 𧞄 𧞅 𧞆 𧞇 𧞈 𧞉 𧞊 𧞋 𧞌 𧞍 𧞎 𧞏 𧞐 𧞑 𧞒 𧞓 𧞔 𧞕 𧞖 𧞗 𧞘 𧞙 𧞚 𧞛 𧞜 𧞝 𧞞 𧞟 𧞠 𧞡 𧞢 𧞣 𧞤 𧞥 𧞦 𧞧 𧞨 𧞩 𧞪 𧞫 𧞬 𧞭 𧞮 𧞯 𧞰 𧞱 𧞲 𧞳 𧞴 𧞵 𧞶 𧞷 𧞸 𧞹 𧞺 𧞻 𧞼 𧞽 𧞾 𧞿 𧟀 𧟁 𧟂 𧟃 𧟄 𧟅 𧟆 𧟇 𧟈 𧟉 𧟊 𧟋 𧟌 𧟍 𧟎 𧟏 𧟐 𧟑 𧟒 𧟓 𧟔 𧟕 𧟖 𧟗 𧟘 𧟙 𧟚 𧟛 𧟜 𧟝 𧟞 𧟟 𧟠 𧟡 𧟢 𧟣 𧟤 𧟥 𧟦 𧟧 𧟨 𧟩 𧟪 𧟫 𧟬 𧟭 𧟮 𧟯 𧟰 𧟱 𧟲 𧟳 𧟴 𧟵 𧟶 𧟷 𧟸 𧟹 𧟺 𧟻 𧟼 𧟽 𧟾 𧟿</t>
        </is>
      </c>
      <c r="R638" s="43" t="inlineStr">
        <is>
          <t>𧜎 𧜣 𧝁 𧝒</t>
        </is>
      </c>
      <c r="S638" s="40" t="n"/>
      <c r="V638" s="14">
        <f>(LEN(O638)+1)/2</f>
        <v/>
      </c>
      <c r="W638" s="14">
        <f>ROUNDDOWN((LEN(P638)+1)/2,0)</f>
        <v/>
      </c>
      <c r="X638" s="14">
        <f>ROUNDDOWN((LEN(Q638)+1)/2,0)</f>
        <v/>
      </c>
      <c r="Y638" s="14">
        <f>ROUNDDOWN((LEN(R638)+1)/2,0)</f>
        <v/>
      </c>
      <c r="Z638" s="14">
        <f>ROUNDDOWN((LEN(S638)+1)/2,0)</f>
        <v/>
      </c>
      <c r="AA638" s="56" t="n">
        <v>46150.55884206547</v>
      </c>
    </row>
    <row r="639" ht="102" customHeight="1">
      <c r="B639" s="46" t="inlineStr">
        <is>
          <t>U+27900-U+279FF</t>
        </is>
      </c>
      <c r="C639" s="46" t="inlineStr">
        <is>
          <t>CJK Unified Ideographs Extension B</t>
        </is>
      </c>
      <c r="D639" s="54">
        <f>HEX2DEC(MID(B639,3,FIND("-",E639)-3))</f>
        <v/>
      </c>
      <c r="E639" s="46" t="inlineStr">
        <is>
          <t>U+20000-U+2A6DF</t>
        </is>
      </c>
      <c r="F639" s="12" t="n">
        <v>4</v>
      </c>
      <c r="J639" s="19">
        <f>ROUNDDOWN(W639,0)/$V639</f>
        <v/>
      </c>
      <c r="K639" s="19">
        <f>ROUNDDOWN(X639,0)/$V639</f>
        <v/>
      </c>
      <c r="L639" s="19">
        <f>ROUNDDOWN(Y639,0)/$V639</f>
        <v/>
      </c>
      <c r="M639" s="19">
        <f>ROUNDDOWN(Z639,0)/$V639</f>
        <v/>
      </c>
      <c r="O639" s="36" t="inlineStr">
        <is>
          <t>𧠀 𧠁 𧠂 𧠃 𧠄 𧠅 𧠆 𧠇 𧠈 𧠉 𧠊 𧠋 𧠌 𧠍 𧠎 𧠏 𧠐 𧠑 𧠒 𧠓 𧠔 𧠕 𧠖 𧠗 𧠘 𧠙 𧠚 𧠛 𧠜 𧠝 𧠞 𧠟 𧠠 𧠡 𧠢 𧠣 𧠤 𧠥 𧠦 𧠧 𧠨 𧠩 𧠪 𧠫 𧠬 𧠭 𧠮 𧠯 𧠰 𧠱 𧠲 𧠳 𧠴 𧠵 𧠶 𧠷 𧠸 𧠹 𧠺 𧠻 𧠼 𧠽 𧠾 𧠿 𧡀 𧡁 𧡂 𧡃 𧡄 𧡅 𧡆 𧡇 𧡈 𧡉 𧡊 𧡋 𧡌 𧡍 𧡎 𧡏 𧡐 𧡑 𧡒 𧡓 𧡔 𧡕 𧡖 𧡗 𧡘 𧡙 𧡚 𧡛 𧡜 𧡝 𧡞 𧡟 𧡠 𧡡 𧡢 𧡣 𧡤 𧡥 𧡦 𧡧 𧡨 𧡩 𧡪 𧡫 𧡬 𧡭 𧡮 𧡯 𧡰 𧡱 𧡲 𧡳 𧡴 𧡵 𧡶 𧡷 𧡸 𧡹 𧡺 𧡻 𧡼 𧡽 𧡾 𧡿 𧢀 𧢁 𧢂 𧢃 𧢄 𧢅 𧢆 𧢇 𧢈 𧢉 𧢊 𧢋 𧢌 𧢍 𧢎 𧢏 𧢐 𧢑 𧢒 𧢓 𧢔 𧢕 𧢖 𧢗 𧢘 𧢙 𧢚 𧢛 𧢜 𧢝 𧢞 𧢟 𧢠 𧢡 𧢢 𧢣 𧢤 𧢥 𧢦 𧢧 𧢨 𧢩 𧢪 𧢫 𧢬 𧢭 𧢮 𧢯 𧢰 𧢱 𧢲 𧢳 𧢴 𧢵 𧢶 𧢷 𧢸 𧢹 𧢺 𧢻 𧢼 𧢽 𧢾 𧢿 𧣀 𧣁 𧣂 𧣃 𧣄 𧣅 𧣆 𧣇 𧣈 𧣉 𧣊 𧣋 𧣌 𧣍 𧣎 𧣏 𧣐 𧣑 𧣒 𧣓 𧣔 𧣕 𧣖 𧣗 𧣘 𧣙 𧣚 𧣛 𧣜 𧣝 𧣞 𧣟 𧣠 𧣡 𧣢 𧣣 𧣤 𧣥 𧣦 𧣧 𧣨 𧣩 𧣪 𧣫 𧣬 𧣭 𧣮 𧣯 𧣰 𧣱 𧣲 𧣳 𧣴 𧣵 𧣶 𧣷 𧣸 𧣹 𧣺 𧣻 𧣼 𧣽 𧣾 𧣿</t>
        </is>
      </c>
      <c r="P639" s="37" t="inlineStr">
        <is>
          <t>𧠀 𧠁 𧠂 𧠃 𧠄 𧠅 𧠆 𧠇 𧠈 𧠉 𧠊 𧠋 𧠌 𧠍 𧠎 𧠏 𧠐 𧠑 𧠒 𧠓 𧠔 𧠕 𧠖 𧠗 𧠘 𧠙 𧠚 𧠛 𧠜 𧠝 𧠞 𧠟 𧠠 𧠡 𧠢 𧠣 𧠤 𧠥 𧠦 𧠧 𧠨 𧠩 𧠪 𧠫 𧠬 𧠭 𧠮 𧠯 𧠰 𧠱 𧠲 𧠳 𧠴 𧠵 𧠶 𧠷 𧠸 𧠹 𧠺 𧠻 𧠼 𧠽 𧠾 𧠿 𧡀 𧡁 𧡂 𧡃 𧡄 𧡅 𧡆 𧡇 𧡈 𧡉 𧡊 𧡋 𧡌 𧡍 𧡎 𧡏 𧡐 𧡑 𧡒 𧡓 𧡔 𧡕 𧡖 𧡗 𧡘 𧡙 𧡚 𧡛 𧡜 𧡝 𧡞 𧡟 𧡠 𧡡 𧡢 𧡣 𧡤 𧡥 𧡦 𧡧 𧡨 𧡩 𧡪 𧡫 𧡬 𧡭 𧡮 𧡯 𧡰 𧡱 𧡲 𧡳 𧡴 𧡵 𧡶 𧡷 𧡸 𧡹 𧡺 𧡻 𧡼 𧡽 𧡾 𧡿 𧢀 𧢁 𧢂 𧢃 𧢄 𧢅 𧢆 𧢇 𧢈 𧢉 𧢊 𧢋 𧢌 𧢍 𧢎 𧢏 𧢐 𧢑 𧢒 𧢓 𧢔 𧢕 𧢖 𧢗 𧢘 𧢙 𧢚 𧢛 𧢜 𧢝 𧢞 𧢟 𧢠 𧢡 𧢢 𧢣 𧢤 𧢥 𧢦 𧢧 𧢨 𧢩 𧢪 𧢫 𧢬 𧢭 𧢮 𧢯 𧢰 𧢱 𧢲 𧢳 𧢴 𧢵 𧢶 𧢷 𧢸 𧢹 𧢺 𧢻 𧢼 𧢽 𧢾 𧢿 𧣀 𧣁 𧣂 𧣃 𧣄 𧣅 𧣆 𧣇 𧣈 𧣉 𧣊 𧣋 𧣌 𧣍 𧣎 𧣏 𧣐 𧣑 𧣒 𧣓 𧣔 𧣕 𧣖 𧣗 𧣘 𧣙 𧣚 𧣛 𧣜 𧣝 𧣞 𧣟 𧣠 𧣡 𧣢 𧣣 𧣤 𧣥 𧣦 𧣧 𧣨 𧣩 𧣪 𧣫 𧣬 𧣭 𧣮 𧣯 𧣰 𧣱 𧣲 𧣳 𧣴 𧣵 𧣶 𧣷 𧣸 𧣹 𧣺 𧣻 𧣼 𧣽 𧣾 𧣿</t>
        </is>
      </c>
      <c r="Q639" s="38" t="inlineStr">
        <is>
          <t>𧠀 𧠁 𧠂 𧠃 𧠄 𧠅 𧠆 𧠇 𧠈 𧠉 𧠊 𧠋 𧠌 𧠍 𧠎 𧠏 𧠐 𧠑 𧠒 𧠓 𧠔 𧠕 𧠖 𧠗 𧠘 𧠙 𧠚 𧠛 𧠜 𧠝 𧠞 𧠟 𧠠 𧠡 𧠢 𧠣 𧠤 𧠥 𧠦 𧠧 𧠨 𧠩 𧠪 𧠫 𧠬 𧠭 𧠮 𧠯 𧠰 𧠱 𧠲 𧠳 𧠴 𧠵 𧠶 𧠷 𧠸 𧠹 𧠺 𧠻 𧠼 𧠽 𧠾 𧠿 𧡀 𧡁 𧡂 𧡃 𧡄 𧡅 𧡆 𧡇 𧡈 𧡉 𧡊 𧡋 𧡌 𧡍 𧡎 𧡏 𧡐 𧡑 𧡒 𧡓 𧡔 𧡕 𧡖 𧡗 𧡘 𧡙 𧡚 𧡛 𧡜 𧡝 𧡞 𧡟 𧡠 𧡡 𧡢 𧡣 𧡤 𧡥 𧡦 𧡧 𧡨 𧡩 𧡪 𧡫 𧡬 𧡭 𧡮 𧡯 𧡰 𧡱 𧡲 𧡳 𧡴 𧡵 𧡶 𧡷 𧡸 𧡹 𧡺 𧡻 𧡼 𧡽 𧡾 𧡿 𧢀 𧢁 𧢂 𧢃 𧢄 𧢅 𧢆 𧢇 𧢈 𧢉 𧢊 𧢋 𧢌 𧢍 𧢎 𧢏 𧢐 𧢑 𧢒 𧢓 𧢔 𧢕 𧢖 𧢗 𧢘 𧢙 𧢚 𧢛 𧢜 𧢝 𧢞 𧢟 𧢠 𧢡 𧢢 𧢣 𧢤 𧢥 𧢦 𧢧 𧢨 𧢩 𧢪 𧢫 𧢬 𧢭 𧢮 𧢯 𧢰 𧢱 𧢲 𧢳 𧢴 𧢵 𧢶 𧢷 𧢸 𧢹 𧢺 𧢻 𧢼 𧢽 𧢾 𧢿 𧣀 𧣁 𧣂 𧣃 𧣄 𧣅 𧣆 𧣇 𧣈 𧣉 𧣊 𧣋 𧣌 𧣍 𧣎 𧣏 𧣐 𧣑 𧣒 𧣓 𧣔 𧣕 𧣖 𧣗 𧣘 𧣙 𧣚 𧣛 𧣜 𧣝 𧣞 𧣟 𧣠 𧣡 𧣢 𧣣 𧣤 𧣥 𧣦 𧣧 𧣨 𧣩 𧣪 𧣫 𧣬 𧣭 𧣮 𧣯 𧣰 𧣱 𧣲 𧣳 𧣴 𧣵 𧣶 𧣷 𧣸 𧣹 𧣺 𧣻 𧣼 𧣽 𧣾 𧣿</t>
        </is>
      </c>
      <c r="R639" s="43" t="inlineStr">
        <is>
          <t>𧢲</t>
        </is>
      </c>
      <c r="S639" s="40" t="n"/>
      <c r="V639" s="14">
        <f>(LEN(O639)+1)/2</f>
        <v/>
      </c>
      <c r="W639" s="14">
        <f>ROUNDDOWN((LEN(P639)+1)/2,0)</f>
        <v/>
      </c>
      <c r="X639" s="14">
        <f>ROUNDDOWN((LEN(Q639)+1)/2,0)</f>
        <v/>
      </c>
      <c r="Y639" s="14">
        <f>ROUNDDOWN((LEN(R639)+1)/2,0)</f>
        <v/>
      </c>
      <c r="Z639" s="14">
        <f>ROUNDDOWN((LEN(S639)+1)/2,0)</f>
        <v/>
      </c>
      <c r="AA639" s="56" t="n">
        <v>46150.55884313164</v>
      </c>
    </row>
    <row r="640" ht="102" customHeight="1">
      <c r="B640" s="46" t="inlineStr">
        <is>
          <t>U+27A00-U+27AFF</t>
        </is>
      </c>
      <c r="C640" s="46" t="inlineStr">
        <is>
          <t>CJK Unified Ideographs Extension B</t>
        </is>
      </c>
      <c r="D640" s="54">
        <f>HEX2DEC(MID(B640,3,FIND("-",E640)-3))</f>
        <v/>
      </c>
      <c r="E640" s="46" t="inlineStr">
        <is>
          <t>U+20000-U+2A6DF</t>
        </is>
      </c>
      <c r="F640" s="12" t="n">
        <v>4</v>
      </c>
      <c r="J640" s="19">
        <f>ROUNDDOWN(W640,0)/$V640</f>
        <v/>
      </c>
      <c r="K640" s="19">
        <f>ROUNDDOWN(X640,0)/$V640</f>
        <v/>
      </c>
      <c r="L640" s="19">
        <f>ROUNDDOWN(Y640,0)/$V640</f>
        <v/>
      </c>
      <c r="M640" s="19">
        <f>ROUNDDOWN(Z640,0)/$V640</f>
        <v/>
      </c>
      <c r="O640" s="36" t="inlineStr">
        <is>
          <t>𧤀 𧤁 𧤂 𧤃 𧤄 𧤅 𧤆 𧤇 𧤈 𧤉 𧤊 𧤋 𧤌 𧤍 𧤎 𧤏 𧤐 𧤑 𧤒 𧤓 𧤔 𧤕 𧤖 𧤗 𧤘 𧤙 𧤚 𧤛 𧤜 𧤝 𧤞 𧤟 𧤠 𧤡 𧤢 𧤣 𧤤 𧤥 𧤦 𧤧 𧤨 𧤩 𧤪 𧤫 𧤬 𧤭 𧤮 𧤯 𧤰 𧤱 𧤲 𧤳 𧤴 𧤵 𧤶 𧤷 𧤸 𧤹 𧤺 𧤻 𧤼 𧤽 𧤾 𧤿 𧥀 𧥁 𧥂 𧥃 𧥄 𧥅 𧥆 𧥇 𧥈 𧥉 𧥊 𧥋 𧥌 𧥍 𧥎 𧥏 𧥐 𧥑 𧥒 𧥓 𧥔 𧥕 𧥖 𧥗 𧥘 𧥙 𧥚 𧥛 𧥜 𧥝 𧥞 𧥟 𧥠 𧥡 𧥢 𧥣 𧥤 𧥥 𧥦 𧥧 𧥨 𧥩 𧥪 𧥫 𧥬 𧥭 𧥮 𧥯 𧥰 𧥱 𧥲 𧥳 𧥴 𧥵 𧥶 𧥷 𧥸 𧥹 𧥺 𧥻 𧥼 𧥽 𧥾 𧥿 𧦀 𧦁 𧦂 𧦃 𧦄 𧦅 𧦆 𧦇 𧦈 𧦉 𧦊 𧦋 𧦌 𧦍 𧦎 𧦏 𧦐 𧦑 𧦒 𧦓 𧦔 𧦕 𧦖 𧦗 𧦘 𧦙 𧦚 𧦛 𧦜 𧦝 𧦞 𧦟 𧦠 𧦡 𧦢 𧦣 𧦤 𧦥 𧦦 𧦧 𧦨 𧦩 𧦪 𧦫 𧦬 𧦭 𧦮 𧦯 𧦰 𧦱 𧦲 𧦳 𧦴 𧦵 𧦶 𧦷 𧦸 𧦹 𧦺 𧦻 𧦼 𧦽 𧦾 𧦿 𧧀 𧧁 𧧂 𧧃 𧧄 𧧅 𧧆 𧧇 𧧈 𧧉 𧧊 𧧋 𧧌 𧧍 𧧎 𧧏 𧧐 𧧑 𧧒 𧧓 𧧔 𧧕 𧧖 𧧗 𧧘 𧧙 𧧚 𧧛 𧧜 𧧝 𧧞 𧧟 𧧠 𧧡 𧧢 𧧣 𧧤 𧧥 𧧦 𧧧 𧧨 𧧩 𧧪 𧧫 𧧬 𧧭 𧧮 𧧯 𧧰 𧧱 𧧲 𧧳 𧧴 𧧵 𧧶 𧧷 𧧸 𧧹 𧧺 𧧻 𧧼 𧧽 𧧾 𧧿</t>
        </is>
      </c>
      <c r="P640" s="37" t="inlineStr">
        <is>
          <t>𧤀 𧤁 𧤂 𧤃 𧤄 𧤅 𧤆 𧤇 𧤈 𧤉 𧤊 𧤋 𧤌 𧤍 𧤎 𧤏 𧤐 𧤑 𧤒 𧤓 𧤔 𧤕 𧤖 𧤗 𧤘 𧤙 𧤚 𧤛 𧤜 𧤝 𧤞 𧤟 𧤠 𧤡 𧤢 𧤣 𧤤 𧤥 𧤦 𧤧 𧤨 𧤩 𧤪 𧤫 𧤬 𧤭 𧤮 𧤯 𧤰 𧤱 𧤲 𧤳 𧤴 𧤵 𧤶 𧤷 𧤸 𧤹 𧤺 𧤻 𧤼 𧤽 𧤾 𧤿 𧥀 𧥁 𧥂 𧥃 𧥄 𧥅 𧥆 𧥇 𧥈 𧥉 𧥊 𧥋 𧥌 𧥍 𧥎 𧥏 𧥐 𧥑 𧥒 𧥓 𧥔 𧥕 𧥖 𧥗 𧥘 𧥙 𧥚 𧥛 𧥜 𧥝 𧥞 𧥟 𧥠 𧥡 𧥢 𧥣 𧥤 𧥥 𧥦 𧥧 𧥨 𧥩 𧥪 𧥫 𧥬 𧥭 𧥮 𧥯 𧥰 𧥱 𧥲 𧥳 𧥴 𧥵 𧥶 𧥷 𧥸 𧥹 𧥺 𧥻 𧥼 𧥽 𧥾 𧥿 𧦀 𧦁 𧦂 𧦃 𧦄 𧦅 𧦆 𧦇 𧦈 𧦉 𧦊 𧦋 𧦌 𧦍 𧦎 𧦏 𧦐 𧦑 𧦒 𧦓 𧦔 𧦕 𧦖 𧦗 𧦘 𧦙 𧦚 𧦛 𧦜 𧦝 𧦞 𧦟 𧦠 𧦡 𧦢 𧦣 𧦤 𧦥 𧦦 𧦧 𧦨 𧦩 𧦪 𧦫 𧦬 𧦭 𧦮 𧦯 𧦰 𧦱 𧦲 𧦳 𧦴 𧦵 𧦶 𧦷 𧦸 𧦹 𧦺 𧦻 𧦼 𧦽 𧦾 𧦿 𧧀 𧧁 𧧂 𧧃 𧧄 𧧅 𧧆 𧧇 𧧈 𧧉 𧧊 𧧋 𧧌 𧧍 𧧎 𧧏 𧧐 𧧑 𧧒 𧧓 𧧔 𧧕 𧧖 𧧗 𧧘 𧧙 𧧚 𧧛 𧧜 𧧝 𧧞 𧧟 𧧠 𧧡 𧧢 𧧣 𧧤 𧧥 𧧦 𧧧 𧧨 𧧩 𧧪 𧧫 𧧬 𧧭 𧧮 𧧯 𧧰 𧧱 𧧲 𧧳 𧧴 𧧵 𧧶 𧧷 𧧸 𧧹 𧧺 𧧻 𧧼 𧧽 𧧾 𧧿</t>
        </is>
      </c>
      <c r="Q640" s="38" t="inlineStr">
        <is>
          <t>𧤀 𧤁 𧤂 𧤃 𧤄 𧤅 𧤆 𧤇 𧤈 𧤉 𧤊 𧤋 𧤌 𧤍 𧤎 𧤏 𧤐 𧤑 𧤒 𧤓 𧤔 𧤕 𧤖 𧤗 𧤘 𧤙 𧤚 𧤛 𧤜 𧤝 𧤞 𧤟 𧤠 𧤡 𧤢 𧤣 𧤤 𧤥 𧤦 𧤧 𧤨 𧤩 𧤪 𧤫 𧤬 𧤭 𧤮 𧤯 𧤰 𧤱 𧤲 𧤳 𧤴 𧤵 𧤶 𧤷 𧤸 𧤹 𧤺 𧤻 𧤼 𧤽 𧤾 𧤿 𧥀 𧥁 𧥂 𧥃 𧥄 𧥅 𧥆 𧥇 𧥈 𧥉 𧥊 𧥋 𧥌 𧥍 𧥎 𧥏 𧥐 𧥑 𧥒 𧥓 𧥔 𧥕 𧥖 𧥗 𧥘 𧥙 𧥚 𧥛 𧥜 𧥝 𧥞 𧥟 𧥠 𧥡 𧥢 𧥣 𧥤 𧥥 𧥦 𧥧 𧥨 𧥩 𧥪 𧥫 𧥬 𧥭 𧥮 𧥯 𧥰 𧥱 𧥲 𧥳 𧥴 𧥵 𧥶 𧥷 𧥸 𧥹 𧥺 𧥻 𧥼 𧥽 𧥾 𧥿 𧦀 𧦁 𧦂 𧦃 𧦄 𧦅 𧦆 𧦇 𧦈 𧦉 𧦊 𧦋 𧦌 𧦍 𧦎 𧦏 𧦐 𧦑 𧦒 𧦓 𧦔 𧦕 𧦖 𧦗 𧦘 𧦙 𧦚 𧦛 𧦜 𧦝 𧦞 𧦟 𧦠 𧦡 𧦢 𧦣 𧦤 𧦥 𧦦 𧦧 𧦨 𧦩 𧦪 𧦫 𧦬 𧦭 𧦮 𧦯 𧦰 𧦱 𧦲 𧦳 𧦴 𧦵 𧦶 𧦷 𧦸 𧦹 𧦺 𧦻 𧦼 𧦽 𧦾 𧦿 𧧀 𧧁 𧧂 𧧃 𧧄 𧧅 𧧆 𧧇 𧧈 𧧉 𧧊 𧧋 𧧌 𧧍 𧧎 𧧏 𧧐 𧧑 𧧒 𧧓 𧧔 𧧕 𧧖 𧧗 𧧘 𧧙 𧧚 𧧛 𧧜 𧧝 𧧞 𧧟 𧧠 𧧡 𧧢 𧧣 𧧤 𧧥 𧧦 𧧧 𧧨 𧧩 𧧪 𧧫 𧧬 𧧭 𧧮 𧧯 𧧰 𧧱 𧧲 𧧳 𧧴 𧧵 𧧶 𧧷 𧧸 𧧹 𧧺 𧧻 𧧼 𧧽 𧧾 𧧿</t>
        </is>
      </c>
      <c r="R640" s="43" t="inlineStr">
        <is>
          <t>𧦅 𧦠 𧦧</t>
        </is>
      </c>
      <c r="S640" s="40" t="n"/>
      <c r="V640" s="14">
        <f>(LEN(O640)+1)/2</f>
        <v/>
      </c>
      <c r="W640" s="14">
        <f>ROUNDDOWN((LEN(P640)+1)/2,0)</f>
        <v/>
      </c>
      <c r="X640" s="14">
        <f>ROUNDDOWN((LEN(Q640)+1)/2,0)</f>
        <v/>
      </c>
      <c r="Y640" s="14">
        <f>ROUNDDOWN((LEN(R640)+1)/2,0)</f>
        <v/>
      </c>
      <c r="Z640" s="14">
        <f>ROUNDDOWN((LEN(S640)+1)/2,0)</f>
        <v/>
      </c>
      <c r="AA640" s="56" t="n">
        <v>46150.55884421409</v>
      </c>
    </row>
    <row r="641" ht="102" customHeight="1">
      <c r="B641" s="46" t="inlineStr">
        <is>
          <t>U+27B00-U+27BFF</t>
        </is>
      </c>
      <c r="C641" s="46" t="inlineStr">
        <is>
          <t>CJK Unified Ideographs Extension B</t>
        </is>
      </c>
      <c r="D641" s="54">
        <f>HEX2DEC(MID(B641,3,FIND("-",E641)-3))</f>
        <v/>
      </c>
      <c r="E641" s="46" t="inlineStr">
        <is>
          <t>U+20000-U+2A6DF</t>
        </is>
      </c>
      <c r="F641" s="12" t="n">
        <v>4</v>
      </c>
      <c r="J641" s="19">
        <f>ROUNDDOWN(W641,0)/$V641</f>
        <v/>
      </c>
      <c r="K641" s="19">
        <f>ROUNDDOWN(X641,0)/$V641</f>
        <v/>
      </c>
      <c r="L641" s="19">
        <f>ROUNDDOWN(Y641,0)/$V641</f>
        <v/>
      </c>
      <c r="M641" s="19">
        <f>ROUNDDOWN(Z641,0)/$V641</f>
        <v/>
      </c>
      <c r="O641" s="36" t="inlineStr">
        <is>
          <t>𧨀 𧨁 𧨂 𧨃 𧨄 𧨅 𧨆 𧨇 𧨈 𧨉 𧨊 𧨋 𧨌 𧨍 𧨎 𧨏 𧨐 𧨑 𧨒 𧨓 𧨔 𧨕 𧨖 𧨗 𧨘 𧨙 𧨚 𧨛 𧨜 𧨝 𧨞 𧨟 𧨠 𧨡 𧨢 𧨣 𧨤 𧨥 𧨦 𧨧 𧨨 𧨩 𧨪 𧨫 𧨬 𧨭 𧨮 𧨯 𧨰 𧨱 𧨲 𧨳 𧨴 𧨵 𧨶 𧨷 𧨸 𧨹 𧨺 𧨻 𧨼 𧨽 𧨾 𧨿 𧩀 𧩁 𧩂 𧩃 𧩄 𧩅 𧩆 𧩇 𧩈 𧩉 𧩊 𧩋 𧩌 𧩍 𧩎 𧩏 𧩐 𧩑 𧩒 𧩓 𧩔 𧩕 𧩖 𧩗 𧩘 𧩙 𧩚 𧩛 𧩜 𧩝 𧩞 𧩟 𧩠 𧩡 𧩢 𧩣 𧩤 𧩥 𧩦 𧩧 𧩨 𧩩 𧩪 𧩫 𧩬 𧩭 𧩮 𧩯 𧩰 𧩱 𧩲 𧩳 𧩴 𧩵 𧩶 𧩷 𧩸 𧩹 𧩺 𧩻 𧩼 𧩽 𧩾 𧩿 𧪀 𧪁 𧪂 𧪃 𧪄 𧪅 𧪆 𧪇 𧪈 𧪉 𧪊 𧪋 𧪌 𧪍 𧪎 𧪏 𧪐 𧪑 𧪒 𧪓 𧪔 𧪕 𧪖 𧪗 𧪘 𧪙 𧪚 𧪛 𧪜 𧪝 𧪞 𧪟 𧪠 𧪡 𧪢 𧪣 𧪤 𧪥 𧪦 𧪧 𧪨 𧪩 𧪪 𧪫 𧪬 𧪭 𧪮 𧪯 𧪰 𧪱 𧪲 𧪳 𧪴 𧪵 𧪶 𧪷 𧪸 𧪹 𧪺 𧪻 𧪼 𧪽 𧪾 𧪿 𧫀 𧫁 𧫂 𧫃 𧫄 𧫅 𧫆 𧫇 𧫈 𧫉 𧫊 𧫋 𧫌 𧫍 𧫎 𧫏 𧫐 𧫑 𧫒 𧫓 𧫔 𧫕 𧫖 𧫗 𧫘 𧫙 𧫚 𧫛 𧫜 𧫝 𧫞 𧫟 𧫠 𧫡 𧫢 𧫣 𧫤 𧫥 𧫦 𧫧 𧫨 𧫩 𧫪 𧫫 𧫬 𧫭 𧫮 𧫯 𧫰 𧫱 𧫲 𧫳 𧫴 𧫵 𧫶 𧫷 𧫸 𧫹 𧫺 𧫻 𧫼 𧫽 𧫾 𧫿</t>
        </is>
      </c>
      <c r="P641" s="37" t="inlineStr">
        <is>
          <t>𧨀 𧨁 𧨂 𧨃 𧨄 𧨅 𧨆 𧨇 𧨈 𧨉 𧨊 𧨋 𧨌 𧨍 𧨎 𧨏 𧨐 𧨑 𧨒 𧨓 𧨔 𧨕 𧨖 𧨗 𧨘 𧨙 𧨚 𧨛 𧨜 𧨝 𧨞 𧨟 𧨠 𧨡 𧨢 𧨣 𧨤 𧨥 𧨦 𧨧 𧨨 𧨩 𧨪 𧨫 𧨬 𧨭 𧨮 𧨯 𧨰 𧨱 𧨲 𧨳 𧨴 𧨵 𧨶 𧨷 𧨸 𧨹 𧨺 𧨻 𧨼 𧨽 𧨾 𧨿 𧩀 𧩁 𧩂 𧩃 𧩄 𧩅 𧩆 𧩇 𧩈 𧩉 𧩊 𧩋 𧩌 𧩍 𧩎 𧩏 𧩐 𧩑 𧩒 𧩓 𧩔 𧩕 𧩖 𧩗 𧩘 𧩙 𧩚 𧩛 𧩜 𧩝 𧩞 𧩟 𧩠 𧩡 𧩢 𧩣 𧩤 𧩥 𧩦 𧩧 𧩨 𧩩 𧩪 𧩫 𧩬 𧩭 𧩮 𧩯 𧩰 𧩱 𧩲 𧩳 𧩴 𧩵 𧩶 𧩷 𧩸 𧩹 𧩺 𧩻 𧩼 𧩽 𧩾 𧩿 𧪀 𧪁 𧪂 𧪃 𧪄 𧪅 𧪆 𧪇 𧪈 𧪉 𧪊 𧪋 𧪌 𧪍 𧪎 𧪏 𧪐 𧪑 𧪒 𧪓 𧪔 𧪕 𧪖 𧪗 𧪘 𧪙 𧪚 𧪛 𧪜 𧪝 𧪞 𧪟 𧪠 𧪡 𧪢 𧪣 𧪤 𧪥 𧪦 𧪧 𧪨 𧪩 𧪪 𧪫 𧪬 𧪭 𧪮 𧪯 𧪰 𧪱 𧪲 𧪳 𧪴 𧪵 𧪶 𧪷 𧪸 𧪹 𧪺 𧪻 𧪼 𧪽 𧪾 𧪿 𧫀 𧫁 𧫂 𧫃 𧫄 𧫅 𧫆 𧫇 𧫈 𧫉 𧫊 𧫋 𧫌 𧫍 𧫎 𧫏 𧫐 𧫑 𧫒 𧫓 𧫔 𧫕 𧫖 𧫗 𧫘 𧫙 𧫚 𧫛 𧫜 𧫝 𧫞 𧫟 𧫠 𧫡 𧫢 𧫣 𧫤 𧫥 𧫦 𧫧 𧫨 𧫩 𧫪 𧫫 𧫬 𧫭 𧫮 𧫯 𧫰 𧫱 𧫲 𧫳 𧫴 𧫵 𧫶 𧫷 𧫸 𧫹 𧫺 𧫻 𧫼 𧫽 𧫾 𧫿</t>
        </is>
      </c>
      <c r="Q641" s="38" t="inlineStr">
        <is>
          <t>𧨀 𧨁 𧨂 𧨃 𧨄 𧨅 𧨆 𧨇 𧨈 𧨉 𧨊 𧨋 𧨌 𧨍 𧨎 𧨏 𧨐 𧨑 𧨒 𧨓 𧨔 𧨕 𧨖 𧨗 𧨘 𧨙 𧨚 𧨛 𧨜 𧨝 𧨞 𧨟 𧨠 𧨡 𧨢 𧨣 𧨤 𧨥 𧨦 𧨧 𧨨 𧨩 𧨪 𧨫 𧨬 𧨭 𧨮 𧨯 𧨰 𧨱 𧨲 𧨳 𧨴 𧨵 𧨶 𧨷 𧨸 𧨹 𧨺 𧨻 𧨼 𧨽 𧨾 𧨿 𧩀 𧩁 𧩂 𧩃 𧩄 𧩅 𧩆 𧩇 𧩈 𧩉 𧩊 𧩋 𧩌 𧩍 𧩎 𧩏 𧩐 𧩑 𧩒 𧩓 𧩔 𧩕 𧩖 𧩗 𧩘 𧩙 𧩚 𧩛 𧩜 𧩝 𧩞 𧩟 𧩠 𧩡 𧩢 𧩣 𧩤 𧩥 𧩦 𧩧 𧩨 𧩩 𧩪 𧩫 𧩬 𧩭 𧩮 𧩯 𧩰 𧩱 𧩲 𧩳 𧩴 𧩵 𧩶 𧩷 𧩸 𧩹 𧩺 𧩻 𧩼 𧩽 𧩾 𧩿 𧪀 𧪁 𧪂 𧪃 𧪄 𧪅 𧪆 𧪇 𧪈 𧪉 𧪊 𧪋 𧪌 𧪍 𧪎 𧪏 𧪐 𧪑 𧪒 𧪓 𧪔 𧪕 𧪖 𧪗 𧪘 𧪙 𧪚 𧪛 𧪜 𧪝 𧪞 𧪟 𧪠 𧪡 𧪢 𧪣 𧪤 𧪥 𧪦 𧪧 𧪨 𧪩 𧪪 𧪫 𧪬 𧪭 𧪮 𧪯 𧪰 𧪱 𧪲 𧪳 𧪴 𧪵 𧪶 𧪷 𧪸 𧪹 𧪺 𧪻 𧪼 𧪽 𧪾 𧪿 𧫀 𧫁 𧫂 𧫃 𧫄 𧫅 𧫆 𧫇 𧫈 𧫉 𧫊 𧫋 𧫌 𧫍 𧫎 𧫏 𧫐 𧫑 𧫒 𧫓 𧫔 𧫕 𧫖 𧫗 𧫘 𧫙 𧫚 𧫛 𧫜 𧫝 𧫞 𧫟 𧫠 𧫡 𧫢 𧫣 𧫤 𧫥 𧫦 𧫧 𧫨 𧫩 𧫪 𧫫 𧫬 𧫭 𧫮 𧫯 𧫰 𧫱 𧫲 𧫳 𧫴 𧫵 𧫶 𧫷 𧫸 𧫹 𧫺 𧫻 𧫼 𧫽 𧫾 𧫿</t>
        </is>
      </c>
      <c r="R641" s="43" t="inlineStr">
        <is>
          <t>𧨿 𧩣 𧪄</t>
        </is>
      </c>
      <c r="S641" s="40" t="n"/>
      <c r="V641" s="14">
        <f>(LEN(O641)+1)/2</f>
        <v/>
      </c>
      <c r="W641" s="14">
        <f>ROUNDDOWN((LEN(P641)+1)/2,0)</f>
        <v/>
      </c>
      <c r="X641" s="14">
        <f>ROUNDDOWN((LEN(Q641)+1)/2,0)</f>
        <v/>
      </c>
      <c r="Y641" s="14">
        <f>ROUNDDOWN((LEN(R641)+1)/2,0)</f>
        <v/>
      </c>
      <c r="Z641" s="14">
        <f>ROUNDDOWN((LEN(S641)+1)/2,0)</f>
        <v/>
      </c>
      <c r="AA641" s="56" t="n">
        <v>46150.55884531066</v>
      </c>
    </row>
    <row r="642" ht="102" customHeight="1">
      <c r="B642" s="46" t="inlineStr">
        <is>
          <t>U+27C00-U+27CFF</t>
        </is>
      </c>
      <c r="C642" s="46" t="inlineStr">
        <is>
          <t>CJK Unified Ideographs Extension B</t>
        </is>
      </c>
      <c r="D642" s="54">
        <f>HEX2DEC(MID(B642,3,FIND("-",E642)-3))</f>
        <v/>
      </c>
      <c r="E642" s="46" t="inlineStr">
        <is>
          <t>U+20000-U+2A6DF</t>
        </is>
      </c>
      <c r="F642" s="12" t="n">
        <v>4</v>
      </c>
      <c r="J642" s="19">
        <f>ROUNDDOWN(W642,0)/$V642</f>
        <v/>
      </c>
      <c r="K642" s="19">
        <f>ROUNDDOWN(X642,0)/$V642</f>
        <v/>
      </c>
      <c r="L642" s="19">
        <f>ROUNDDOWN(Y642,0)/$V642</f>
        <v/>
      </c>
      <c r="M642" s="19">
        <f>ROUNDDOWN(Z642,0)/$V642</f>
        <v/>
      </c>
      <c r="O642" s="36" t="inlineStr">
        <is>
          <t>𧬀 𧬁 𧬂 𧬃 𧬄 𧬅 𧬆 𧬇 𧬈 𧬉 𧬊 𧬋 𧬌 𧬍 𧬎 𧬏 𧬐 𧬑 𧬒 𧬓 𧬔 𧬕 𧬖 𧬗 𧬘 𧬙 𧬚 𧬛 𧬜 𧬝 𧬞 𧬟 𧬠 𧬡 𧬢 𧬣 𧬤 𧬥 𧬦 𧬧 𧬨 𧬩 𧬪 𧬫 𧬬 𧬭 𧬮 𧬯 𧬰 𧬱 𧬲 𧬳 𧬴 𧬵 𧬶 𧬷 𧬸 𧬹 𧬺 𧬻 𧬼 𧬽 𧬾 𧬿 𧭀 𧭁 𧭂 𧭃 𧭄 𧭅 𧭆 𧭇 𧭈 𧭉 𧭊 𧭋 𧭌 𧭍 𧭎 𧭏 𧭐 𧭑 𧭒 𧭓 𧭔 𧭕 𧭖 𧭗 𧭘 𧭙 𧭚 𧭛 𧭜 𧭝 𧭞 𧭟 𧭠 𧭡 𧭢 𧭣 𧭤 𧭥 𧭦 𧭧 𧭨 𧭩 𧭪 𧭫 𧭬 𧭭 𧭮 𧭯 𧭰 𧭱 𧭲 𧭳 𧭴 𧭵 𧭶 𧭷 𧭸 𧭹 𧭺 𧭻 𧭼 𧭽 𧭾 𧭿 𧮀 𧮁 𧮂 𧮃 𧮄 𧮅 𧮆 𧮇 𧮈 𧮉 𧮊 𧮋 𧮌 𧮍 𧮎 𧮏 𧮐 𧮑 𧮒 𧮓 𧮔 𧮕 𧮖 𧮗 𧮘 𧮙 𧮚 𧮛 𧮜 𧮝 𧮞 𧮟 𧮠 𧮡 𧮢 𧮣 𧮤 𧮥 𧮦 𧮧 𧮨 𧮩 𧮪 𧮫 𧮬 𧮭 𧮮 𧮯 𧮰 𧮱 𧮲 𧮳 𧮴 𧮵 𧮶 𧮷 𧮸 𧮹 𧮺 𧮻 𧮼 𧮽 𧮾 𧮿 𧯀 𧯁 𧯂 𧯃 𧯄 𧯅 𧯆 𧯇 𧯈 𧯉 𧯊 𧯋 𧯌 𧯍 𧯎 𧯏 𧯐 𧯑 𧯒 𧯓 𧯔 𧯕 𧯖 𧯗 𧯘 𧯙 𧯚 𧯛 𧯜 𧯝 𧯞 𧯟 𧯠 𧯡 𧯢 𧯣 𧯤 𧯥 𧯦 𧯧 𧯨 𧯩 𧯪 𧯫 𧯬 𧯭 𧯮 𧯯 𧯰 𧯱 𧯲 𧯳 𧯴 𧯵 𧯶 𧯷 𧯸 𧯹 𧯺 𧯻 𧯼 𧯽 𧯾 𧯿</t>
        </is>
      </c>
      <c r="P642" s="37" t="inlineStr">
        <is>
          <t>𧬀 𧬁 𧬂 𧬃 𧬄 𧬅 𧬆 𧬇 𧬈 𧬉 𧬊 𧬋 𧬌 𧬍 𧬎 𧬏 𧬐 𧬑 𧬒 𧬓 𧬔 𧬕 𧬖 𧬗 𧬘 𧬙 𧬚 𧬛 𧬜 𧬝 𧬞 𧬟 𧬠 𧬡 𧬢 𧬣 𧬤 𧬥 𧬦 𧬧 𧬨 𧬩 𧬪 𧬫 𧬬 𧬭 𧬮 𧬯 𧬰 𧬱 𧬲 𧬳 𧬴 𧬵 𧬶 𧬷 𧬸 𧬹 𧬺 𧬻 𧬼 𧬽 𧬾 𧬿 𧭀 𧭁 𧭂 𧭃 𧭄 𧭅 𧭆 𧭇 𧭈 𧭉 𧭊 𧭋 𧭌 𧭍 𧭎 𧭏 𧭐 𧭑 𧭒 𧭓 𧭔 𧭕 𧭖 𧭗 𧭘 𧭙 𧭚 𧭛 𧭜 𧭝 𧭞 𧭟 𧭠 𧭡 𧭢 𧭣 𧭤 𧭥 𧭦 𧭧 𧭨 𧭩 𧭪 𧭫 𧭬 𧭭 𧭮 𧭯 𧭰 𧭱 𧭲 𧭳 𧭴 𧭵 𧭶 𧭷 𧭸 𧭹 𧭺 𧭻 𧭼 𧭽 𧭾 𧭿 𧮀 𧮁 𧮂 𧮃 𧮄 𧮅 𧮆 𧮇 𧮈 𧮉 𧮊 𧮋 𧮌 𧮍 𧮎 𧮏 𧮐 𧮑 𧮒 𧮓 𧮔 𧮕 𧮖 𧮗 𧮘 𧮙 𧮚 𧮛 𧮜 𧮝 𧮞 𧮟 𧮠 𧮡 𧮢 𧮣 𧮤 𧮥 𧮦 𧮧 𧮨 𧮩 𧮪 𧮫 𧮬 𧮭 𧮮 𧮯 𧮰 𧮱 𧮲 𧮳 𧮴 𧮵 𧮶 𧮷 𧮸 𧮹 𧮺 𧮻 𧮼 𧮽 𧮾 𧮿 𧯀 𧯁 𧯂 𧯃 𧯄 𧯅 𧯆 𧯇 𧯈 𧯉 𧯊 𧯋 𧯌 𧯍 𧯎 𧯏 𧯐 𧯑 𧯒 𧯓 𧯔 𧯕 𧯖 𧯗 𧯘 𧯙 𧯚 𧯛 𧯜 𧯝 𧯞 𧯟 𧯠 𧯡 𧯢 𧯣 𧯤 𧯥 𧯦 𧯧 𧯨 𧯩 𧯪 𧯫 𧯬 𧯭 𧯮 𧯯 𧯰 𧯱 𧯲 𧯳 𧯴 𧯵 𧯶 𧯷 𧯸 𧯹 𧯺 𧯻 𧯼 𧯽 𧯾 𧯿</t>
        </is>
      </c>
      <c r="Q642" s="38" t="inlineStr">
        <is>
          <t>𧬀 𧬁 𧬂 𧬃 𧬄 𧬅 𧬆 𧬇 𧬈 𧬉 𧬊 𧬋 𧬌 𧬍 𧬎 𧬏 𧬐 𧬑 𧬒 𧬓 𧬔 𧬕 𧬖 𧬗 𧬘 𧬙 𧬚 𧬛 𧬜 𧬝 𧬞 𧬟 𧬠 𧬡 𧬢 𧬣 𧬤 𧬥 𧬦 𧬧 𧬨 𧬩 𧬪 𧬫 𧬬 𧬭 𧬮 𧬯 𧬰 𧬱 𧬲 𧬳 𧬴 𧬵 𧬶 𧬷 𧬸 𧬹 𧬺 𧬻 𧬼 𧬽 𧬾 𧬿 𧭀 𧭁 𧭂 𧭃 𧭄 𧭅 𧭆 𧭇 𧭈 𧭉 𧭊 𧭋 𧭌 𧭍 𧭎 𧭏 𧭐 𧭑 𧭒 𧭓 𧭔 𧭕 𧭖 𧭗 𧭘 𧭙 𧭚 𧭛 𧭜 𧭝 𧭞 𧭟 𧭠 𧭡 𧭢 𧭣 𧭤 𧭥 𧭦 𧭧 𧭨 𧭩 𧭪 𧭫 𧭬 𧭭 𧭮 𧭯 𧭰 𧭱 𧭲 𧭳 𧭴 𧭵 𧭶 𧭷 𧭸 𧭹 𧭺 𧭻 𧭼 𧭽 𧭾 𧭿 𧮀 𧮁 𧮂 𧮃 𧮄 𧮅 𧮆 𧮇 𧮈 𧮉 𧮊 𧮋 𧮌 𧮍 𧮎 𧮏 𧮐 𧮑 𧮒 𧮓 𧮔 𧮕 𧮖 𧮗 𧮘 𧮙 𧮚 𧮛 𧮜 𧮝 𧮞 𧮟 𧮠 𧮡 𧮢 𧮣 𧮤 𧮥 𧮦 𧮧 𧮨 𧮩 𧮪 𧮫 𧮬 𧮭 𧮮 𧮯 𧮰 𧮱 𧮲 𧮳 𧮴 𧮵 𧮶 𧮷 𧮸 𧮹 𧮺 𧮻 𧮼 𧮽 𧮾 𧮿 𧯀 𧯁 𧯂 𧯃 𧯄 𧯅 𧯆 𧯇 𧯈 𧯉 𧯊 𧯋 𧯌 𧯍 𧯎 𧯏 𧯐 𧯑 𧯒 𧯓 𧯔 𧯕 𧯖 𧯗 𧯘 𧯙 𧯚 𧯛 𧯜 𧯝 𧯞 𧯟 𧯠 𧯡 𧯢 𧯣 𧯤 𧯥 𧯦 𧯧 𧯨 𧯩 𧯪 𧯫 𧯬 𧯭 𧯮 𧯯 𧯰 𧯱 𧯲 𧯳 𧯴 𧯵 𧯶 𧯷 𧯸 𧯹 𧯺 𧯻 𧯼 𧯽 𧯾 𧯿</t>
        </is>
      </c>
      <c r="R642" s="43" t="inlineStr">
        <is>
          <t>𧬪 𧮙 𧯇</t>
        </is>
      </c>
      <c r="S642" s="40" t="n"/>
      <c r="V642" s="14">
        <f>(LEN(O642)+1)/2</f>
        <v/>
      </c>
      <c r="W642" s="14">
        <f>ROUNDDOWN((LEN(P642)+1)/2,0)</f>
        <v/>
      </c>
      <c r="X642" s="14">
        <f>ROUNDDOWN((LEN(Q642)+1)/2,0)</f>
        <v/>
      </c>
      <c r="Y642" s="14">
        <f>ROUNDDOWN((LEN(R642)+1)/2,0)</f>
        <v/>
      </c>
      <c r="Z642" s="14">
        <f>ROUNDDOWN((LEN(S642)+1)/2,0)</f>
        <v/>
      </c>
      <c r="AA642" s="56" t="n">
        <v>46150.55884641635</v>
      </c>
    </row>
    <row r="643" ht="102" customHeight="1">
      <c r="B643" s="46" t="inlineStr">
        <is>
          <t>U+27D00-U+27DFF</t>
        </is>
      </c>
      <c r="C643" s="46" t="inlineStr">
        <is>
          <t>CJK Unified Ideographs Extension B</t>
        </is>
      </c>
      <c r="D643" s="54">
        <f>HEX2DEC(MID(B643,3,FIND("-",E643)-3))</f>
        <v/>
      </c>
      <c r="E643" s="46" t="inlineStr">
        <is>
          <t>U+20000-U+2A6DF</t>
        </is>
      </c>
      <c r="F643" s="12" t="n">
        <v>4</v>
      </c>
      <c r="J643" s="19">
        <f>ROUNDDOWN(W643,0)/$V643</f>
        <v/>
      </c>
      <c r="K643" s="19">
        <f>ROUNDDOWN(X643,0)/$V643</f>
        <v/>
      </c>
      <c r="L643" s="19">
        <f>ROUNDDOWN(Y643,0)/$V643</f>
        <v/>
      </c>
      <c r="M643" s="19">
        <f>ROUNDDOWN(Z643,0)/$V643</f>
        <v/>
      </c>
      <c r="O643" s="36" t="inlineStr">
        <is>
          <t>𧰀 𧰁 𧰂 𧰃 𧰄 𧰅 𧰆 𧰇 𧰈 𧰉 𧰊 𧰋 𧰌 𧰍 𧰎 𧰏 𧰐 𧰑 𧰒 𧰓 𧰔 𧰕 𧰖 𧰗 𧰘 𧰙 𧰚 𧰛 𧰜 𧰝 𧰞 𧰟 𧰠 𧰡 𧰢 𧰣 𧰤 𧰥 𧰦 𧰧 𧰨 𧰩 𧰪 𧰫 𧰬 𧰭 𧰮 𧰯 𧰰 𧰱 𧰲 𧰳 𧰴 𧰵 𧰶 𧰷 𧰸 𧰹 𧰺 𧰻 𧰼 𧰽 𧰾 𧰿 𧱀 𧱁 𧱂 𧱃 𧱄 𧱅 𧱆 𧱇 𧱈 𧱉 𧱊 𧱋 𧱌 𧱍 𧱎 𧱏 𧱐 𧱑 𧱒 𧱓 𧱔 𧱕 𧱖 𧱗 𧱘 𧱙 𧱚 𧱛 𧱜 𧱝 𧱞 𧱟 𧱠 𧱡 𧱢 𧱣 𧱤 𧱥 𧱦 𧱧 𧱨 𧱩 𧱪 𧱫 𧱬 𧱭 𧱮 𧱯 𧱰 𧱱 𧱲 𧱳 𧱴 𧱵 𧱶 𧱷 𧱸 𧱹 𧱺 𧱻 𧱼 𧱽 𧱾 𧱿 𧲀 𧲁 𧲂 𧲃 𧲄 𧲅 𧲆 𧲇 𧲈 𧲉 𧲊 𧲋 𧲌 𧲍 𧲎 𧲏 𧲐 𧲑 𧲒 𧲓 𧲔 𧲕 𧲖 𧲗 𧲘 𧲙 𧲚 𧲛 𧲜 𧲝 𧲞 𧲟 𧲠 𧲡 𧲢 𧲣 𧲤 𧲥 𧲦 𧲧 𧲨 𧲩 𧲪 𧲫 𧲬 𧲭 𧲮 𧲯 𧲰 𧲱 𧲲 𧲳 𧲴 𧲵 𧲶 𧲷 𧲸 𧲹 𧲺 𧲻 𧲼 𧲽 𧲾 𧲿 𧳀 𧳁 𧳂 𧳃 𧳄 𧳅 𧳆 𧳇 𧳈 𧳉 𧳊 𧳋 𧳌 𧳍 𧳎 𧳏 𧳐 𧳑 𧳒 𧳓 𧳔 𧳕 𧳖 𧳗 𧳘 𧳙 𧳚 𧳛 𧳜 𧳝 𧳞 𧳟 𧳠 𧳡 𧳢 𧳣 𧳤 𧳥 𧳦 𧳧 𧳨 𧳩 𧳪 𧳫 𧳬 𧳭 𧳮 𧳯 𧳰 𧳱 𧳲 𧳳 𧳴 𧳵 𧳶 𧳷 𧳸 𧳹 𧳺 𧳻 𧳼 𧳽 𧳾 𧳿</t>
        </is>
      </c>
      <c r="P643" s="37" t="inlineStr">
        <is>
          <t>𧰀 𧰁 𧰂 𧰃 𧰄 𧰅 𧰆 𧰇 𧰈 𧰉 𧰊 𧰋 𧰌 𧰍 𧰎 𧰏 𧰐 𧰑 𧰒 𧰓 𧰔 𧰕 𧰖 𧰗 𧰘 𧰙 𧰚 𧰛 𧰜 𧰝 𧰞 𧰟 𧰠 𧰡 𧰢 𧰣 𧰤 𧰥 𧰦 𧰧 𧰨 𧰩 𧰪 𧰫 𧰬 𧰭 𧰮 𧰯 𧰰 𧰱 𧰲 𧰳 𧰴 𧰵 𧰶 𧰷 𧰸 𧰹 𧰺 𧰻 𧰼 𧰽 𧰾 𧰿 𧱀 𧱁 𧱂 𧱃 𧱄 𧱅 𧱆 𧱇 𧱈 𧱉 𧱊 𧱋 𧱌 𧱍 𧱎 𧱏 𧱐 𧱑 𧱒 𧱓 𧱔 𧱕 𧱖 𧱗 𧱘 𧱙 𧱚 𧱛 𧱜 𧱝 𧱞 𧱟 𧱠 𧱡 𧱢 𧱣 𧱤 𧱥 𧱦 𧱧 𧱨 𧱩 𧱪 𧱫 𧱬 𧱭 𧱮 𧱯 𧱰 𧱱 𧱲 𧱳 𧱴 𧱵 𧱶 𧱷 𧱸 𧱹 𧱺 𧱻 𧱼 𧱽 𧱾 𧱿 𧲀 𧲁 𧲂 𧲃 𧲄 𧲅 𧲆 𧲇 𧲈 𧲉 𧲊 𧲋 𧲌 𧲍 𧲎 𧲏 𧲐 𧲑 𧲒 𧲓 𧲔 𧲕 𧲖 𧲗 𧲘 𧲙 𧲚 𧲛 𧲜 𧲝 𧲞 𧲟 𧲠 𧲡 𧲢 𧲣 𧲤 𧲥 𧲦 𧲧 𧲨 𧲩 𧲪 𧲫 𧲬 𧲭 𧲮 𧲯 𧲰 𧲱 𧲲 𧲳 𧲴 𧲵 𧲶 𧲷 𧲸 𧲹 𧲺 𧲻 𧲼 𧲽 𧲾 𧲿 𧳀 𧳁 𧳂 𧳃 𧳄 𧳅 𧳆 𧳇 𧳈 𧳉 𧳊 𧳋 𧳌 𧳍 𧳎 𧳏 𧳐 𧳑 𧳒 𧳓 𧳔 𧳕 𧳖 𧳗 𧳘 𧳙 𧳚 𧳛 𧳜 𧳝 𧳞 𧳟 𧳠 𧳡 𧳢 𧳣 𧳤 𧳥 𧳦 𧳧 𧳨 𧳩 𧳪 𧳫 𧳬 𧳭 𧳮 𧳯 𧳰 𧳱 𧳲 𧳳 𧳴 𧳵 𧳶 𧳷 𧳸 𧳹 𧳺 𧳻 𧳼 𧳽 𧳾 𧳿</t>
        </is>
      </c>
      <c r="Q643" s="38" t="inlineStr">
        <is>
          <t>𧰀 𧰁 𧰂 𧰃 𧰄 𧰅 𧰆 𧰇 𧰈 𧰉 𧰊 𧰋 𧰌 𧰍 𧰎 𧰏 𧰐 𧰑 𧰒 𧰓 𧰔 𧰕 𧰖 𧰗 𧰘 𧰙 𧰚 𧰛 𧰜 𧰝 𧰞 𧰟 𧰠 𧰡 𧰢 𧰣 𧰤 𧰥 𧰦 𧰧 𧰨 𧰩 𧰪 𧰫 𧰬 𧰭 𧰮 𧰯 𧰰 𧰱 𧰲 𧰳 𧰴 𧰵 𧰶 𧰷 𧰸 𧰹 𧰺 𧰻 𧰼 𧰽 𧰾 𧰿 𧱀 𧱁 𧱂 𧱃 𧱄 𧱅 𧱆 𧱇 𧱈 𧱉 𧱊 𧱋 𧱌 𧱍 𧱎 𧱏 𧱐 𧱑 𧱒 𧱓 𧱔 𧱕 𧱖 𧱗 𧱘 𧱙 𧱚 𧱛 𧱜 𧱝 𧱞 𧱟 𧱠 𧱡 𧱢 𧱣 𧱤 𧱥 𧱦 𧱧 𧱨 𧱩 𧱪 𧱫 𧱬 𧱭 𧱮 𧱯 𧱰 𧱱 𧱲 𧱳 𧱴 𧱵 𧱶 𧱷 𧱸 𧱹 𧱺 𧱻 𧱼 𧱽 𧱾 𧱿 𧲀 𧲁 𧲂 𧲃 𧲄 𧲅 𧲆 𧲇 𧲈 𧲉 𧲊 𧲋 𧲌 𧲍 𧲎 𧲏 𧲐 𧲑 𧲒 𧲓 𧲔 𧲕 𧲖 𧲗 𧲘 𧲙 𧲚 𧲛 𧲜 𧲝 𧲞 𧲟 𧲠 𧲡 𧲢 𧲣 𧲤 𧲥 𧲦 𧲧 𧲨 𧲩 𧲪 𧲫 𧲬 𧲭 𧲮 𧲯 𧲰 𧲱 𧲲 𧲳 𧲴 𧲵 𧲶 𧲷 𧲸 𧲹 𧲺 𧲻 𧲼 𧲽 𧲾 𧲿 𧳀 𧳁 𧳂 𧳃 𧳄 𧳅 𧳆 𧳇 𧳈 𧳉 𧳊 𧳋 𧳌 𧳍 𧳎 𧳏 𧳐 𧳑 𧳒 𧳓 𧳔 𧳕 𧳖 𧳗 𧳘 𧳙 𧳚 𧳛 𧳜 𧳝 𧳞 𧳟 𧳠 𧳡 𧳢 𧳣 𧳤 𧳥 𧳦 𧳧 𧳨 𧳩 𧳪 𧳫 𧳬 𧳭 𧳮 𧳯 𧳰 𧳱 𧳲 𧳳 𧳴 𧳵 𧳶 𧳷 𧳸 𧳹 𧳺 𧳻 𧳼 𧳽 𧳾 𧳿</t>
        </is>
      </c>
      <c r="R643" s="43" t="inlineStr"/>
      <c r="S643" s="40" t="n"/>
      <c r="V643" s="14">
        <f>(LEN(O643)+1)/2</f>
        <v/>
      </c>
      <c r="W643" s="14">
        <f>ROUNDDOWN((LEN(P643)+1)/2,0)</f>
        <v/>
      </c>
      <c r="X643" s="14">
        <f>ROUNDDOWN((LEN(Q643)+1)/2,0)</f>
        <v/>
      </c>
      <c r="Y643" s="14">
        <f>ROUNDDOWN((LEN(R643)+1)/2,0)</f>
        <v/>
      </c>
      <c r="Z643" s="14">
        <f>ROUNDDOWN((LEN(S643)+1)/2,0)</f>
        <v/>
      </c>
      <c r="AA643" s="56" t="n">
        <v>46150.55884749092</v>
      </c>
    </row>
    <row r="644" ht="102" customHeight="1">
      <c r="B644" s="46" t="inlineStr">
        <is>
          <t>U+27E00-U+27EFF</t>
        </is>
      </c>
      <c r="C644" s="46" t="inlineStr">
        <is>
          <t>CJK Unified Ideographs Extension B</t>
        </is>
      </c>
      <c r="D644" s="54">
        <f>HEX2DEC(MID(B644,3,FIND("-",E644)-3))</f>
        <v/>
      </c>
      <c r="E644" s="46" t="inlineStr">
        <is>
          <t>U+20000-U+2A6DF</t>
        </is>
      </c>
      <c r="F644" s="12" t="n">
        <v>4</v>
      </c>
      <c r="J644" s="19">
        <f>ROUNDDOWN(W644,0)/$V644</f>
        <v/>
      </c>
      <c r="K644" s="19">
        <f>ROUNDDOWN(X644,0)/$V644</f>
        <v/>
      </c>
      <c r="L644" s="19">
        <f>ROUNDDOWN(Y644,0)/$V644</f>
        <v/>
      </c>
      <c r="M644" s="19">
        <f>ROUNDDOWN(Z644,0)/$V644</f>
        <v/>
      </c>
      <c r="O644" s="36" t="inlineStr">
        <is>
          <t>𧴀 𧴁 𧴂 𧴃 𧴄 𧴅 𧴆 𧴇 𧴈 𧴉 𧴊 𧴋 𧴌 𧴍 𧴎 𧴏 𧴐 𧴑 𧴒 𧴓 𧴔 𧴕 𧴖 𧴗 𧴘 𧴙 𧴚 𧴛 𧴜 𧴝 𧴞 𧴟 𧴠 𧴡 𧴢 𧴣 𧴤 𧴥 𧴦 𧴧 𧴨 𧴩 𧴪 𧴫 𧴬 𧴭 𧴮 𧴯 𧴰 𧴱 𧴲 𧴳 𧴴 𧴵 𧴶 𧴷 𧴸 𧴹 𧴺 𧴻 𧴼 𧴽 𧴾 𧴿 𧵀 𧵁 𧵂 𧵃 𧵄 𧵅 𧵆 𧵇 𧵈 𧵉 𧵊 𧵋 𧵌 𧵍 𧵎 𧵏 𧵐 𧵑 𧵒 𧵓 𧵔 𧵕 𧵖 𧵗 𧵘 𧵙 𧵚 𧵛 𧵜 𧵝 𧵞 𧵟 𧵠 𧵡 𧵢 𧵣 𧵤 𧵥 𧵦 𧵧 𧵨 𧵩 𧵪 𧵫 𧵬 𧵭 𧵮 𧵯 𧵰 𧵱 𧵲 𧵳 𧵴 𧵵 𧵶 𧵷 𧵸 𧵹 𧵺 𧵻 𧵼 𧵽 𧵾 𧵿 𧶀 𧶁 𧶂 𧶃 𧶄 𧶅 𧶆 𧶇 𧶈 𧶉 𧶊 𧶋 𧶌 𧶍 𧶎 𧶏 𧶐 𧶑 𧶒 𧶓 𧶔 𧶕 𧶖 𧶗 𧶘 𧶙 𧶚 𧶛 𧶜 𧶝 𧶞 𧶟 𧶠 𧶡 𧶢 𧶣 𧶤 𧶥 𧶦 𧶧 𧶨 𧶩 𧶪 𧶫 𧶬 𧶭 𧶮 𧶯 𧶰 𧶱 𧶲 𧶳 𧶴 𧶵 𧶶 𧶷 𧶸 𧶹 𧶺 𧶻 𧶼 𧶽 𧶾 𧶿 𧷀 𧷁 𧷂 𧷃 𧷄 𧷅 𧷆 𧷇 𧷈 𧷉 𧷊 𧷋 𧷌 𧷍 𧷎 𧷏 𧷐 𧷑 𧷒 𧷓 𧷔 𧷕 𧷖 𧷗 𧷘 𧷙 𧷚 𧷛 𧷜 𧷝 𧷞 𧷟 𧷠 𧷡 𧷢 𧷣 𧷤 𧷥 𧷦 𧷧 𧷨 𧷩 𧷪 𧷫 𧷬 𧷭 𧷮 𧷯 𧷰 𧷱 𧷲 𧷳 𧷴 𧷵 𧷶 𧷷 𧷸 𧷹 𧷺 𧷻 𧷼 𧷽 𧷾 𧷿</t>
        </is>
      </c>
      <c r="P644" s="37" t="inlineStr">
        <is>
          <t>𧴀 𧴁 𧴂 𧴃 𧴄 𧴅 𧴆 𧴇 𧴈 𧴉 𧴊 𧴋 𧴌 𧴍 𧴎 𧴏 𧴐 𧴑 𧴒 𧴓 𧴔 𧴕 𧴖 𧴗 𧴘 𧴙 𧴚 𧴛 𧴜 𧴝 𧴞 𧴟 𧴠 𧴡 𧴢 𧴣 𧴤 𧴥 𧴦 𧴧 𧴨 𧴩 𧴪 𧴫 𧴬 𧴭 𧴮 𧴯 𧴰 𧴱 𧴲 𧴳 𧴴 𧴵 𧴶 𧴷 𧴸 𧴹 𧴺 𧴻 𧴼 𧴽 𧴾 𧴿 𧵀 𧵁 𧵂 𧵃 𧵄 𧵅 𧵆 𧵇 𧵈 𧵉 𧵊 𧵋 𧵌 𧵍 𧵎 𧵏 𧵐 𧵑 𧵒 𧵓 𧵔 𧵕 𧵖 𧵗 𧵘 𧵙 𧵚 𧵛 𧵜 𧵝 𧵞 𧵟 𧵠 𧵡 𧵢 𧵣 𧵤 𧵥 𧵦 𧵧 𧵨 𧵩 𧵪 𧵫 𧵬 𧵭 𧵮 𧵯 𧵰 𧵱 𧵲 𧵳 𧵴 𧵵 𧵶 𧵷 𧵸 𧵹 𧵺 𧵻 𧵼 𧵽 𧵾 𧵿 𧶀 𧶁 𧶂 𧶃 𧶄 𧶅 𧶆 𧶇 𧶈 𧶉 𧶊 𧶋 𧶌 𧶍 𧶎 𧶏 𧶐 𧶑 𧶒 𧶓 𧶔 𧶕 𧶖 𧶗 𧶘 𧶙 𧶚 𧶛 𧶜 𧶝 𧶞 𧶟 𧶠 𧶡 𧶢 𧶣 𧶤 𧶥 𧶦 𧶧 𧶨 𧶩 𧶪 𧶫 𧶬 𧶭 𧶮 𧶯 𧶰 𧶱 𧶲 𧶳 𧶴 𧶵 𧶶 𧶷 𧶸 𧶹 𧶺 𧶻 𧶼 𧶽 𧶾 𧶿 𧷀 𧷁 𧷂 𧷃 𧷄 𧷅 𧷆 𧷇 𧷈 𧷉 𧷊 𧷋 𧷌 𧷍 𧷎 𧷏 𧷐 𧷑 𧷒 𧷓 𧷔 𧷕 𧷖 𧷗 𧷘 𧷙 𧷚 𧷛 𧷜 𧷝 𧷞 𧷟 𧷠 𧷡 𧷢 𧷣 𧷤 𧷥 𧷦 𧷧 𧷨 𧷩 𧷪 𧷫 𧷬 𧷭 𧷮 𧷯 𧷰 𧷱 𧷲 𧷳 𧷴 𧷵 𧷶 𧷷 𧷸 𧷹 𧷺 𧷻 𧷼 𧷽 𧷾 𧷿</t>
        </is>
      </c>
      <c r="Q644" s="38" t="inlineStr">
        <is>
          <t>𧴀 𧴁 𧴂 𧴃 𧴄 𧴅 𧴆 𧴇 𧴈 𧴉 𧴊 𧴋 𧴌 𧴍 𧴎 𧴏 𧴐 𧴑 𧴒 𧴓 𧴔 𧴕 𧴖 𧴗 𧴘 𧴙 𧴚 𧴛 𧴜 𧴝 𧴞 𧴟 𧴠 𧴡 𧴢 𧴣 𧴤 𧴥 𧴦 𧴧 𧴨 𧴩 𧴪 𧴫 𧴬 𧴭 𧴮 𧴯 𧴰 𧴱 𧴲 𧴳 𧴴 𧴵 𧴶 𧴷 𧴸 𧴹 𧴺 𧴻 𧴼 𧴽 𧴾 𧴿 𧵀 𧵁 𧵂 𧵃 𧵄 𧵅 𧵆 𧵇 𧵈 𧵉 𧵊 𧵋 𧵌 𧵍 𧵎 𧵏 𧵐 𧵑 𧵒 𧵓 𧵔 𧵕 𧵖 𧵗 𧵘 𧵙 𧵚 𧵛 𧵜 𧵝 𧵞 𧵟 𧵠 𧵡 𧵢 𧵣 𧵤 𧵥 𧵦 𧵧 𧵨 𧵩 𧵪 𧵫 𧵬 𧵭 𧵮 𧵯 𧵰 𧵱 𧵲 𧵳 𧵴 𧵵 𧵶 𧵷 𧵸 𧵹 𧵺 𧵻 𧵼 𧵽 𧵾 𧵿 𧶀 𧶁 𧶂 𧶃 𧶄 𧶅 𧶆 𧶇 𧶈 𧶉 𧶊 𧶋 𧶌 𧶍 𧶎 𧶏 𧶐 𧶑 𧶒 𧶓 𧶔 𧶕 𧶖 𧶗 𧶘 𧶙 𧶚 𧶛 𧶜 𧶝 𧶞 𧶟 𧶠 𧶡 𧶢 𧶣 𧶤 𧶥 𧶦 𧶧 𧶨 𧶩 𧶪 𧶫 𧶬 𧶭 𧶮 𧶯 𧶰 𧶱 𧶲 𧶳 𧶴 𧶵 𧶶 𧶷 𧶸 𧶹 𧶺 𧶻 𧶼 𧶽 𧶾 𧶿 𧷀 𧷁 𧷂 𧷃 𧷄 𧷅 𧷆 𧷇 𧷈 𧷉 𧷊 𧷋 𧷌 𧷍 𧷎 𧷏 𧷐 𧷑 𧷒 𧷓 𧷔 𧷕 𧷖 𧷗 𧷘 𧷙 𧷚 𧷛 𧷜 𧷝 𧷞 𧷟 𧷠 𧷡 𧷢 𧷣 𧷤 𧷥 𧷦 𧷧 𧷨 𧷩 𧷪 𧷫 𧷬 𧷭 𧷮 𧷯 𧷰 𧷱 𧷲 𧷳 𧷴 𧷵 𧷶 𧷷 𧷸 𧷹 𧷺 𧷻 𧷼 𧷽 𧷾 𧷿</t>
        </is>
      </c>
      <c r="R644" s="43" t="inlineStr">
        <is>
          <t>𧶠</t>
        </is>
      </c>
      <c r="S644" s="40" t="n"/>
      <c r="V644" s="14">
        <f>(LEN(O644)+1)/2</f>
        <v/>
      </c>
      <c r="W644" s="14">
        <f>ROUNDDOWN((LEN(P644)+1)/2,0)</f>
        <v/>
      </c>
      <c r="X644" s="14">
        <f>ROUNDDOWN((LEN(Q644)+1)/2,0)</f>
        <v/>
      </c>
      <c r="Y644" s="14">
        <f>ROUNDDOWN((LEN(R644)+1)/2,0)</f>
        <v/>
      </c>
      <c r="Z644" s="14">
        <f>ROUNDDOWN((LEN(S644)+1)/2,0)</f>
        <v/>
      </c>
      <c r="AA644" s="56" t="n">
        <v>46150.55884856333</v>
      </c>
    </row>
    <row r="645" ht="102" customHeight="1">
      <c r="B645" s="46" t="inlineStr">
        <is>
          <t>U+27F00-U+27FFF</t>
        </is>
      </c>
      <c r="C645" s="46" t="inlineStr">
        <is>
          <t>CJK Unified Ideographs Extension B</t>
        </is>
      </c>
      <c r="D645" s="54">
        <f>HEX2DEC(MID(B645,3,FIND("-",E645)-3))</f>
        <v/>
      </c>
      <c r="E645" s="46" t="inlineStr">
        <is>
          <t>U+20000-U+2A6DF</t>
        </is>
      </c>
      <c r="F645" s="12" t="n">
        <v>4</v>
      </c>
      <c r="J645" s="19">
        <f>ROUNDDOWN(W645,0)/$V645</f>
        <v/>
      </c>
      <c r="K645" s="19">
        <f>ROUNDDOWN(X645,0)/$V645</f>
        <v/>
      </c>
      <c r="L645" s="19">
        <f>ROUNDDOWN(Y645,0)/$V645</f>
        <v/>
      </c>
      <c r="M645" s="19">
        <f>ROUNDDOWN(Z645,0)/$V645</f>
        <v/>
      </c>
      <c r="O645" s="36" t="inlineStr">
        <is>
          <t>𧸀 𧸁 𧸂 𧸃 𧸄 𧸅 𧸆 𧸇 𧸈 𧸉 𧸊 𧸋 𧸌 𧸍 𧸎 𧸏 𧸐 𧸑 𧸒 𧸓 𧸔 𧸕 𧸖 𧸗 𧸘 𧸙 𧸚 𧸛 𧸜 𧸝 𧸞 𧸟 𧸠 𧸡 𧸢 𧸣 𧸤 𧸥 𧸦 𧸧 𧸨 𧸩 𧸪 𧸫 𧸬 𧸭 𧸮 𧸯 𧸰 𧸱 𧸲 𧸳 𧸴 𧸵 𧸶 𧸷 𧸸 𧸹 𧸺 𧸻 𧸼 𧸽 𧸾 𧸿 𧹀 𧹁 𧹂 𧹃 𧹄 𧹅 𧹆 𧹇 𧹈 𧹉 𧹊 𧹋 𧹌 𧹍 𧹎 𧹏 𧹐 𧹑 𧹒 𧹓 𧹔 𧹕 𧹖 𧹗 𧹘 𧹙 𧹚 𧹛 𧹜 𧹝 𧹞 𧹟 𧹠 𧹡 𧹢 𧹣 𧹤 𧹥 𧹦 𧹧 𧹨 𧹩 𧹪 𧹫 𧹬 𧹭 𧹮 𧹯 𧹰 𧹱 𧹲 𧹳 𧹴 𧹵 𧹶 𧹷 𧹸 𧹹 𧹺 𧹻 𧹼 𧹽 𧹾 𧹿 𧺀 𧺁 𧺂 𧺃 𧺄 𧺅 𧺆 𧺇 𧺈 𧺉 𧺊 𧺋 𧺌 𧺍 𧺎 𧺏 𧺐 𧺑 𧺒 𧺓 𧺔 𧺕 𧺖 𧺗 𧺘 𧺙 𧺚 𧺛 𧺜 𧺝 𧺞 𧺟 𧺠 𧺡 𧺢 𧺣 𧺤 𧺥 𧺦 𧺧 𧺨 𧺩 𧺪 𧺫 𧺬 𧺭 𧺮 𧺯 𧺰 𧺱 𧺲 𧺳 𧺴 𧺵 𧺶 𧺷 𧺸 𧺹 𧺺 𧺻 𧺼 𧺽 𧺾 𧺿 𧻀 𧻁 𧻂 𧻃 𧻄 𧻅 𧻆 𧻇 𧻈 𧻉 𧻊 𧻋 𧻌 𧻍 𧻎 𧻏 𧻐 𧻑 𧻒 𧻓 𧻔 𧻕 𧻖 𧻗 𧻘 𧻙 𧻚 𧻛 𧻜 𧻝 𧻞 𧻟 𧻠 𧻡 𧻢 𧻣 𧻤 𧻥 𧻦 𧻧 𧻨 𧻩 𧻪 𧻫 𧻬 𧻭 𧻮 𧻯 𧻰 𧻱 𧻲 𧻳 𧻴 𧻵 𧻶 𧻷 𧻸 𧻹 𧻺 𧻻 𧻼 𧻽 𧻾 𧻿</t>
        </is>
      </c>
      <c r="P645" s="37" t="inlineStr">
        <is>
          <t>𧸀 𧸁 𧸂 𧸃 𧸄 𧸅 𧸆 𧸇 𧸈 𧸉 𧸊 𧸋 𧸌 𧸍 𧸎 𧸏 𧸐 𧸑 𧸒 𧸓 𧸔 𧸕 𧸖 𧸗 𧸘 𧸙 𧸚 𧸛 𧸜 𧸝 𧸞 𧸟 𧸠 𧸡 𧸢 𧸣 𧸤 𧸥 𧸦 𧸧 𧸨 𧸩 𧸪 𧸫 𧸬 𧸭 𧸮 𧸯 𧸰 𧸱 𧸲 𧸳 𧸴 𧸵 𧸶 𧸷 𧸸 𧸹 𧸺 𧸻 𧸼 𧸽 𧸾 𧸿 𧹀 𧹁 𧹂 𧹃 𧹄 𧹅 𧹆 𧹇 𧹈 𧹉 𧹊 𧹋 𧹌 𧹍 𧹎 𧹏 𧹐 𧹑 𧹒 𧹓 𧹔 𧹕 𧹖 𧹗 𧹘 𧹙 𧹚 𧹛 𧹜 𧹝 𧹞 𧹟 𧹠 𧹡 𧹢 𧹣 𧹤 𧹥 𧹦 𧹧 𧹨 𧹩 𧹪 𧹫 𧹬 𧹭 𧹮 𧹯 𧹰 𧹱 𧹲 𧹳 𧹴 𧹵 𧹶 𧹷 𧹸 𧹹 𧹺 𧹻 𧹼 𧹽 𧹾 𧹿 𧺀 𧺁 𧺂 𧺃 𧺄 𧺅 𧺆 𧺇 𧺈 𧺉 𧺊 𧺋 𧺌 𧺍 𧺎 𧺏 𧺐 𧺑 𧺒 𧺓 𧺔 𧺕 𧺖 𧺗 𧺘 𧺙 𧺚 𧺛 𧺜 𧺝 𧺞 𧺟 𧺠 𧺡 𧺢 𧺣 𧺤 𧺥 𧺦 𧺧 𧺨 𧺩 𧺪 𧺫 𧺬 𧺭 𧺮 𧺯 𧺰 𧺱 𧺲 𧺳 𧺴 𧺵 𧺶 𧺷 𧺸 𧺹 𧺺 𧺻 𧺼 𧺽 𧺾 𧺿 𧻀 𧻁 𧻂 𧻃 𧻄 𧻅 𧻆 𧻇 𧻈 𧻉 𧻊 𧻋 𧻌 𧻍 𧻎 𧻏 𧻐 𧻑 𧻒 𧻓 𧻔 𧻕 𧻖 𧻗 𧻘 𧻙 𧻚 𧻛 𧻜 𧻝 𧻞 𧻟 𧻠 𧻡 𧻢 𧻣 𧻤 𧻥 𧻦 𧻧 𧻨 𧻩 𧻪 𧻫 𧻬 𧻭 𧻮 𧻯 𧻰 𧻱 𧻲 𧻳 𧻴 𧻵 𧻶 𧻷 𧻸 𧻹 𧻺 𧻻 𧻼 𧻽 𧻾 𧻿</t>
        </is>
      </c>
      <c r="Q645" s="38" t="inlineStr">
        <is>
          <t>𧸀 𧸁 𧸂 𧸃 𧸄 𧸅 𧸆 𧸇 𧸈 𧸉 𧸊 𧸋 𧸌 𧸍 𧸎 𧸏 𧸐 𧸑 𧸒 𧸓 𧸔 𧸕 𧸖 𧸗 𧸘 𧸙 𧸚 𧸛 𧸜 𧸝 𧸞 𧸟 𧸠 𧸡 𧸢 𧸣 𧸤 𧸥 𧸦 𧸧 𧸨 𧸩 𧸪 𧸫 𧸬 𧸭 𧸮 𧸯 𧸰 𧸱 𧸲 𧸳 𧸴 𧸵 𧸶 𧸷 𧸸 𧸹 𧸺 𧸻 𧸼 𧸽 𧸾 𧸿 𧹀 𧹁 𧹂 𧹃 𧹄 𧹅 𧹆 𧹇 𧹈 𧹉 𧹊 𧹋 𧹌 𧹍 𧹎 𧹏 𧹐 𧹑 𧹒 𧹓 𧹔 𧹕 𧹖 𧹗 𧹘 𧹙 𧹚 𧹛 𧹜 𧹝 𧹞 𧹟 𧹠 𧹡 𧹢 𧹣 𧹤 𧹥 𧹦 𧹧 𧹨 𧹩 𧹪 𧹫 𧹬 𧹭 𧹮 𧹯 𧹰 𧹱 𧹲 𧹳 𧹴 𧹵 𧹶 𧹷 𧹸 𧹹 𧹺 𧹻 𧹼 𧹽 𧹾 𧹿 𧺀 𧺁 𧺂 𧺃 𧺄 𧺅 𧺆 𧺇 𧺈 𧺉 𧺊 𧺋 𧺌 𧺍 𧺎 𧺏 𧺐 𧺑 𧺒 𧺓 𧺔 𧺕 𧺖 𧺗 𧺘 𧺙 𧺚 𧺛 𧺜 𧺝 𧺞 𧺟 𧺠 𧺡 𧺢 𧺣 𧺤 𧺥 𧺦 𧺧 𧺨 𧺩 𧺪 𧺫 𧺬 𧺭 𧺮 𧺯 𧺰 𧺱 𧺲 𧺳 𧺴 𧺵 𧺶 𧺷 𧺸 𧺹 𧺺 𧺻 𧺼 𧺽 𧺾 𧺿 𧻀 𧻁 𧻂 𧻃 𧻄 𧻅 𧻆 𧻇 𧻈 𧻉 𧻊 𧻋 𧻌 𧻍 𧻎 𧻏 𧻐 𧻑 𧻒 𧻓 𧻔 𧻕 𧻖 𧻗 𧻘 𧻙 𧻚 𧻛 𧻜 𧻝 𧻞 𧻟 𧻠 𧻡 𧻢 𧻣 𧻤 𧻥 𧻦 𧻧 𧻨 𧻩 𧻪 𧻫 𧻬 𧻭 𧻮 𧻯 𧻰 𧻱 𧻲 𧻳 𧻴 𧻵 𧻶 𧻷 𧻸 𧻹 𧻺 𧻻 𧻼 𧻽 𧻾 𧻿</t>
        </is>
      </c>
      <c r="R645" s="43" t="inlineStr">
        <is>
          <t>𧸐 𧺯 𧻴</t>
        </is>
      </c>
      <c r="S645" s="40" t="n"/>
      <c r="V645" s="14">
        <f>(LEN(O645)+1)/2</f>
        <v/>
      </c>
      <c r="W645" s="14">
        <f>ROUNDDOWN((LEN(P645)+1)/2,0)</f>
        <v/>
      </c>
      <c r="X645" s="14">
        <f>ROUNDDOWN((LEN(Q645)+1)/2,0)</f>
        <v/>
      </c>
      <c r="Y645" s="14">
        <f>ROUNDDOWN((LEN(R645)+1)/2,0)</f>
        <v/>
      </c>
      <c r="Z645" s="14">
        <f>ROUNDDOWN((LEN(S645)+1)/2,0)</f>
        <v/>
      </c>
      <c r="AA645" s="56" t="n">
        <v>46150.55884964913</v>
      </c>
    </row>
    <row r="646" ht="102" customHeight="1">
      <c r="B646" s="46" t="inlineStr">
        <is>
          <t>U+28000-U+280FF</t>
        </is>
      </c>
      <c r="C646" s="46" t="inlineStr">
        <is>
          <t>CJK Unified Ideographs Extension B</t>
        </is>
      </c>
      <c r="D646" s="54">
        <f>HEX2DEC(MID(B646,3,FIND("-",E646)-3))</f>
        <v/>
      </c>
      <c r="E646" s="46" t="inlineStr">
        <is>
          <t>U+20000-U+2A6DF</t>
        </is>
      </c>
      <c r="F646" s="12" t="n">
        <v>4</v>
      </c>
      <c r="J646" s="19">
        <f>ROUNDDOWN(W646,0)/$V646</f>
        <v/>
      </c>
      <c r="K646" s="19">
        <f>ROUNDDOWN(X646,0)/$V646</f>
        <v/>
      </c>
      <c r="L646" s="19">
        <f>ROUNDDOWN(Y646,0)/$V646</f>
        <v/>
      </c>
      <c r="M646" s="19">
        <f>ROUNDDOWN(Z646,0)/$V646</f>
        <v/>
      </c>
      <c r="O646" s="36" t="inlineStr">
        <is>
          <t>𧼀 𧼁 𧼂 𧼃 𧼄 𧼅 𧼆 𧼇 𧼈 𧼉 𧼊 𧼋 𧼌 𧼍 𧼎 𧼏 𧼐 𧼑 𧼒 𧼓 𧼔 𧼕 𧼖 𧼗 𧼘 𧼙 𧼚 𧼛 𧼜 𧼝 𧼞 𧼟 𧼠 𧼡 𧼢 𧼣 𧼤 𧼥 𧼦 𧼧 𧼨 𧼩 𧼪 𧼫 𧼬 𧼭 𧼮 𧼯 𧼰 𧼱 𧼲 𧼳 𧼴 𧼵 𧼶 𧼷 𧼸 𧼹 𧼺 𧼻 𧼼 𧼽 𧼾 𧼿 𧽀 𧽁 𧽂 𧽃 𧽄 𧽅 𧽆 𧽇 𧽈 𧽉 𧽊 𧽋 𧽌 𧽍 𧽎 𧽏 𧽐 𧽑 𧽒 𧽓 𧽔 𧽕 𧽖 𧽗 𧽘 𧽙 𧽚 𧽛 𧽜 𧽝 𧽞 𧽟 𧽠 𧽡 𧽢 𧽣 𧽤 𧽥 𧽦 𧽧 𧽨 𧽩 𧽪 𧽫 𧽬 𧽭 𧽮 𧽯 𧽰 𧽱 𧽲 𧽳 𧽴 𧽵 𧽶 𧽷 𧽸 𧽹 𧽺 𧽻 𧽼 𧽽 𧽾 𧽿 𧾀 𧾁 𧾂 𧾃 𧾄 𧾅 𧾆 𧾇 𧾈 𧾉 𧾊 𧾋 𧾌 𧾍 𧾎 𧾏 𧾐 𧾑 𧾒 𧾓 𧾔 𧾕 𧾖 𧾗 𧾘 𧾙 𧾚 𧾛 𧾜 𧾝 𧾞 𧾟 𧾠 𧾡 𧾢 𧾣 𧾤 𧾥 𧾦 𧾧 𧾨 𧾩 𧾪 𧾫 𧾬 𧾭 𧾮 𧾯 𧾰 𧾱 𧾲 𧾳 𧾴 𧾵 𧾶 𧾷 𧾸 𧾹 𧾺 𧾻 𧾼 𧾽 𧾾 𧾿 𧿀 𧿁 𧿂 𧿃 𧿄 𧿅 𧿆 𧿇 𧿈 𧿉 𧿊 𧿋 𧿌 𧿍 𧿎 𧿏 𧿐 𧿑 𧿒 𧿓 𧿔 𧿕 𧿖 𧿗 𧿘 𧿙 𧿚 𧿛 𧿜 𧿝 𧿞 𧿟 𧿠 𧿡 𧿢 𧿣 𧿤 𧿥 𧿦 𧿧 𧿨 𧿩 𧿪 𧿫 𧿬 𧿭 𧿮 𧿯 𧿰 𧿱 𧿲 𧿳 𧿴 𧿵 𧿶 𧿷 𧿸 𧿹 𧿺 𧿻 𧿼 𧿽 𧿾 𧿿</t>
        </is>
      </c>
      <c r="P646" s="37" t="inlineStr">
        <is>
          <t>𧼀 𧼁 𧼂 𧼃 𧼄 𧼅 𧼆 𧼇 𧼈 𧼉 𧼊 𧼋 𧼌 𧼍 𧼎 𧼏 𧼐 𧼑 𧼒 𧼓 𧼔 𧼕 𧼖 𧼗 𧼘 𧼙 𧼚 𧼛 𧼜 𧼝 𧼞 𧼟 𧼠 𧼡 𧼢 𧼣 𧼤 𧼥 𧼦 𧼧 𧼨 𧼩 𧼪 𧼫 𧼬 𧼭 𧼮 𧼯 𧼰 𧼱 𧼲 𧼳 𧼴 𧼵 𧼶 𧼷 𧼸 𧼹 𧼺 𧼻 𧼼 𧼽 𧼾 𧼿 𧽀 𧽁 𧽂 𧽃 𧽄 𧽅 𧽆 𧽇 𧽈 𧽉 𧽊 𧽋 𧽌 𧽍 𧽎 𧽏 𧽐 𧽑 𧽒 𧽓 𧽔 𧽕 𧽖 𧽗 𧽘 𧽙 𧽚 𧽛 𧽜 𧽝 𧽞 𧽟 𧽠 𧽡 𧽢 𧽣 𧽤 𧽥 𧽦 𧽧 𧽨 𧽩 𧽪 𧽫 𧽬 𧽭 𧽮 𧽯 𧽰 𧽱 𧽲 𧽳 𧽴 𧽵 𧽶 𧽷 𧽸 𧽹 𧽺 𧽻 𧽼 𧽽 𧽾 𧽿 𧾀 𧾁 𧾂 𧾃 𧾄 𧾅 𧾆 𧾇 𧾈 𧾉 𧾊 𧾋 𧾌 𧾍 𧾎 𧾏 𧾐 𧾑 𧾒 𧾓 𧾔 𧾕 𧾖 𧾗 𧾘 𧾙 𧾚 𧾛 𧾜 𧾝 𧾞 𧾟 𧾠 𧾡 𧾢 𧾣 𧾤 𧾥 𧾦 𧾧 𧾨 𧾩 𧾪 𧾫 𧾬 𧾭 𧾮 𧾯 𧾰 𧾱 𧾲 𧾳 𧾴 𧾵 𧾶 𧾷 𧾸 𧾹 𧾺 𧾻 𧾼 𧾽 𧾾 𧾿 𧿀 𧿁 𧿂 𧿃 𧿄 𧿅 𧿆 𧿇 𧿈 𧿉 𧿊 𧿋 𧿌 𧿍 𧿎 𧿏 𧿐 𧿑 𧿒 𧿓 𧿔 𧿕 𧿖 𧿗 𧿘 𧿙 𧿚 𧿛 𧿜 𧿝 𧿞 𧿟 𧿠 𧿡 𧿢 𧿣 𧿤 𧿥 𧿦 𧿧 𧿨 𧿩 𧿪 𧿫 𧿬 𧿭 𧿮 𧿯 𧿰 𧿱 𧿲 𧿳 𧿴 𧿵 𧿶 𧿷 𧿸 𧿹 𧿺 𧿻 𧿼 𧿽 𧿾 𧿿</t>
        </is>
      </c>
      <c r="Q646" s="38" t="inlineStr">
        <is>
          <t>𧼀 𧼁 𧼂 𧼃 𧼄 𧼅 𧼆 𧼇 𧼈 𧼉 𧼊 𧼋 𧼌 𧼍 𧼎 𧼏 𧼐 𧼑 𧼒 𧼓 𧼔 𧼕 𧼖 𧼗 𧼘 𧼙 𧼚 𧼛 𧼜 𧼝 𧼞 𧼟 𧼠 𧼡 𧼢 𧼣 𧼤 𧼥 𧼦 𧼧 𧼨 𧼩 𧼪 𧼫 𧼬 𧼭 𧼮 𧼯 𧼰 𧼱 𧼲 𧼳 𧼴 𧼵 𧼶 𧼷 𧼸 𧼹 𧼺 𧼻 𧼼 𧼽 𧼾 𧼿 𧽀 𧽁 𧽂 𧽃 𧽄 𧽅 𧽆 𧽇 𧽈 𧽉 𧽊 𧽋 𧽌 𧽍 𧽎 𧽏 𧽐 𧽑 𧽒 𧽓 𧽔 𧽕 𧽖 𧽗 𧽘 𧽙 𧽚 𧽛 𧽜 𧽝 𧽞 𧽟 𧽠 𧽡 𧽢 𧽣 𧽤 𧽥 𧽦 𧽧 𧽨 𧽩 𧽪 𧽫 𧽬 𧽭 𧽮 𧽯 𧽰 𧽱 𧽲 𧽳 𧽴 𧽵 𧽶 𧽷 𧽸 𧽹 𧽺 𧽻 𧽼 𧽽 𧽾 𧽿 𧾀 𧾁 𧾂 𧾃 𧾄 𧾅 𧾆 𧾇 𧾈 𧾉 𧾊 𧾋 𧾌 𧾍 𧾎 𧾏 𧾐 𧾑 𧾒 𧾓 𧾔 𧾕 𧾖 𧾗 𧾘 𧾙 𧾚 𧾛 𧾜 𧾝 𧾞 𧾟 𧾠 𧾡 𧾢 𧾣 𧾤 𧾥 𧾦 𧾧 𧾨 𧾩 𧾪 𧾫 𧾬 𧾭 𧾮 𧾯 𧾰 𧾱 𧾲 𧾳 𧾴 𧾵 𧾶 𧾷 𧾸 𧾹 𧾺 𧾻 𧾼 𧾽 𧾾 𧾿 𧿀 𧿁 𧿂 𧿃 𧿄 𧿅 𧿆 𧿇 𧿈 𧿉 𧿊 𧿋 𧿌 𧿍 𧿎 𧿏 𧿐 𧿑 𧿒 𧿓 𧿔 𧿕 𧿖 𧿗 𧿘 𧿙 𧿚 𧿛 𧿜 𧿝 𧿞 𧿟 𧿠 𧿡 𧿢 𧿣 𧿤 𧿥 𧿦 𧿧 𧿨 𧿩 𧿪 𧿫 𧿬 𧿭 𧿮 𧿯 𧿰 𧿱 𧿲 𧿳 𧿴 𧿵 𧿶 𧿷 𧿸 𧿹 𧿺 𧿻 𧿼 𧿽 𧿾 𧿿</t>
        </is>
      </c>
      <c r="R646" s="43" t="inlineStr">
        <is>
          <t>𧾷 𧿁 𧿬 𧿳 𧿹</t>
        </is>
      </c>
      <c r="S646" s="40" t="n"/>
      <c r="V646" s="14">
        <f>(LEN(O646)+1)/2</f>
        <v/>
      </c>
      <c r="W646" s="14">
        <f>ROUNDDOWN((LEN(P646)+1)/2,0)</f>
        <v/>
      </c>
      <c r="X646" s="14">
        <f>ROUNDDOWN((LEN(Q646)+1)/2,0)</f>
        <v/>
      </c>
      <c r="Y646" s="14">
        <f>ROUNDDOWN((LEN(R646)+1)/2,0)</f>
        <v/>
      </c>
      <c r="Z646" s="14">
        <f>ROUNDDOWN((LEN(S646)+1)/2,0)</f>
        <v/>
      </c>
      <c r="AA646" s="56" t="n">
        <v>46150.55885075303</v>
      </c>
    </row>
    <row r="647" ht="102" customHeight="1">
      <c r="B647" s="46" t="inlineStr">
        <is>
          <t>U+28100-U+281FF</t>
        </is>
      </c>
      <c r="C647" s="46" t="inlineStr">
        <is>
          <t>CJK Unified Ideographs Extension B</t>
        </is>
      </c>
      <c r="D647" s="54">
        <f>HEX2DEC(MID(B647,3,FIND("-",E647)-3))</f>
        <v/>
      </c>
      <c r="E647" s="46" t="inlineStr">
        <is>
          <t>U+20000-U+2A6DF</t>
        </is>
      </c>
      <c r="F647" s="12" t="n">
        <v>4</v>
      </c>
      <c r="J647" s="19">
        <f>ROUNDDOWN(W647,0)/$V647</f>
        <v/>
      </c>
      <c r="K647" s="19">
        <f>ROUNDDOWN(X647,0)/$V647</f>
        <v/>
      </c>
      <c r="L647" s="19">
        <f>ROUNDDOWN(Y647,0)/$V647</f>
        <v/>
      </c>
      <c r="M647" s="19">
        <f>ROUNDDOWN(Z647,0)/$V647</f>
        <v/>
      </c>
      <c r="O647" s="36" t="inlineStr">
        <is>
          <t>𨀀 𨀁 𨀂 𨀃 𨀄 𨀅 𨀆 𨀇 𨀈 𨀉 𨀊 𨀋 𨀌 𨀍 𨀎 𨀏 𨀐 𨀑 𨀒 𨀓 𨀔 𨀕 𨀖 𨀗 𨀘 𨀙 𨀚 𨀛 𨀜 𨀝 𨀞 𨀟 𨀠 𨀡 𨀢 𨀣 𨀤 𨀥 𨀦 𨀧 𨀨 𨀩 𨀪 𨀫 𨀬 𨀭 𨀮 𨀯 𨀰 𨀱 𨀲 𨀳 𨀴 𨀵 𨀶 𨀷 𨀸 𨀹 𨀺 𨀻 𨀼 𨀽 𨀾 𨀿 𨁀 𨁁 𨁂 𨁃 𨁄 𨁅 𨁆 𨁇 𨁈 𨁉 𨁊 𨁋 𨁌 𨁍 𨁎 𨁏 𨁐 𨁑 𨁒 𨁓 𨁔 𨁕 𨁖 𨁗 𨁘 𨁙 𨁚 𨁛 𨁜 𨁝 𨁞 𨁟 𨁠 𨁡 𨁢 𨁣 𨁤 𨁥 𨁦 𨁧 𨁨 𨁩 𨁪 𨁫 𨁬 𨁭 𨁮 𨁯 𨁰 𨁱 𨁲 𨁳 𨁴 𨁵 𨁶 𨁷 𨁸 𨁹 𨁺 𨁻 𨁼 𨁽 𨁾 𨁿 𨂀 𨂁 𨂂 𨂃 𨂄 𨂅 𨂆 𨂇 𨂈 𨂉 𨂊 𨂋 𨂌 𨂍 𨂎 𨂏 𨂐 𨂑 𨂒 𨂓 𨂔 𨂕 𨂖 𨂗 𨂘 𨂙 𨂚 𨂛 𨂜 𨂝 𨂞 𨂟 𨂠 𨂡 𨂢 𨂣 𨂤 𨂥 𨂦 𨂧 𨂨 𨂩 𨂪 𨂫 𨂬 𨂭 𨂮 𨂯 𨂰 𨂱 𨂲 𨂳 𨂴 𨂵 𨂶 𨂷 𨂸 𨂹 𨂺 𨂻 𨂼 𨂽 𨂾 𨂿 𨃀 𨃁 𨃂 𨃃 𨃄 𨃅 𨃆 𨃇 𨃈 𨃉 𨃊 𨃋 𨃌 𨃍 𨃎 𨃏 𨃐 𨃑 𨃒 𨃓 𨃔 𨃕 𨃖 𨃗 𨃘 𨃙 𨃚 𨃛 𨃜 𨃝 𨃞 𨃟 𨃠 𨃡 𨃢 𨃣 𨃤 𨃥 𨃦 𨃧 𨃨 𨃩 𨃪 𨃫 𨃬 𨃭 𨃮 𨃯 𨃰 𨃱 𨃲 𨃳 𨃴 𨃵 𨃶 𨃷 𨃸 𨃹 𨃺 𨃻 𨃼 𨃽 𨃾 𨃿</t>
        </is>
      </c>
      <c r="P647" s="37" t="inlineStr">
        <is>
          <t>𨀀 𨀁 𨀂 𨀃 𨀄 𨀅 𨀆 𨀇 𨀈 𨀉 𨀊 𨀋 𨀌 𨀍 𨀎 𨀏 𨀐 𨀑 𨀒 𨀓 𨀔 𨀕 𨀖 𨀗 𨀘 𨀙 𨀚 𨀛 𨀜 𨀝 𨀞 𨀟 𨀠 𨀡 𨀢 𨀣 𨀤 𨀥 𨀦 𨀧 𨀨 𨀩 𨀪 𨀫 𨀬 𨀭 𨀮 𨀯 𨀰 𨀱 𨀲 𨀳 𨀴 𨀵 𨀶 𨀷 𨀸 𨀹 𨀺 𨀻 𨀼 𨀽 𨀾 𨀿 𨁀 𨁁 𨁂 𨁃 𨁄 𨁅 𨁆 𨁇 𨁈 𨁉 𨁊 𨁋 𨁌 𨁍 𨁎 𨁏 𨁐 𨁑 𨁒 𨁓 𨁔 𨁕 𨁖 𨁗 𨁘 𨁙 𨁚 𨁛 𨁜 𨁝 𨁞 𨁟 𨁠 𨁡 𨁢 𨁣 𨁤 𨁥 𨁦 𨁧 𨁨 𨁩 𨁪 𨁫 𨁬 𨁭 𨁮 𨁯 𨁰 𨁱 𨁲 𨁳 𨁴 𨁵 𨁶 𨁷 𨁸 𨁹 𨁺 𨁻 𨁼 𨁽 𨁾 𨁿 𨂀 𨂁 𨂂 𨂃 𨂄 𨂅 𨂆 𨂇 𨂈 𨂉 𨂊 𨂋 𨂌 𨂍 𨂎 𨂏 𨂐 𨂑 𨂒 𨂓 𨂔 𨂕 𨂖 𨂗 𨂘 𨂙 𨂚 𨂛 𨂜 𨂝 𨂞 𨂟 𨂠 𨂡 𨂢 𨂣 𨂤 𨂥 𨂦 𨂧 𨂨 𨂩 𨂪 𨂫 𨂬 𨂭 𨂮 𨂯 𨂰 𨂱 𨂲 𨂳 𨂴 𨂵 𨂶 𨂷 𨂸 𨂹 𨂺 𨂻 𨂼 𨂽 𨂾 𨂿 𨃀 𨃁 𨃂 𨃃 𨃄 𨃅 𨃆 𨃇 𨃈 𨃉 𨃊 𨃋 𨃌 𨃍 𨃎 𨃏 𨃐 𨃑 𨃒 𨃓 𨃔 𨃕 𨃖 𨃗 𨃘 𨃙 𨃚 𨃛 𨃜 𨃝 𨃞 𨃟 𨃠 𨃡 𨃢 𨃣 𨃤 𨃥 𨃦 𨃧 𨃨 𨃩 𨃪 𨃫 𨃬 𨃭 𨃮 𨃯 𨃰 𨃱 𨃲 𨃳 𨃴 𨃵 𨃶 𨃷 𨃸 𨃹 𨃺 𨃻 𨃼 𨃽 𨃾 𨃿</t>
        </is>
      </c>
      <c r="Q647" s="38" t="inlineStr">
        <is>
          <t>𨀀 𨀁 𨀂 𨀃 𨀄 𨀅 𨀆 𨀇 𨀈 𨀉 𨀊 𨀋 𨀌 𨀍 𨀎 𨀏 𨀐 𨀑 𨀒 𨀓 𨀔 𨀕 𨀖 𨀗 𨀘 𨀙 𨀚 𨀛 𨀜 𨀝 𨀞 𨀟 𨀠 𨀡 𨀢 𨀣 𨀤 𨀥 𨀦 𨀧 𨀨 𨀩 𨀪 𨀫 𨀬 𨀭 𨀮 𨀯 𨀰 𨀱 𨀲 𨀳 𨀴 𨀵 𨀶 𨀷 𨀸 𨀹 𨀺 𨀻 𨀼 𨀽 𨀾 𨀿 𨁀 𨁁 𨁂 𨁃 𨁄 𨁅 𨁆 𨁇 𨁈 𨁉 𨁊 𨁋 𨁌 𨁍 𨁎 𨁏 𨁐 𨁑 𨁒 𨁓 𨁔 𨁕 𨁖 𨁗 𨁘 𨁙 𨁚 𨁛 𨁜 𨁝 𨁞 𨁟 𨁠 𨁡 𨁢 𨁣 𨁤 𨁥 𨁦 𨁧 𨁨 𨁩 𨁪 𨁫 𨁬 𨁭 𨁮 𨁯 𨁰 𨁱 𨁲 𨁳 𨁴 𨁵 𨁶 𨁷 𨁸 𨁹 𨁺 𨁻 𨁼 𨁽 𨁾 𨁿 𨂀 𨂁 𨂂 𨂃 𨂄 𨂅 𨂆 𨂇 𨂈 𨂉 𨂊 𨂋 𨂌 𨂍 𨂎 𨂏 𨂐 𨂑 𨂒 𨂓 𨂔 𨂕 𨂖 𨂗 𨂘 𨂙 𨂚 𨂛 𨂜 𨂝 𨂞 𨂟 𨂠 𨂡 𨂢 𨂣 𨂤 𨂥 𨂦 𨂧 𨂨 𨂩 𨂪 𨂫 𨂬 𨂭 𨂮 𨂯 𨂰 𨂱 𨂲 𨂳 𨂴 𨂵 𨂶 𨂷 𨂸 𨂹 𨂺 𨂻 𨂼 𨂽 𨂾 𨂿 𨃀 𨃁 𨃂 𨃃 𨃄 𨃅 𨃆 𨃇 𨃈 𨃉 𨃊 𨃋 𨃌 𨃍 𨃎 𨃏 𨃐 𨃑 𨃒 𨃓 𨃔 𨃕 𨃖 𨃗 𨃘 𨃙 𨃚 𨃛 𨃜 𨃝 𨃞 𨃟 𨃠 𨃡 𨃢 𨃣 𨃤 𨃥 𨃦 𨃧 𨃨 𨃩 𨃪 𨃫 𨃬 𨃭 𨃮 𨃯 𨃰 𨃱 𨃲 𨃳 𨃴 𨃵 𨃶 𨃷 𨃸 𨃹 𨃺 𨃻 𨃼 𨃽 𨃾 𨃿</t>
        </is>
      </c>
      <c r="R647" s="43" t="inlineStr">
        <is>
          <t>𨂊 𨂾 𨂿 𨃅 𨃩 𨃰</t>
        </is>
      </c>
      <c r="S647" s="40" t="n"/>
      <c r="V647" s="14">
        <f>(LEN(O647)+1)/2</f>
        <v/>
      </c>
      <c r="W647" s="14">
        <f>ROUNDDOWN((LEN(P647)+1)/2,0)</f>
        <v/>
      </c>
      <c r="X647" s="14">
        <f>ROUNDDOWN((LEN(Q647)+1)/2,0)</f>
        <v/>
      </c>
      <c r="Y647" s="14">
        <f>ROUNDDOWN((LEN(R647)+1)/2,0)</f>
        <v/>
      </c>
      <c r="Z647" s="14">
        <f>ROUNDDOWN((LEN(S647)+1)/2,0)</f>
        <v/>
      </c>
      <c r="AA647" s="56" t="n">
        <v>46150.55885185951</v>
      </c>
    </row>
    <row r="648" ht="102" customHeight="1">
      <c r="B648" s="46" t="inlineStr">
        <is>
          <t>U+28200-U+282FF</t>
        </is>
      </c>
      <c r="C648" s="46" t="inlineStr">
        <is>
          <t>CJK Unified Ideographs Extension B</t>
        </is>
      </c>
      <c r="D648" s="54">
        <f>HEX2DEC(MID(B648,3,FIND("-",E648)-3))</f>
        <v/>
      </c>
      <c r="E648" s="46" t="inlineStr">
        <is>
          <t>U+20000-U+2A6DF</t>
        </is>
      </c>
      <c r="F648" s="12" t="n">
        <v>4</v>
      </c>
      <c r="J648" s="19">
        <f>ROUNDDOWN(W648,0)/$V648</f>
        <v/>
      </c>
      <c r="K648" s="19">
        <f>ROUNDDOWN(X648,0)/$V648</f>
        <v/>
      </c>
      <c r="L648" s="19">
        <f>ROUNDDOWN(Y648,0)/$V648</f>
        <v/>
      </c>
      <c r="M648" s="19">
        <f>ROUNDDOWN(Z648,0)/$V648</f>
        <v/>
      </c>
      <c r="O648" s="36" t="inlineStr">
        <is>
          <t>𨄀 𨄁 𨄂 𨄃 𨄄 𨄅 𨄆 𨄇 𨄈 𨄉 𨄊 𨄋 𨄌 𨄍 𨄎 𨄏 𨄐 𨄑 𨄒 𨄓 𨄔 𨄕 𨄖 𨄗 𨄘 𨄙 𨄚 𨄛 𨄜 𨄝 𨄞 𨄟 𨄠 𨄡 𨄢 𨄣 𨄤 𨄥 𨄦 𨄧 𨄨 𨄩 𨄪 𨄫 𨄬 𨄭 𨄮 𨄯 𨄰 𨄱 𨄲 𨄳 𨄴 𨄵 𨄶 𨄷 𨄸 𨄹 𨄺 𨄻 𨄼 𨄽 𨄾 𨄿 𨅀 𨅁 𨅂 𨅃 𨅄 𨅅 𨅆 𨅇 𨅈 𨅉 𨅊 𨅋 𨅌 𨅍 𨅎 𨅏 𨅐 𨅑 𨅒 𨅓 𨅔 𨅕 𨅖 𨅗 𨅘 𨅙 𨅚 𨅛 𨅜 𨅝 𨅞 𨅟 𨅠 𨅡 𨅢 𨅣 𨅤 𨅥 𨅦 𨅧 𨅨 𨅩 𨅪 𨅫 𨅬 𨅭 𨅮 𨅯 𨅰 𨅱 𨅲 𨅳 𨅴 𨅵 𨅶 𨅷 𨅸 𨅹 𨅺 𨅻 𨅼 𨅽 𨅾 𨅿 𨆀 𨆁 𨆂 𨆃 𨆄 𨆅 𨆆 𨆇 𨆈 𨆉 𨆊 𨆋 𨆌 𨆍 𨆎 𨆏 𨆐 𨆑 𨆒 𨆓 𨆔 𨆕 𨆖 𨆗 𨆘 𨆙 𨆚 𨆛 𨆜 𨆝 𨆞 𨆟 𨆠 𨆡 𨆢 𨆣 𨆤 𨆥 𨆦 𨆧 𨆨 𨆩 𨆪 𨆫 𨆬 𨆭 𨆮 𨆯 𨆰 𨆱 𨆲 𨆳 𨆴 𨆵 𨆶 𨆷 𨆸 𨆹 𨆺 𨆻 𨆼 𨆽 𨆾 𨆿 𨇀 𨇁 𨇂 𨇃 𨇄 𨇅 𨇆 𨇇 𨇈 𨇉 𨇊 𨇋 𨇌 𨇍 𨇎 𨇏 𨇐 𨇑 𨇒 𨇓 𨇔 𨇕 𨇖 𨇗 𨇘 𨇙 𨇚 𨇛 𨇜 𨇝 𨇞 𨇟 𨇠 𨇡 𨇢 𨇣 𨇤 𨇥 𨇦 𨇧 𨇨 𨇩 𨇪 𨇫 𨇬 𨇭 𨇮 𨇯 𨇰 𨇱 𨇲 𨇳 𨇴 𨇵 𨇶 𨇷 𨇸 𨇹 𨇺 𨇻 𨇼 𨇽 𨇾 𨇿</t>
        </is>
      </c>
      <c r="P648" s="37" t="inlineStr">
        <is>
          <t>𨄀 𨄁 𨄂 𨄃 𨄄 𨄅 𨄆 𨄇 𨄈 𨄉 𨄊 𨄋 𨄌 𨄍 𨄎 𨄏 𨄐 𨄑 𨄒 𨄓 𨄔 𨄕 𨄖 𨄗 𨄘 𨄙 𨄚 𨄛 𨄜 𨄝 𨄞 𨄟 𨄠 𨄡 𨄢 𨄣 𨄤 𨄥 𨄦 𨄧 𨄨 𨄩 𨄪 𨄫 𨄬 𨄭 𨄮 𨄯 𨄰 𨄱 𨄲 𨄳 𨄴 𨄵 𨄶 𨄷 𨄸 𨄹 𨄺 𨄻 𨄼 𨄽 𨄾 𨄿 𨅀 𨅁 𨅂 𨅃 𨅄 𨅅 𨅆 𨅇 𨅈 𨅉 𨅊 𨅋 𨅌 𨅍 𨅎 𨅏 𨅐 𨅑 𨅒 𨅓 𨅔 𨅕 𨅖 𨅗 𨅘 𨅙 𨅚 𨅛 𨅜 𨅝 𨅞 𨅟 𨅠 𨅡 𨅢 𨅣 𨅤 𨅥 𨅦 𨅧 𨅨 𨅩 𨅪 𨅫 𨅬 𨅭 𨅮 𨅯 𨅰 𨅱 𨅲 𨅳 𨅴 𨅵 𨅶 𨅷 𨅸 𨅹 𨅺 𨅻 𨅼 𨅽 𨅾 𨅿 𨆀 𨆁 𨆂 𨆃 𨆄 𨆅 𨆆 𨆇 𨆈 𨆉 𨆊 𨆋 𨆌 𨆍 𨆎 𨆏 𨆐 𨆑 𨆒 𨆓 𨆔 𨆕 𨆖 𨆗 𨆘 𨆙 𨆚 𨆛 𨆜 𨆝 𨆞 𨆟 𨆠 𨆡 𨆢 𨆣 𨆤 𨆥 𨆦 𨆧 𨆨 𨆩 𨆪 𨆫 𨆬 𨆭 𨆮 𨆯 𨆰 𨆱 𨆲 𨆳 𨆴 𨆵 𨆶 𨆷 𨆸 𨆹 𨆺 𨆻 𨆼 𨆽 𨆾 𨆿 𨇀 𨇁 𨇂 𨇃 𨇄 𨇅 𨇆 𨇇 𨇈 𨇉 𨇊 𨇋 𨇌 𨇍 𨇎 𨇏 𨇐 𨇑 𨇒 𨇓 𨇔 𨇕 𨇖 𨇗 𨇘 𨇙 𨇚 𨇛 𨇜 𨇝 𨇞 𨇟 𨇠 𨇡 𨇢 𨇣 𨇤 𨇥 𨇦 𨇧 𨇨 𨇩 𨇪 𨇫 𨇬 𨇭 𨇮 𨇯 𨇰 𨇱 𨇲 𨇳 𨇴 𨇵 𨇶 𨇷 𨇸 𨇹 𨇺 𨇻 𨇼 𨇽 𨇾 𨇿</t>
        </is>
      </c>
      <c r="Q648" s="38" t="inlineStr">
        <is>
          <t>𨄀 𨄁 𨄂 𨄃 𨄄 𨄅 𨄆 𨄇 𨄈 𨄉 𨄊 𨄋 𨄌 𨄍 𨄎 𨄏 𨄐 𨄑 𨄒 𨄓 𨄔 𨄕 𨄖 𨄗 𨄘 𨄙 𨄚 𨄛 𨄜 𨄝 𨄞 𨄟 𨄠 𨄡 𨄢 𨄣 𨄤 𨄥 𨄦 𨄧 𨄨 𨄩 𨄪 𨄫 𨄬 𨄭 𨄮 𨄯 𨄰 𨄱 𨄲 𨄳 𨄴 𨄵 𨄶 𨄷 𨄸 𨄹 𨄺 𨄻 𨄼 𨄽 𨄾 𨄿 𨅀 𨅁 𨅂 𨅃 𨅄 𨅅 𨅆 𨅇 𨅈 𨅉 𨅊 𨅋 𨅌 𨅍 𨅎 𨅏 𨅐 𨅑 𨅒 𨅓 𨅔 𨅕 𨅖 𨅗 𨅘 𨅙 𨅚 𨅛 𨅜 𨅝 𨅞 𨅟 𨅠 𨅡 𨅢 𨅣 𨅤 𨅥 𨅦 𨅧 𨅨 𨅩 𨅪 𨅫 𨅬 𨅭 𨅮 𨅯 𨅰 𨅱 𨅲 𨅳 𨅴 𨅵 𨅶 𨅷 𨅸 𨅹 𨅺 𨅻 𨅼 𨅽 𨅾 𨅿 𨆀 𨆁 𨆂 𨆃 𨆄 𨆅 𨆆 𨆇 𨆈 𨆉 𨆊 𨆋 𨆌 𨆍 𨆎 𨆏 𨆐 𨆑 𨆒 𨆓 𨆔 𨆕 𨆖 𨆗 𨆘 𨆙 𨆚 𨆛 𨆜 𨆝 𨆞 𨆟 𨆠 𨆡 𨆢 𨆣 𨆤 𨆥 𨆦 𨆧 𨆨 𨆩 𨆪 𨆫 𨆬 𨆭 𨆮 𨆯 𨆰 𨆱 𨆲 𨆳 𨆴 𨆵 𨆶 𨆷 𨆸 𨆹 𨆺 𨆻 𨆼 𨆽 𨆾 𨆿 𨇀 𨇁 𨇂 𨇃 𨇄 𨇅 𨇆 𨇇 𨇈 𨇉 𨇊 𨇋 𨇌 𨇍 𨇎 𨇏 𨇐 𨇑 𨇒 𨇓 𨇔 𨇕 𨇖 𨇗 𨇘 𨇙 𨇚 𨇛 𨇜 𨇝 𨇞 𨇟 𨇠 𨇡 𨇢 𨇣 𨇤 𨇥 𨇦 𨇧 𨇨 𨇩 𨇪 𨇫 𨇬 𨇭 𨇮 𨇯 𨇰 𨇱 𨇲 𨇳 𨇴 𨇵 𨇶 𨇷 𨇸 𨇹 𨇺 𨇻 𨇼 𨇽 𨇾 𨇿</t>
        </is>
      </c>
      <c r="R648" s="43" t="inlineStr">
        <is>
          <t>𨅔 𨅝</t>
        </is>
      </c>
      <c r="S648" s="40" t="n"/>
      <c r="V648" s="14">
        <f>(LEN(O648)+1)/2</f>
        <v/>
      </c>
      <c r="W648" s="14">
        <f>ROUNDDOWN((LEN(P648)+1)/2,0)</f>
        <v/>
      </c>
      <c r="X648" s="14">
        <f>ROUNDDOWN((LEN(Q648)+1)/2,0)</f>
        <v/>
      </c>
      <c r="Y648" s="14">
        <f>ROUNDDOWN((LEN(R648)+1)/2,0)</f>
        <v/>
      </c>
      <c r="Z648" s="14">
        <f>ROUNDDOWN((LEN(S648)+1)/2,0)</f>
        <v/>
      </c>
      <c r="AA648" s="56" t="n">
        <v>46150.55885293805</v>
      </c>
    </row>
    <row r="649" ht="102" customHeight="1">
      <c r="B649" s="46" t="inlineStr">
        <is>
          <t>U+28300-U+283FF</t>
        </is>
      </c>
      <c r="C649" s="46" t="inlineStr">
        <is>
          <t>CJK Unified Ideographs Extension B</t>
        </is>
      </c>
      <c r="D649" s="54">
        <f>HEX2DEC(MID(B649,3,FIND("-",E649)-3))</f>
        <v/>
      </c>
      <c r="E649" s="46" t="inlineStr">
        <is>
          <t>U+20000-U+2A6DF</t>
        </is>
      </c>
      <c r="F649" s="12" t="n">
        <v>4</v>
      </c>
      <c r="J649" s="19">
        <f>ROUNDDOWN(W649,0)/$V649</f>
        <v/>
      </c>
      <c r="K649" s="19">
        <f>ROUNDDOWN(X649,0)/$V649</f>
        <v/>
      </c>
      <c r="L649" s="19">
        <f>ROUNDDOWN(Y649,0)/$V649</f>
        <v/>
      </c>
      <c r="M649" s="19">
        <f>ROUNDDOWN(Z649,0)/$V649</f>
        <v/>
      </c>
      <c r="O649" s="36" t="inlineStr">
        <is>
          <t>𨈀 𨈁 𨈂 𨈃 𨈄 𨈅 𨈆 𨈇 𨈈 𨈉 𨈊 𨈋 𨈌 𨈍 𨈎 𨈏 𨈐 𨈑 𨈒 𨈓 𨈔 𨈕 𨈖 𨈗 𨈘 𨈙 𨈚 𨈛 𨈜 𨈝 𨈞 𨈟 𨈠 𨈡 𨈢 𨈣 𨈤 𨈥 𨈦 𨈧 𨈨 𨈩 𨈪 𨈫 𨈬 𨈭 𨈮 𨈯 𨈰 𨈱 𨈲 𨈳 𨈴 𨈵 𨈶 𨈷 𨈸 𨈹 𨈺 𨈻 𨈼 𨈽 𨈾 𨈿 𨉀 𨉁 𨉂 𨉃 𨉄 𨉅 𨉆 𨉇 𨉈 𨉉 𨉊 𨉋 𨉌 𨉍 𨉎 𨉏 𨉐 𨉑 𨉒 𨉓 𨉔 𨉕 𨉖 𨉗 𨉘 𨉙 𨉚 𨉛 𨉜 𨉝 𨉞 𨉟 𨉠 𨉡 𨉢 𨉣 𨉤 𨉥 𨉦 𨉧 𨉨 𨉩 𨉪 𨉫 𨉬 𨉭 𨉮 𨉯 𨉰 𨉱 𨉲 𨉳 𨉴 𨉵 𨉶 𨉷 𨉸 𨉹 𨉺 𨉻 𨉼 𨉽 𨉾 𨉿 𨊀 𨊁 𨊂 𨊃 𨊄 𨊅 𨊆 𨊇 𨊈 𨊉 𨊊 𨊋 𨊌 𨊍 𨊎 𨊏 𨊐 𨊑 𨊒 𨊓 𨊔 𨊕 𨊖 𨊗 𨊘 𨊙 𨊚 𨊛 𨊜 𨊝 𨊞 𨊟 𨊠 𨊡 𨊢 𨊣 𨊤 𨊥 𨊦 𨊧 𨊨 𨊩 𨊪 𨊫 𨊬 𨊭 𨊮 𨊯 𨊰 𨊱 𨊲 𨊳 𨊴 𨊵 𨊶 𨊷 𨊸 𨊹 𨊺 𨊻 𨊼 𨊽 𨊾 𨊿 𨋀 𨋁 𨋂 𨋃 𨋄 𨋅 𨋆 𨋇 𨋈 𨋉 𨋊 𨋋 𨋌 𨋍 𨋎 𨋏 𨋐 𨋑 𨋒 𨋓 𨋔 𨋕 𨋖 𨋗 𨋘 𨋙 𨋚 𨋛 𨋜 𨋝 𨋞 𨋟 𨋠 𨋡 𨋢 𨋣 𨋤 𨋥 𨋦 𨋧 𨋨 𨋩 𨋪 𨋫 𨋬 𨋭 𨋮 𨋯 𨋰 𨋱 𨋲 𨋳 𨋴 𨋵 𨋶 𨋷 𨋸 𨋹 𨋺 𨋻 𨋼 𨋽 𨋾 𨋿</t>
        </is>
      </c>
      <c r="P649" s="37" t="inlineStr">
        <is>
          <t>𨈀 𨈁 𨈂 𨈃 𨈄 𨈅 𨈆 𨈇 𨈈 𨈉 𨈊 𨈋 𨈌 𨈍 𨈎 𨈏 𨈐 𨈑 𨈒 𨈓 𨈔 𨈕 𨈖 𨈗 𨈘 𨈙 𨈚 𨈛 𨈜 𨈝 𨈞 𨈟 𨈠 𨈡 𨈢 𨈣 𨈤 𨈥 𨈦 𨈧 𨈨 𨈩 𨈪 𨈫 𨈬 𨈭 𨈮 𨈯 𨈰 𨈱 𨈲 𨈳 𨈴 𨈵 𨈶 𨈷 𨈸 𨈹 𨈺 𨈻 𨈼 𨈽 𨈾 𨈿 𨉀 𨉁 𨉂 𨉃 𨉄 𨉅 𨉆 𨉇 𨉈 𨉉 𨉊 𨉋 𨉌 𨉍 𨉎 𨉏 𨉐 𨉑 𨉒 𨉓 𨉔 𨉕 𨉖 𨉗 𨉘 𨉙 𨉚 𨉛 𨉜 𨉝 𨉞 𨉟 𨉠 𨉡 𨉢 𨉣 𨉤 𨉥 𨉦 𨉧 𨉨 𨉩 𨉪 𨉫 𨉬 𨉭 𨉮 𨉯 𨉰 𨉱 𨉲 𨉳 𨉴 𨉵 𨉶 𨉷 𨉸 𨉹 𨉺 𨉻 𨉼 𨉽 𨉾 𨉿 𨊀 𨊁 𨊂 𨊃 𨊄 𨊅 𨊆 𨊇 𨊈 𨊉 𨊊 𨊋 𨊌 𨊍 𨊎 𨊏 𨊐 𨊑 𨊒 𨊓 𨊔 𨊕 𨊖 𨊗 𨊘 𨊙 𨊚 𨊛 𨊜 𨊝 𨊞 𨊟 𨊠 𨊡 𨊢 𨊣 𨊤 𨊥 𨊦 𨊧 𨊨 𨊩 𨊪 𨊫 𨊬 𨊭 𨊮 𨊯 𨊰 𨊱 𨊲 𨊳 𨊴 𨊵 𨊶 𨊷 𨊸 𨊹 𨊺 𨊻 𨊼 𨊽 𨊾 𨊿 𨋀 𨋁 𨋂 𨋃 𨋄 𨋅 𨋆 𨋇 𨋈 𨋉 𨋊 𨋋 𨋌 𨋍 𨋎 𨋏 𨋐 𨋑 𨋒 𨋓 𨋔 𨋕 𨋖 𨋗 𨋘 𨋙 𨋚 𨋛 𨋜 𨋝 𨋞 𨋟 𨋠 𨋡 𨋢 𨋣 𨋤 𨋥 𨋦 𨋧 𨋨 𨋩 𨋪 𨋫 𨋬 𨋭 𨋮 𨋯 𨋰 𨋱 𨋲 𨋳 𨋴 𨋵 𨋶 𨋷 𨋸 𨋹 𨋺 𨋻 𨋼 𨋽 𨋾 𨋿</t>
        </is>
      </c>
      <c r="Q649" s="38" t="inlineStr">
        <is>
          <t>𨈀 𨈁 𨈂 𨈃 𨈄 𨈅 𨈆 𨈇 𨈈 𨈉 𨈊 𨈋 𨈌 𨈍 𨈎 𨈏 𨈐 𨈑 𨈒 𨈓 𨈔 𨈕 𨈖 𨈗 𨈘 𨈙 𨈚 𨈛 𨈜 𨈝 𨈞 𨈟 𨈠 𨈡 𨈢 𨈣 𨈤 𨈥 𨈦 𨈧 𨈨 𨈩 𨈪 𨈫 𨈬 𨈭 𨈮 𨈯 𨈰 𨈱 𨈲 𨈳 𨈴 𨈵 𨈶 𨈷 𨈸 𨈹 𨈺 𨈻 𨈼 𨈽 𨈾 𨈿 𨉀 𨉁 𨉂 𨉃 𨉄 𨉅 𨉆 𨉇 𨉈 𨉉 𨉊 𨉋 𨉌 𨉍 𨉎 𨉏 𨉐 𨉑 𨉒 𨉓 𨉔 𨉕 𨉖 𨉗 𨉘 𨉙 𨉚 𨉛 𨉜 𨉝 𨉞 𨉟 𨉠 𨉡 𨉢 𨉣 𨉤 𨉥 𨉦 𨉧 𨉨 𨉩 𨉪 𨉫 𨉬 𨉭 𨉮 𨉯 𨉰 𨉱 𨉲 𨉳 𨉴 𨉵 𨉶 𨉷 𨉸 𨉹 𨉺 𨉻 𨉼 𨉽 𨉾 𨉿 𨊀 𨊁 𨊂 𨊃 𨊄 𨊅 𨊆 𨊇 𨊈 𨊉 𨊊 𨊋 𨊌 𨊍 𨊎 𨊏 𨊐 𨊑 𨊒 𨊓 𨊔 𨊕 𨊖 𨊗 𨊘 𨊙 𨊚 𨊛 𨊜 𨊝 𨊞 𨊟 𨊠 𨊡 𨊢 𨊣 𨊤 𨊥 𨊦 𨊧 𨊨 𨊩 𨊪 𨊫 𨊬 𨊭 𨊮 𨊯 𨊰 𨊱 𨊲 𨊳 𨊴 𨊵 𨊶 𨊷 𨊸 𨊹 𨊺 𨊻 𨊼 𨊽 𨊾 𨊿 𨋀 𨋁 𨋂 𨋃 𨋄 𨋅 𨋆 𨋇 𨋈 𨋉 𨋊 𨋋 𨋌 𨋍 𨋎 𨋏 𨋐 𨋑 𨋒 𨋓 𨋔 𨋕 𨋖 𨋗 𨋘 𨋙 𨋚 𨋛 𨋜 𨋝 𨋞 𨋟 𨋠 𨋡 𨋢 𨋣 𨋤 𨋥 𨋦 𨋧 𨋨 𨋩 𨋪 𨋫 𨋬 𨋭 𨋮 𨋯 𨋰 𨋱 𨋲 𨋳 𨋴 𨋵 𨋶 𨋷 𨋸 𨋹 𨋺 𨋻 𨋼 𨋽 𨋾 𨋿</t>
        </is>
      </c>
      <c r="R649" s="43" t="inlineStr">
        <is>
          <t>𨈇 𨊂 𨋍 𨋢 𨋳</t>
        </is>
      </c>
      <c r="S649" s="40" t="n"/>
      <c r="V649" s="14">
        <f>(LEN(O649)+1)/2</f>
        <v/>
      </c>
      <c r="W649" s="14">
        <f>ROUNDDOWN((LEN(P649)+1)/2,0)</f>
        <v/>
      </c>
      <c r="X649" s="14">
        <f>ROUNDDOWN((LEN(Q649)+1)/2,0)</f>
        <v/>
      </c>
      <c r="Y649" s="14">
        <f>ROUNDDOWN((LEN(R649)+1)/2,0)</f>
        <v/>
      </c>
      <c r="Z649" s="14">
        <f>ROUNDDOWN((LEN(S649)+1)/2,0)</f>
        <v/>
      </c>
      <c r="AA649" s="56" t="n">
        <v>46150.55885404713</v>
      </c>
    </row>
    <row r="650" ht="102" customHeight="1">
      <c r="B650" s="46" t="inlineStr">
        <is>
          <t>U+28400-U+284FF</t>
        </is>
      </c>
      <c r="C650" s="46" t="inlineStr">
        <is>
          <t>CJK Unified Ideographs Extension B</t>
        </is>
      </c>
      <c r="D650" s="54">
        <f>HEX2DEC(MID(B650,3,FIND("-",E650)-3))</f>
        <v/>
      </c>
      <c r="E650" s="46" t="inlineStr">
        <is>
          <t>U+20000-U+2A6DF</t>
        </is>
      </c>
      <c r="F650" s="12" t="n">
        <v>4</v>
      </c>
      <c r="J650" s="19">
        <f>ROUNDDOWN(W650,0)/$V650</f>
        <v/>
      </c>
      <c r="K650" s="19">
        <f>ROUNDDOWN(X650,0)/$V650</f>
        <v/>
      </c>
      <c r="L650" s="19">
        <f>ROUNDDOWN(Y650,0)/$V650</f>
        <v/>
      </c>
      <c r="M650" s="19">
        <f>ROUNDDOWN(Z650,0)/$V650</f>
        <v/>
      </c>
      <c r="O650" s="36" t="inlineStr">
        <is>
          <t>𨌀 𨌁 𨌂 𨌃 𨌄 𨌅 𨌆 𨌇 𨌈 𨌉 𨌊 𨌋 𨌌 𨌍 𨌎 𨌏 𨌐 𨌑 𨌒 𨌓 𨌔 𨌕 𨌖 𨌗 𨌘 𨌙 𨌚 𨌛 𨌜 𨌝 𨌞 𨌟 𨌠 𨌡 𨌢 𨌣 𨌤 𨌥 𨌦 𨌧 𨌨 𨌩 𨌪 𨌫 𨌬 𨌭 𨌮 𨌯 𨌰 𨌱 𨌲 𨌳 𨌴 𨌵 𨌶 𨌷 𨌸 𨌹 𨌺 𨌻 𨌼 𨌽 𨌾 𨌿 𨍀 𨍁 𨍂 𨍃 𨍄 𨍅 𨍆 𨍇 𨍈 𨍉 𨍊 𨍋 𨍌 𨍍 𨍎 𨍏 𨍐 𨍑 𨍒 𨍓 𨍔 𨍕 𨍖 𨍗 𨍘 𨍙 𨍚 𨍛 𨍜 𨍝 𨍞 𨍟 𨍠 𨍡 𨍢 𨍣 𨍤 𨍥 𨍦 𨍧 𨍨 𨍩 𨍪 𨍫 𨍬 𨍭 𨍮 𨍯 𨍰 𨍱 𨍲 𨍳 𨍴 𨍵 𨍶 𨍷 𨍸 𨍹 𨍺 𨍻 𨍼 𨍽 𨍾 𨍿 𨎀 𨎁 𨎂 𨎃 𨎄 𨎅 𨎆 𨎇 𨎈 𨎉 𨎊 𨎋 𨎌 𨎍 𨎎 𨎏 𨎐 𨎑 𨎒 𨎓 𨎔 𨎕 𨎖 𨎗 𨎘 𨎙 𨎚 𨎛 𨎜 𨎝 𨎞 𨎟 𨎠 𨎡 𨎢 𨎣 𨎤 𨎥 𨎦 𨎧 𨎨 𨎩 𨎪 𨎫 𨎬 𨎭 𨎮 𨎯 𨎰 𨎱 𨎲 𨎳 𨎴 𨎵 𨎶 𨎷 𨎸 𨎹 𨎺 𨎻 𨎼 𨎽 𨎾 𨎿 𨏀 𨏁 𨏂 𨏃 𨏄 𨏅 𨏆 𨏇 𨏈 𨏉 𨏊 𨏋 𨏌 𨏍 𨏎 𨏏 𨏐 𨏑 𨏒 𨏓 𨏔 𨏕 𨏖 𨏗 𨏘 𨏙 𨏚 𨏛 𨏜 𨏝 𨏞 𨏟 𨏠 𨏡 𨏢 𨏣 𨏤 𨏥 𨏦 𨏧 𨏨 𨏩 𨏪 𨏫 𨏬 𨏭 𨏮 𨏯 𨏰 𨏱 𨏲 𨏳 𨏴 𨏵 𨏶 𨏷 𨏸 𨏹 𨏺 𨏻 𨏼 𨏽 𨏾 𨏿</t>
        </is>
      </c>
      <c r="P650" s="37" t="inlineStr">
        <is>
          <t>𨌀 𨌁 𨌂 𨌃 𨌄 𨌅 𨌆 𨌇 𨌈 𨌉 𨌊 𨌋 𨌌 𨌍 𨌎 𨌏 𨌐 𨌑 𨌒 𨌓 𨌔 𨌕 𨌖 𨌗 𨌘 𨌙 𨌚 𨌛 𨌜 𨌝 𨌞 𨌟 𨌠 𨌡 𨌢 𨌣 𨌤 𨌥 𨌦 𨌧 𨌨 𨌩 𨌪 𨌫 𨌬 𨌭 𨌮 𨌯 𨌰 𨌱 𨌲 𨌳 𨌴 𨌵 𨌶 𨌷 𨌸 𨌹 𨌺 𨌻 𨌼 𨌽 𨌾 𨌿 𨍀 𨍁 𨍂 𨍃 𨍄 𨍅 𨍆 𨍇 𨍈 𨍉 𨍊 𨍋 𨍌 𨍍 𨍎 𨍏 𨍐 𨍑 𨍒 𨍓 𨍔 𨍕 𨍖 𨍗 𨍘 𨍙 𨍚 𨍛 𨍜 𨍝 𨍞 𨍟 𨍠 𨍡 𨍢 𨍣 𨍤 𨍥 𨍦 𨍧 𨍨 𨍩 𨍪 𨍫 𨍬 𨍭 𨍮 𨍯 𨍰 𨍱 𨍲 𨍳 𨍴 𨍵 𨍶 𨍷 𨍸 𨍹 𨍺 𨍻 𨍼 𨍽 𨍾 𨍿 𨎀 𨎁 𨎂 𨎃 𨎄 𨎅 𨎆 𨎇 𨎈 𨎉 𨎊 𨎋 𨎌 𨎍 𨎎 𨎏 𨎐 𨎑 𨎒 𨎓 𨎔 𨎕 𨎖 𨎗 𨎘 𨎙 𨎚 𨎛 𨎜 𨎝 𨎞 𨎟 𨎠 𨎡 𨎢 𨎣 𨎤 𨎥 𨎦 𨎧 𨎨 𨎩 𨎪 𨎫 𨎬 𨎭 𨎮 𨎯 𨎰 𨎱 𨎲 𨎳 𨎴 𨎵 𨎶 𨎷 𨎸 𨎹 𨎺 𨎻 𨎼 𨎽 𨎾 𨎿 𨏀 𨏁 𨏂 𨏃 𨏄 𨏅 𨏆 𨏇 𨏈 𨏉 𨏊 𨏋 𨏌 𨏍 𨏎 𨏏 𨏐 𨏑 𨏒 𨏓 𨏔 𨏕 𨏖 𨏗 𨏘 𨏙 𨏚 𨏛 𨏜 𨏝 𨏞 𨏟 𨏠 𨏡 𨏢 𨏣 𨏤 𨏥 𨏦 𨏧 𨏨 𨏩 𨏪 𨏫 𨏬 𨏭 𨏮 𨏯 𨏰 𨏱 𨏲 𨏳 𨏴 𨏵 𨏶 𨏷 𨏸 𨏹 𨏺 𨏻 𨏼 𨏽 𨏾 𨏿</t>
        </is>
      </c>
      <c r="Q650" s="38" t="inlineStr">
        <is>
          <t>𨌀 𨌁 𨌂 𨌃 𨌄 𨌅 𨌆 𨌇 𨌈 𨌉 𨌊 𨌋 𨌌 𨌍 𨌎 𨌏 𨌐 𨌑 𨌒 𨌓 𨌔 𨌕 𨌖 𨌗 𨌘 𨌙 𨌚 𨌛 𨌜 𨌝 𨌞 𨌟 𨌠 𨌡 𨌢 𨌣 𨌤 𨌥 𨌦 𨌧 𨌨 𨌩 𨌪 𨌫 𨌬 𨌭 𨌮 𨌯 𨌰 𨌱 𨌲 𨌳 𨌴 𨌵 𨌶 𨌷 𨌸 𨌹 𨌺 𨌻 𨌼 𨌽 𨌾 𨌿 𨍀 𨍁 𨍂 𨍃 𨍄 𨍅 𨍆 𨍇 𨍈 𨍉 𨍊 𨍋 𨍌 𨍍 𨍎 𨍏 𨍐 𨍑 𨍒 𨍓 𨍔 𨍕 𨍖 𨍗 𨍘 𨍙 𨍚 𨍛 𨍜 𨍝 𨍞 𨍟 𨍠 𨍡 𨍢 𨍣 𨍤 𨍥 𨍦 𨍧 𨍨 𨍩 𨍪 𨍫 𨍬 𨍭 𨍮 𨍯 𨍰 𨍱 𨍲 𨍳 𨍴 𨍵 𨍶 𨍷 𨍸 𨍹 𨍺 𨍻 𨍼 𨍽 𨍾 𨍿 𨎀 𨎁 𨎂 𨎃 𨎄 𨎅 𨎆 𨎇 𨎈 𨎉 𨎊 𨎋 𨎌 𨎍 𨎎 𨎏 𨎐 𨎑 𨎒 𨎓 𨎔 𨎕 𨎖 𨎗 𨎘 𨎙 𨎚 𨎛 𨎜 𨎝 𨎞 𨎟 𨎠 𨎡 𨎢 𨎣 𨎤 𨎥 𨎦 𨎧 𨎨 𨎩 𨎪 𨎫 𨎬 𨎭 𨎮 𨎯 𨎰 𨎱 𨎲 𨎳 𨎴 𨎵 𨎶 𨎷 𨎸 𨎹 𨎺 𨎻 𨎼 𨎽 𨎾 𨎿 𨏀 𨏁 𨏂 𨏃 𨏄 𨏅 𨏆 𨏇 𨏈 𨏉 𨏊 𨏋 𨏌 𨏍 𨏎 𨏏 𨏐 𨏑 𨏒 𨏓 𨏔 𨏕 𨏖 𨏗 𨏘 𨏙 𨏚 𨏛 𨏜 𨏝 𨏞 𨏟 𨏠 𨏡 𨏢 𨏣 𨏤 𨏥 𨏦 𨏧 𨏨 𨏩 𨏪 𨏫 𨏬 𨏭 𨏮 𨏯 𨏰 𨏱 𨏲 𨏳 𨏴 𨏵 𨏶 𨏷 𨏸 𨏹 𨏺 𨏻 𨏼 𨏽 𨏾 𨏿</t>
        </is>
      </c>
      <c r="R650" s="43" t="inlineStr">
        <is>
          <t>𨍽 𨎊 𨏍</t>
        </is>
      </c>
      <c r="S650" s="40" t="n"/>
      <c r="V650" s="14">
        <f>(LEN(O650)+1)/2</f>
        <v/>
      </c>
      <c r="W650" s="14">
        <f>ROUNDDOWN((LEN(P650)+1)/2,0)</f>
        <v/>
      </c>
      <c r="X650" s="14">
        <f>ROUNDDOWN((LEN(Q650)+1)/2,0)</f>
        <v/>
      </c>
      <c r="Y650" s="14">
        <f>ROUNDDOWN((LEN(R650)+1)/2,0)</f>
        <v/>
      </c>
      <c r="Z650" s="14">
        <f>ROUNDDOWN((LEN(S650)+1)/2,0)</f>
        <v/>
      </c>
      <c r="AA650" s="56" t="n">
        <v>46150.55885513504</v>
      </c>
    </row>
    <row r="651" ht="102" customHeight="1">
      <c r="B651" s="46" t="inlineStr">
        <is>
          <t>U+28500-U+285FF</t>
        </is>
      </c>
      <c r="C651" s="46" t="inlineStr">
        <is>
          <t>CJK Unified Ideographs Extension B</t>
        </is>
      </c>
      <c r="D651" s="54">
        <f>HEX2DEC(MID(B651,3,FIND("-",E651)-3))</f>
        <v/>
      </c>
      <c r="E651" s="46" t="inlineStr">
        <is>
          <t>U+20000-U+2A6DF</t>
        </is>
      </c>
      <c r="F651" s="12" t="n">
        <v>4</v>
      </c>
      <c r="J651" s="19">
        <f>ROUNDDOWN(W651,0)/$V651</f>
        <v/>
      </c>
      <c r="K651" s="19">
        <f>ROUNDDOWN(X651,0)/$V651</f>
        <v/>
      </c>
      <c r="L651" s="19">
        <f>ROUNDDOWN(Y651,0)/$V651</f>
        <v/>
      </c>
      <c r="M651" s="19">
        <f>ROUNDDOWN(Z651,0)/$V651</f>
        <v/>
      </c>
      <c r="O651" s="36" t="inlineStr">
        <is>
          <t>𨐀 𨐁 𨐂 𨐃 𨐄 𨐅 𨐆 𨐇 𨐈 𨐉 𨐊 𨐋 𨐌 𨐍 𨐎 𨐏 𨐐 𨐑 𨐒 𨐓 𨐔 𨐕 𨐖 𨐗 𨐘 𨐙 𨐚 𨐛 𨐜 𨐝 𨐞 𨐟 𨐠 𨐡 𨐢 𨐣 𨐤 𨐥 𨐦 𨐧 𨐨 𨐩 𨐪 𨐫 𨐬 𨐭 𨐮 𨐯 𨐰 𨐱 𨐲 𨐳 𨐴 𨐵 𨐶 𨐷 𨐸 𨐹 𨐺 𨐻 𨐼 𨐽 𨐾 𨐿 𨑀 𨑁 𨑂 𨑃 𨑄 𨑅 𨑆 𨑇 𨑈 𨑉 𨑊 𨑋 𨑌 𨑍 𨑎 𨑏 𨑐 𨑑 𨑒 𨑓 𨑔 𨑕 𨑖 𨑗 𨑘 𨑙 𨑚 𨑛 𨑜 𨑝 𨑞 𨑟 𨑠 𨑡 𨑢 𨑣 𨑤 𨑥 𨑦 𨑧 𨑨 𨑩 𨑪 𨑫 𨑬 𨑭 𨑮 𨑯 𨑰 𨑱 𨑲 𨑳 𨑴 𨑵 𨑶 𨑷 𨑸 𨑹 𨑺 𨑻 𨑼 𨑽 𨑾 𨑿 𨒀 𨒁 𨒂 𨒃 𨒄 𨒅 𨒆 𨒇 𨒈 𨒉 𨒊 𨒋 𨒌 𨒍 𨒎 𨒏 𨒐 𨒑 𨒒 𨒓 𨒔 𨒕 𨒖 𨒗 𨒘 𨒙 𨒚 𨒛 𨒜 𨒝 𨒞 𨒟 𨒠 𨒡 𨒢 𨒣 𨒤 𨒥 𨒦 𨒧 𨒨 𨒩 𨒪 𨒫 𨒬 𨒭 𨒮 𨒯 𨒰 𨒱 𨒲 𨒳 𨒴 𨒵 𨒶 𨒷 𨒸 𨒹 𨒺 𨒻 𨒼 𨒽 𨒾 𨒿 𨓀 𨓁 𨓂 𨓃 𨓄 𨓅 𨓆 𨓇 𨓈 𨓉 𨓊 𨓋 𨓌 𨓍 𨓎 𨓏 𨓐 𨓑 𨓒 𨓓 𨓔 𨓕 𨓖 𨓗 𨓘 𨓙 𨓚 𨓛 𨓜 𨓝 𨓞 𨓟 𨓠 𨓡 𨓢 𨓣 𨓤 𨓥 𨓦 𨓧 𨓨 𨓩 𨓪 𨓫 𨓬 𨓭 𨓮 𨓯 𨓰 𨓱 𨓲 𨓳 𨓴 𨓵 𨓶 𨓷 𨓸 𨓹 𨓺 𨓻 𨓼 𨓽 𨓾 𨓿</t>
        </is>
      </c>
      <c r="P651" s="37" t="inlineStr">
        <is>
          <t>𨐀 𨐁 𨐂 𨐃 𨐄 𨐅 𨐆 𨐇 𨐈 𨐉 𨐊 𨐋 𨐌 𨐍 𨐎 𨐏 𨐐 𨐑 𨐒 𨐓 𨐔 𨐕 𨐖 𨐗 𨐘 𨐙 𨐚 𨐛 𨐜 𨐝 𨐞 𨐟 𨐠 𨐡 𨐢 𨐣 𨐤 𨐥 𨐦 𨐧 𨐨 𨐩 𨐪 𨐫 𨐬 𨐭 𨐮 𨐯 𨐰 𨐱 𨐲 𨐳 𨐴 𨐵 𨐶 𨐷 𨐸 𨐹 𨐺 𨐻 𨐼 𨐽 𨐾 𨐿 𨑀 𨑁 𨑂 𨑃 𨑄 𨑅 𨑆 𨑇 𨑈 𨑉 𨑊 𨑋 𨑌 𨑍 𨑎 𨑏 𨑐 𨑑 𨑒 𨑓 𨑔 𨑕 𨑖 𨑗 𨑘 𨑙 𨑚 𨑛 𨑜 𨑝 𨑞 𨑟 𨑠 𨑡 𨑢 𨑣 𨑤 𨑥 𨑦 𨑧 𨑨 𨑩 𨑪 𨑫 𨑬 𨑭 𨑮 𨑯 𨑰 𨑱 𨑲 𨑳 𨑴 𨑵 𨑶 𨑷 𨑸 𨑹 𨑺 𨑻 𨑼 𨑽 𨑾 𨑿 𨒀 𨒁 𨒂 𨒃 𨒄 𨒅 𨒆 𨒇 𨒈 𨒉 𨒊 𨒋 𨒌 𨒍 𨒎 𨒏 𨒐 𨒑 𨒒 𨒓 𨒔 𨒕 𨒖 𨒗 𨒘 𨒙 𨒚 𨒛 𨒜 𨒝 𨒞 𨒟 𨒠 𨒡 𨒢 𨒣 𨒤 𨒥 𨒦 𨒧 𨒨 𨒩 𨒪 𨒫 𨒬 𨒭 𨒮 𨒯 𨒰 𨒱 𨒲 𨒳 𨒴 𨒵 𨒶 𨒷 𨒸 𨒹 𨒺 𨒻 𨒼 𨒽 𨒾 𨒿 𨓀 𨓁 𨓂 𨓃 𨓄 𨓅 𨓆 𨓇 𨓈 𨓉 𨓊 𨓋 𨓌 𨓍 𨓎 𨓏 𨓐 𨓑 𨓒 𨓓 𨓔 𨓕 𨓖 𨓗 𨓘 𨓙 𨓚 𨓛 𨓜 𨓝 𨓞 𨓟 𨓠 𨓡 𨓢 𨓣 𨓤 𨓥 𨓦 𨓧 𨓨 𨓩 𨓪 𨓫 𨓬 𨓭 𨓮 𨓯 𨓰 𨓱 𨓲 𨓳 𨓴 𨓵 𨓶 𨓷 𨓸 𨓹 𨓺 𨓻 𨓼 𨓽 𨓾 𨓿</t>
        </is>
      </c>
      <c r="Q651" s="38" t="inlineStr">
        <is>
          <t>𨐀 𨐁 𨐂 𨐃 𨐄 𨐅 𨐆 𨐇 𨐈 𨐉 𨐊 𨐋 𨐌 𨐍 𨐎 𨐏 𨐐 𨐑 𨐒 𨐓 𨐔 𨐕 𨐖 𨐗 𨐘 𨐙 𨐚 𨐛 𨐜 𨐝 𨐞 𨐟 𨐠 𨐡 𨐢 𨐣 𨐤 𨐥 𨐦 𨐧 𨐨 𨐩 𨐪 𨐫 𨐬 𨐭 𨐮 𨐯 𨐰 𨐱 𨐲 𨐳 𨐴 𨐵 𨐶 𨐷 𨐸 𨐹 𨐺 𨐻 𨐼 𨐽 𨐾 𨐿 𨑀 𨑁 𨑂 𨑃 𨑄 𨑅 𨑆 𨑇 𨑈 𨑉 𨑊 𨑋 𨑌 𨑍 𨑎 𨑏 𨑐 𨑑 𨑒 𨑓 𨑔 𨑕 𨑖 𨑗 𨑘 𨑙 𨑚 𨑛 𨑜 𨑝 𨑞 𨑟 𨑠 𨑡 𨑢 𨑣 𨑤 𨑥 𨑦 𨑧 𨑨 𨑩 𨑪 𨑫 𨑬 𨑭 𨑮 𨑯 𨑰 𨑱 𨑲 𨑳 𨑴 𨑵 𨑶 𨑷 𨑸 𨑹 𨑺 𨑻 𨑼 𨑽 𨑾 𨑿 𨒀 𨒁 𨒂 𨒃 𨒄 𨒅 𨒆 𨒇 𨒈 𨒉 𨒊 𨒋 𨒌 𨒍 𨒎 𨒏 𨒐 𨒑 𨒒 𨒓 𨒔 𨒕 𨒖 𨒗 𨒘 𨒙 𨒚 𨒛 𨒜 𨒝 𨒞 𨒟 𨒠 𨒡 𨒢 𨒣 𨒤 𨒥 𨒦 𨒧 𨒨 𨒩 𨒪 𨒫 𨒬 𨒭 𨒮 𨒯 𨒰 𨒱 𨒲 𨒳 𨒴 𨒵 𨒶 𨒷 𨒸 𨒹 𨒺 𨒻 𨒼 𨒽 𨒾 𨒿 𨓀 𨓁 𨓂 𨓃 𨓄 𨓅 𨓆 𨓇 𨓈 𨓉 𨓊 𨓋 𨓌 𨓍 𨓎 𨓏 𨓐 𨓑 𨓒 𨓓 𨓔 𨓕 𨓖 𨓗 𨓘 𨓙 𨓚 𨓛 𨓜 𨓝 𨓞 𨓟 𨓠 𨓡 𨓢 𨓣 𨓤 𨓥 𨓦 𨓧 𨓨 𨓩 𨓪 𨓫 𨓬 𨓭 𨓮 𨓯 𨓰 𨓱 𨓲 𨓳 𨓴 𨓵 𨓶 𨓷 𨓸 𨓹 𨓺 𨓻 𨓼 𨓽 𨓾 𨓿</t>
        </is>
      </c>
      <c r="R651" s="43" t="inlineStr">
        <is>
          <t>𨐈 𨐌 𨑕 𨑨 𨒇</t>
        </is>
      </c>
      <c r="S651" s="40" t="n"/>
      <c r="V651" s="14">
        <f>(LEN(O651)+1)/2</f>
        <v/>
      </c>
      <c r="W651" s="14">
        <f>ROUNDDOWN((LEN(P651)+1)/2,0)</f>
        <v/>
      </c>
      <c r="X651" s="14">
        <f>ROUNDDOWN((LEN(Q651)+1)/2,0)</f>
        <v/>
      </c>
      <c r="Y651" s="14">
        <f>ROUNDDOWN((LEN(R651)+1)/2,0)</f>
        <v/>
      </c>
      <c r="Z651" s="14">
        <f>ROUNDDOWN((LEN(S651)+1)/2,0)</f>
        <v/>
      </c>
      <c r="AA651" s="56" t="n">
        <v>46150.55885622686</v>
      </c>
    </row>
    <row r="652" ht="102" customHeight="1">
      <c r="B652" s="46" t="inlineStr">
        <is>
          <t>U+28600-U+286FF</t>
        </is>
      </c>
      <c r="C652" s="46" t="inlineStr">
        <is>
          <t>CJK Unified Ideographs Extension B</t>
        </is>
      </c>
      <c r="D652" s="54">
        <f>HEX2DEC(MID(B652,3,FIND("-",E652)-3))</f>
        <v/>
      </c>
      <c r="E652" s="46" t="inlineStr">
        <is>
          <t>U+20000-U+2A6DF</t>
        </is>
      </c>
      <c r="F652" s="12" t="n">
        <v>4</v>
      </c>
      <c r="J652" s="19">
        <f>ROUNDDOWN(W652,0)/$V652</f>
        <v/>
      </c>
      <c r="K652" s="19">
        <f>ROUNDDOWN(X652,0)/$V652</f>
        <v/>
      </c>
      <c r="L652" s="19">
        <f>ROUNDDOWN(Y652,0)/$V652</f>
        <v/>
      </c>
      <c r="M652" s="19">
        <f>ROUNDDOWN(Z652,0)/$V652</f>
        <v/>
      </c>
      <c r="O652" s="36" t="inlineStr">
        <is>
          <t>𨔀 𨔁 𨔂 𨔃 𨔄 𨔅 𨔆 𨔇 𨔈 𨔉 𨔊 𨔋 𨔌 𨔍 𨔎 𨔏 𨔐 𨔑 𨔒 𨔓 𨔔 𨔕 𨔖 𨔗 𨔘 𨔙 𨔚 𨔛 𨔜 𨔝 𨔞 𨔟 𨔠 𨔡 𨔢 𨔣 𨔤 𨔥 𨔦 𨔧 𨔨 𨔩 𨔪 𨔫 𨔬 𨔭 𨔮 𨔯 𨔰 𨔱 𨔲 𨔳 𨔴 𨔵 𨔶 𨔷 𨔸 𨔹 𨔺 𨔻 𨔼 𨔽 𨔾 𨔿 𨕀 𨕁 𨕂 𨕃 𨕄 𨕅 𨕆 𨕇 𨕈 𨕉 𨕊 𨕋 𨕌 𨕍 𨕎 𨕏 𨕐 𨕑 𨕒 𨕓 𨕔 𨕕 𨕖 𨕗 𨕘 𨕙 𨕚 𨕛 𨕜 𨕝 𨕞 𨕟 𨕠 𨕡 𨕢 𨕣 𨕤 𨕥 𨕦 𨕧 𨕨 𨕩 𨕪 𨕫 𨕬 𨕭 𨕮 𨕯 𨕰 𨕱 𨕲 𨕳 𨕴 𨕵 𨕶 𨕷 𨕸 𨕹 𨕺 𨕻 𨕼 𨕽 𨕾 𨕿 𨖀 𨖁 𨖂 𨖃 𨖄 𨖅 𨖆 𨖇 𨖈 𨖉 𨖊 𨖋 𨖌 𨖍 𨖎 𨖏 𨖐 𨖑 𨖒 𨖓 𨖔 𨖕 𨖖 𨖗 𨖘 𨖙 𨖚 𨖛 𨖜 𨖝 𨖞 𨖟 𨖠 𨖡 𨖢 𨖣 𨖤 𨖥 𨖦 𨖧 𨖨 𨖩 𨖪 𨖫 𨖬 𨖭 𨖮 𨖯 𨖰 𨖱 𨖲 𨖳 𨖴 𨖵 𨖶 𨖷 𨖸 𨖹 𨖺 𨖻 𨖼 𨖽 𨖾 𨖿 𨗀 𨗁 𨗂 𨗃 𨗄 𨗅 𨗆 𨗇 𨗈 𨗉 𨗊 𨗋 𨗌 𨗍 𨗎 𨗏 𨗐 𨗑 𨗒 𨗓 𨗔 𨗕 𨗖 𨗗 𨗘 𨗙 𨗚 𨗛 𨗜 𨗝 𨗞 𨗟 𨗠 𨗡 𨗢 𨗣 𨗤 𨗥 𨗦 𨗧 𨗨 𨗩 𨗪 𨗫 𨗬 𨗭 𨗮 𨗯 𨗰 𨗱 𨗲 𨗳 𨗴 𨗵 𨗶 𨗷 𨗸 𨗹 𨗺 𨗻 𨗼 𨗽 𨗾 𨗿</t>
        </is>
      </c>
      <c r="P652" s="37" t="inlineStr">
        <is>
          <t>𨔀 𨔁 𨔂 𨔃 𨔄 𨔅 𨔆 𨔇 𨔈 𨔉 𨔊 𨔋 𨔌 𨔍 𨔎 𨔏 𨔐 𨔑 𨔒 𨔓 𨔔 𨔕 𨔖 𨔗 𨔘 𨔙 𨔚 𨔛 𨔜 𨔝 𨔞 𨔟 𨔠 𨔡 𨔢 𨔣 𨔤 𨔥 𨔦 𨔧 𨔨 𨔩 𨔪 𨔫 𨔬 𨔭 𨔮 𨔯 𨔰 𨔱 𨔲 𨔳 𨔴 𨔵 𨔶 𨔷 𨔸 𨔹 𨔺 𨔻 𨔼 𨔽 𨔾 𨔿 𨕀 𨕁 𨕂 𨕃 𨕄 𨕅 𨕆 𨕇 𨕈 𨕉 𨕊 𨕋 𨕌 𨕍 𨕎 𨕏 𨕐 𨕑 𨕒 𨕓 𨕔 𨕕 𨕖 𨕗 𨕘 𨕙 𨕚 𨕛 𨕜 𨕝 𨕞 𨕟 𨕠 𨕡 𨕢 𨕣 𨕤 𨕥 𨕦 𨕧 𨕨 𨕩 𨕪 𨕫 𨕬 𨕭 𨕮 𨕯 𨕰 𨕱 𨕲 𨕳 𨕴 𨕵 𨕶 𨕷 𨕸 𨕹 𨕺 𨕻 𨕼 𨕽 𨕾 𨕿 𨖀 𨖁 𨖂 𨖃 𨖄 𨖅 𨖆 𨖇 𨖈 𨖉 𨖊 𨖋 𨖌 𨖍 𨖎 𨖏 𨖐 𨖑 𨖒 𨖓 𨖔 𨖕 𨖖 𨖗 𨖘 𨖙 𨖚 𨖛 𨖜 𨖝 𨖞 𨖟 𨖠 𨖡 𨖢 𨖣 𨖤 𨖥 𨖦 𨖧 𨖨 𨖩 𨖪 𨖫 𨖬 𨖭 𨖮 𨖯 𨖰 𨖱 𨖲 𨖳 𨖴 𨖵 𨖶 𨖷 𨖸 𨖹 𨖺 𨖻 𨖼 𨖽 𨖾 𨖿 𨗀 𨗁 𨗂 𨗃 𨗄 𨗅 𨗆 𨗇 𨗈 𨗉 𨗊 𨗋 𨗌 𨗍 𨗎 𨗏 𨗐 𨗑 𨗒 𨗓 𨗔 𨗕 𨗖 𨗗 𨗘 𨗙 𨗚 𨗛 𨗜 𨗝 𨗞 𨗟 𨗠 𨗡 𨗢 𨗣 𨗤 𨗥 𨗦 𨗧 𨗨 𨗩 𨗪 𨗫 𨗬 𨗭 𨗮 𨗯 𨗰 𨗱 𨗲 𨗳 𨗴 𨗵 𨗶 𨗷 𨗸 𨗹 𨗺 𨗻 𨗼 𨗽 𨗾 𨗿</t>
        </is>
      </c>
      <c r="Q652" s="38" t="inlineStr">
        <is>
          <t>𨔀 𨔁 𨔂 𨔃 𨔄 𨔅 𨔆 𨔇 𨔈 𨔉 𨔊 𨔋 𨔌 𨔍 𨔎 𨔏 𨔐 𨔑 𨔒 𨔓 𨔔 𨔕 𨔖 𨔗 𨔘 𨔙 𨔚 𨔛 𨔜 𨔝 𨔞 𨔟 𨔠 𨔡 𨔢 𨔣 𨔤 𨔥 𨔦 𨔧 𨔨 𨔩 𨔪 𨔫 𨔬 𨔭 𨔮 𨔯 𨔰 𨔱 𨔲 𨔳 𨔴 𨔵 𨔶 𨔷 𨔸 𨔹 𨔺 𨔻 𨔼 𨔽 𨔾 𨔿 𨕀 𨕁 𨕂 𨕃 𨕄 𨕅 𨕆 𨕇 𨕈 𨕉 𨕊 𨕋 𨕌 𨕍 𨕎 𨕏 𨕐 𨕑 𨕒 𨕓 𨕔 𨕕 𨕖 𨕗 𨕘 𨕙 𨕚 𨕛 𨕜 𨕝 𨕞 𨕟 𨕠 𨕡 𨕢 𨕣 𨕤 𨕥 𨕦 𨕧 𨕨 𨕩 𨕪 𨕫 𨕬 𨕭 𨕮 𨕯 𨕰 𨕱 𨕲 𨕳 𨕴 𨕵 𨕶 𨕷 𨕸 𨕹 𨕺 𨕻 𨕼 𨕽 𨕾 𨕿 𨖀 𨖁 𨖂 𨖃 𨖄 𨖅 𨖆 𨖇 𨖈 𨖉 𨖊 𨖋 𨖌 𨖍 𨖎 𨖏 𨖐 𨖑 𨖒 𨖓 𨖔 𨖕 𨖖 𨖗 𨖘 𨖙 𨖚 𨖛 𨖜 𨖝 𨖞 𨖟 𨖠 𨖡 𨖢 𨖣 𨖤 𨖥 𨖦 𨖧 𨖨 𨖩 𨖪 𨖫 𨖬 𨖭 𨖮 𨖯 𨖰 𨖱 𨖲 𨖳 𨖴 𨖵 𨖶 𨖷 𨖸 𨖹 𨖺 𨖻 𨖼 𨖽 𨖾 𨖿 𨗀 𨗁 𨗂 𨗃 𨗄 𨗅 𨗆 𨗇 𨗈 𨗉 𨗊 𨗋 𨗌 𨗍 𨗎 𨗏 𨗐 𨗑 𨗒 𨗓 𨗔 𨗕 𨗖 𨗗 𨗘 𨗙 𨗚 𨗛 𨗜 𨗝 𨗞 𨗟 𨗠 𨗡 𨗢 𨗣 𨗤 𨗥 𨗦 𨗧 𨗨 𨗩 𨗪 𨗫 𨗬 𨗭 𨗮 𨗯 𨗰 𨗱 𨗲 𨗳 𨗴 𨗵 𨗶 𨗷 𨗸 𨗹 𨗺 𨗻 𨗼 𨗽 𨗾 𨗿</t>
        </is>
      </c>
      <c r="R652" s="43" t="inlineStr">
        <is>
          <t>𨕫 𨖕 𨗈 𨗉</t>
        </is>
      </c>
      <c r="S652" s="40" t="n"/>
      <c r="V652" s="14">
        <f>(LEN(O652)+1)/2</f>
        <v/>
      </c>
      <c r="W652" s="14">
        <f>ROUNDDOWN((LEN(P652)+1)/2,0)</f>
        <v/>
      </c>
      <c r="X652" s="14">
        <f>ROUNDDOWN((LEN(Q652)+1)/2,0)</f>
        <v/>
      </c>
      <c r="Y652" s="14">
        <f>ROUNDDOWN((LEN(R652)+1)/2,0)</f>
        <v/>
      </c>
      <c r="Z652" s="14">
        <f>ROUNDDOWN((LEN(S652)+1)/2,0)</f>
        <v/>
      </c>
      <c r="AA652" s="56" t="n">
        <v>46150.55885731412</v>
      </c>
    </row>
    <row r="653" ht="102" customHeight="1">
      <c r="B653" s="46" t="inlineStr">
        <is>
          <t>U+28700-U+287FE</t>
        </is>
      </c>
      <c r="C653" s="46" t="inlineStr">
        <is>
          <t>CJK Unified Ideographs Extension B</t>
        </is>
      </c>
      <c r="D653" s="54">
        <f>HEX2DEC(MID(B653,3,FIND("-",E653)-3))</f>
        <v/>
      </c>
      <c r="E653" s="46" t="inlineStr">
        <is>
          <t>U+20000-U+2A6DF</t>
        </is>
      </c>
      <c r="F653" s="12" t="n">
        <v>4</v>
      </c>
      <c r="J653" s="19">
        <f>ROUNDDOWN(W653,0)/$V653</f>
        <v/>
      </c>
      <c r="K653" s="19">
        <f>ROUNDDOWN(X653,0)/$V653</f>
        <v/>
      </c>
      <c r="L653" s="19">
        <f>ROUNDDOWN(Y653,0)/$V653</f>
        <v/>
      </c>
      <c r="M653" s="19">
        <f>ROUNDDOWN(Z653,0)/$V653</f>
        <v/>
      </c>
      <c r="O653" s="36" t="inlineStr">
        <is>
          <t>𨘀 𨘁 𨘂 𨘃 𨘄 𨘅 𨘆 𨘇 𨘈 𨘉 𨘊 𨘋 𨘌 𨘍 𨘎 𨘏 𨘐 𨘑 𨘒 𨘓 𨘔 𨘕 𨘖 𨘗 𨘘 𨘙 𨘚 𨘛 𨘜 𨘝 𨘞 𨘟 𨘠 𨘡 𨘢 𨘣 𨘤 𨘥 𨘦 𨘧 𨘨 𨘩 𨘪 𨘫 𨘬 𨘭 𨘮 𨘯 𨘰 𨘱 𨘲 𨘳 𨘴 𨘵 𨘶 𨘷 𨘸 𨘹 𨘺 𨘻 𨘼 𨘽 𨘾 𨘿 𨙀 𨙁 𨙂 𨙃 𨙄 𨙅 𨙆 𨙇 𨙈 𨙉 𨙊 𨙋 𨙌 𨙍 𨙎 𨙏 𨙐 𨙑 𨙒 𨙓 𨙔 𨙕 𨙖 𨙗 𨙘 𨙙 𨙚 𨙛 𨙜 𨙝 𨙞 𨙟 𨙠 𨙡 𨙢 𨙣 𨙤 𨙥 𨙦 𨙧 𨙨 𨙩 𨙪 𨙫 𨙬 𨙭 𨙮 𨙯 𨙰 𨙱 𨙲 𨙳 𨙴 𨙵 𨙶 𨙷 𨙸 𨙹 𨙺 𨙻 𨙼 𨙽 𨙾 𨙿 𨚀 𨚁 𨚂 𨚃 𨚄 𨚅 𨚆 𨚇 𨚈 𨚉 𨚊 𨚋 𨚌 𨚍 𨚎 𨚏 𨚐 𨚑 𨚒 𨚓 𨚔 𨚕 𨚖 𨚗 𨚘 𨚙 𨚚 𨚛 𨚜 𨚝 𨚞 𨚟 𨚠 𨚡 𨚢 𨚣 𨚤 𨚥 𨚦 𨚧 𨚨 𨚩 𨚪 𨚫 𨚬 𨚭 𨚮 𨚯 𨚰 𨚱 𨚲 𨚳 𨚴 𨚵 𨚶 𨚷 𨚸 𨚹 𨚺 𨚻 𨚼 𨚽 𨚾 𨚿 𨛀 𨛁 𨛂 𨛃 𨛄 𨛅 𨛆 𨛇 𨛈 𨛉 𨛊 𨛋 𨛌 𨛍 𨛎 𨛏 𨛐 𨛑 𨛒 𨛓 𨛔 𨛕 𨛖 𨛗 𨛘 𨛙 𨛚 𨛛 𨛜 𨛝 𨛞 𨛟 𨛠 𨛡 𨛢 𨛣 𨛤 𨛥 𨛦 𨛧 𨛨 𨛩 𨛪 𨛫 𨛬 𨛭 𨛮 𨛯 𨛰 𨛱 𨛲 𨛳 𨛴 𨛵 𨛶 𨛷 𨛸 𨛹 𨛺 𨛻 𨛼 𨛽 𨛾 𨛿</t>
        </is>
      </c>
      <c r="P653" s="37" t="inlineStr">
        <is>
          <t>𨘀 𨘁 𨘂 𨘃 𨘄 𨘅 𨘆 𨘇 𨘈 𨘉 𨘊 𨘋 𨘌 𨘍 𨘎 𨘏 𨘐 𨘑 𨘒 𨘓 𨘔 𨘕 𨘖 𨘗 𨘘 𨘙 𨘚 𨘛 𨘜 𨘝 𨘞 𨘟 𨘠 𨘡 𨘢 𨘣 𨘤 𨘥 𨘦 𨘧 𨘨 𨘩 𨘪 𨘫 𨘬 𨘭 𨘮 𨘯 𨘰 𨘱 𨘲 𨘳 𨘴 𨘵 𨘶 𨘷 𨘸 𨘹 𨘺 𨘻 𨘼 𨘽 𨘾 𨘿 𨙀 𨙁 𨙂 𨙃 𨙄 𨙅 𨙆 𨙇 𨙈 𨙉 𨙊 𨙋 𨙌 𨙍 𨙎 𨙏 𨙐 𨙑 𨙒 𨙓 𨙔 𨙕 𨙖 𨙗 𨙘 𨙙 𨙚 𨙛 𨙜 𨙝 𨙞 𨙟 𨙠 𨙡 𨙢 𨙣 𨙤 𨙥 𨙦 𨙧 𨙨 𨙩 𨙪 𨙫 𨙬 𨙭 𨙮 𨙯 𨙰 𨙱 𨙲 𨙳 𨙴 𨙵 𨙶 𨙷 𨙸 𨙹 𨙺 𨙻 𨙼 𨙽 𨙾 𨙿 𨚀 𨚁 𨚂 𨚃 𨚄 𨚅 𨚆 𨚇 𨚈 𨚉 𨚊 𨚋 𨚌 𨚍 𨚎 𨚏 𨚐 𨚑 𨚒 𨚓 𨚔 𨚕 𨚖 𨚗 𨚘 𨚙 𨚚 𨚛 𨚜 𨚝 𨚞 𨚟 𨚠 𨚡 𨚢 𨚣 𨚤 𨚥 𨚦 𨚧 𨚨 𨚩 𨚪 𨚫 𨚬 𨚭 𨚮 𨚯 𨚰 𨚱 𨚲 𨚳 𨚴 𨚵 𨚶 𨚷 𨚸 𨚹 𨚺 𨚻 𨚼 𨚽 𨚾 𨚿 𨛀 𨛁 𨛂 𨛃 𨛄 𨛅 𨛆 𨛇 𨛈 𨛉 𨛊 𨛋 𨛌 𨛍 𨛎 𨛏 𨛐 𨛑 𨛒 𨛓 𨛔 𨛕 𨛖 𨛗 𨛘 𨛙 𨛚 𨛛 𨛜 𨛝 𨛞 𨛟 𨛠 𨛡 𨛢 𨛣 𨛤 𨛥 𨛦 𨛧 𨛨 𨛩 𨛪 𨛫 𨛬 𨛭 𨛮 𨛯 𨛰 𨛱 𨛲 𨛳 𨛴 𨛵 𨛶 𨛷 𨛸 𨛹 𨛺 𨛻 𨛼 𨛽 𨛾 𨛿</t>
        </is>
      </c>
      <c r="Q653" s="38" t="inlineStr">
        <is>
          <t>𨘀 𨘁 𨘂 𨘃 𨘄 𨘅 𨘆 𨘇 𨘈 𨘉 𨘊 𨘋 𨘌 𨘍 𨘎 𨘏 𨘐 𨘑 𨘒 𨘓 𨘔 𨘕 𨘖 𨘗 𨘘 𨘙 𨘚 𨘛 𨘜 𨘝 𨘞 𨘟 𨘠 𨘡 𨘢 𨘣 𨘤 𨘥 𨘦 𨘧 𨘨 𨘩 𨘪 𨘫 𨘬 𨘭 𨘮 𨘯 𨘰 𨘱 𨘲 𨘳 𨘴 𨘵 𨘶 𨘷 𨘸 𨘹 𨘺 𨘻 𨘼 𨘽 𨘾 𨘿 𨙀 𨙁 𨙂 𨙃 𨙄 𨙅 𨙆 𨙇 𨙈 𨙉 𨙊 𨙋 𨙌 𨙍 𨙎 𨙏 𨙐 𨙑 𨙒 𨙓 𨙔 𨙕 𨙖 𨙗 𨙘 𨙙 𨙚 𨙛 𨙜 𨙝 𨙞 𨙟 𨙠 𨙡 𨙢 𨙣 𨙤 𨙥 𨙦 𨙧 𨙨 𨙩 𨙪 𨙫 𨙬 𨙭 𨙮 𨙯 𨙰 𨙱 𨙲 𨙳 𨙴 𨙵 𨙶 𨙷 𨙸 𨙹 𨙺 𨙻 𨙼 𨙽 𨙾 𨙿 𨚀 𨚁 𨚂 𨚃 𨚄 𨚅 𨚆 𨚇 𨚈 𨚉 𨚊 𨚋 𨚌 𨚍 𨚎 𨚏 𨚐 𨚑 𨚒 𨚓 𨚔 𨚕 𨚖 𨚗 𨚘 𨚙 𨚚 𨚛 𨚜 𨚝 𨚞 𨚟 𨚠 𨚡 𨚢 𨚣 𨚤 𨚥 𨚦 𨚧 𨚨 𨚩 𨚪 𨚫 𨚬 𨚭 𨚮 𨚯 𨚰 𨚱 𨚲 𨚳 𨚴 𨚵 𨚶 𨚷 𨚸 𨚹 𨚺 𨚻 𨚼 𨚽 𨚾 𨚿 𨛀 𨛁 𨛂 𨛃 𨛄 𨛅 𨛆 𨛇 𨛈 𨛉 𨛊 𨛋 𨛌 𨛍 𨛎 𨛏 𨛐 𨛑 𨛒 𨛓 𨛔 𨛕 𨛖 𨛗 𨛘 𨛙 𨛚 𨛛 𨛜 𨛝 𨛞 𨛟 𨛠 𨛡 𨛢 𨛣 𨛤 𨛥 𨛦 𨛧 𨛨 𨛩 𨛪 𨛫 𨛬 𨛭 𨛮 𨛯 𨛰 𨛱 𨛲 𨛳 𨛴 𨛵 𨛶 𨛷 𨛸 𨛹 𨛺 𨛻 𨛼 𨛽 𨛾 𨛿</t>
        </is>
      </c>
      <c r="R653" s="43" t="inlineStr">
        <is>
          <t>𨛺</t>
        </is>
      </c>
      <c r="S653" s="40" t="n"/>
      <c r="V653" s="14">
        <f>(LEN(O653)+1)/2</f>
        <v/>
      </c>
      <c r="W653" s="14">
        <f>ROUNDDOWN((LEN(P653)+1)/2,0)</f>
        <v/>
      </c>
      <c r="X653" s="14">
        <f>ROUNDDOWN((LEN(Q653)+1)/2,0)</f>
        <v/>
      </c>
      <c r="Y653" s="14">
        <f>ROUNDDOWN((LEN(R653)+1)/2,0)</f>
        <v/>
      </c>
      <c r="Z653" s="14">
        <f>ROUNDDOWN((LEN(S653)+1)/2,0)</f>
        <v/>
      </c>
      <c r="AA653" s="56" t="n">
        <v>46150.55885840556</v>
      </c>
    </row>
    <row r="654" ht="102" customHeight="1">
      <c r="B654" s="46" t="inlineStr">
        <is>
          <t>U+287FF-U+288FD</t>
        </is>
      </c>
      <c r="C654" s="46" t="inlineStr">
        <is>
          <t>CJK Unified Ideographs Extension B</t>
        </is>
      </c>
      <c r="D654" s="54">
        <f>HEX2DEC(MID(B654,3,FIND("-",E654)-3))</f>
        <v/>
      </c>
      <c r="E654" s="46" t="inlineStr">
        <is>
          <t>U+20000-U+2A6DF</t>
        </is>
      </c>
      <c r="F654" s="12" t="n">
        <v>4</v>
      </c>
      <c r="J654" s="19">
        <f>ROUNDDOWN(W654,0)/$V654</f>
        <v/>
      </c>
      <c r="K654" s="19">
        <f>ROUNDDOWN(X654,0)/$V654</f>
        <v/>
      </c>
      <c r="L654" s="19">
        <f>ROUNDDOWN(Y654,0)/$V654</f>
        <v/>
      </c>
      <c r="M654" s="19">
        <f>ROUNDDOWN(Z654,0)/$V654</f>
        <v/>
      </c>
      <c r="O654" s="36" t="inlineStr">
        <is>
          <t>𨜀 𨜁 𨜂 𨜃 𨜄 𨜅 𨜆 𨜇 𨜈 𨜉 𨜊 𨜋 𨜌 𨜍 𨜎 𨜏 𨜐 𨜑 𨜒 𨜓 𨜔 𨜕 𨜖 𨜗 𨜘 𨜙 𨜚 𨜛 𨜜 𨜝 𨜞 𨜟 𨜠 𨜡 𨜢 𨜣 𨜤 𨜥 𨜦 𨜧 𨜨 𨜩 𨜪 𨜫 𨜬 𨜭 𨜮 𨜯 𨜰 𨜱 𨜲 𨜳 𨜴 𨜵 𨜶 𨜷 𨜸 𨜹 𨜺 𨜻 𨜼 𨜽 𨜾 𨜿 𨝀 𨝁 𨝂 𨝃 𨝄 𨝅 𨝆 𨝇 𨝈 𨝉 𨝊 𨝋 𨝌 𨝍 𨝎 𨝏 𨝐 𨝑 𨝒 𨝓 𨝔 𨝕 𨝖 𨝗 𨝘 𨝙 𨝚 𨝛 𨝜 𨝝 𨝞 𨝟 𨝠 𨝡 𨝢 𨝣 𨝤 𨝥 𨝦 𨝧 𨝨 𨝩 𨝪 𨝫 𨝬 𨝭 𨝮 𨝯 𨝰 𨝱 𨝲 𨝳 𨝴 𨝵 𨝶 𨝷 𨝸 𨝹 𨝺 𨝻 𨝼 𨝽 𨝾 𨝿 𨞀 𨞁 𨞂 𨞃 𨞄 𨞅 𨞆 𨞇 𨞈 𨞉 𨞊 𨞋 𨞌 𨞍 𨞎 𨞏 𨞐 𨞑 𨞒 𨞓 𨞔 𨞕 𨞖 𨞗 𨞘 𨞙 𨞚 𨞛 𨞜 𨞝 𨞞 𨞟 𨞠 𨞡 𨞢 𨞣 𨞤 𨞥 𨞦 𨞧 𨞨 𨞩 𨞪 𨞫 𨞬 𨞭 𨞮 𨞯 𨞰 𨞱 𨞲 𨞳 𨞴 𨞵 𨞶 𨞷 𨞸 𨞹 𨞺 𨞻 𨞼 𨞽 𨞾 𨞿 𨟀 𨟁 𨟂 𨟃 𨟄 𨟅 𨟆 𨟇 𨟈 𨟉 𨟊 𨟋 𨟌 𨟍 𨟎 𨟏 𨟐 𨟑 𨟒 𨟓 𨟔 𨟕 𨟖 𨟗 𨟘 𨟙 𨟚 𨟛 𨟜 𨟝 𨟞 𨟟 𨟠 𨟡 𨟢 𨟣 𨟤 𨟥 𨟦 𨟧 𨟨 𨟩 𨟪 𨟫 𨟬 𨟭 𨟮 𨟯 𨟰 𨟱 𨟲 𨟳 𨟴 𨟵 𨟶 𨟷 𨟸 𨟹 𨟺 𨟻 𨟼 𨟽 𨟾</t>
        </is>
      </c>
      <c r="P654" s="37" t="inlineStr">
        <is>
          <t>𨜀 𨜁 𨜂 𨜃 𨜄 𨜅 𨜆 𨜇 𨜈 𨜉 𨜊 𨜋 𨜌 𨜍 𨜎 𨜏 𨜐 𨜑 𨜒 𨜓 𨜔 𨜕 𨜖 𨜗 𨜘 𨜙 𨜚 𨜛 𨜜 𨜝 𨜞 𨜟 𨜠 𨜡 𨜢 𨜣 𨜤 𨜥 𨜦 𨜧 𨜨 𨜩 𨜪 𨜫 𨜬 𨜭 𨜮 𨜯 𨜰 𨜱 𨜲 𨜳 𨜴 𨜵 𨜶 𨜷 𨜸 𨜹 𨜺 𨜻 𨜼 𨜽 𨜾 𨜿 𨝀 𨝁 𨝂 𨝃 𨝄 𨝅 𨝆 𨝇 𨝈 𨝉 𨝊 𨝋 𨝌 𨝍 𨝎 𨝏 𨝐 𨝑 𨝒 𨝓 𨝔 𨝕 𨝖 𨝗 𨝘 𨝙 𨝚 𨝛 𨝜 𨝝 𨝞 𨝟 𨝠 𨝡 𨝢 𨝣 𨝤 𨝥 𨝦 𨝧 𨝨 𨝩 𨝪 𨝫 𨝬 𨝭 𨝮 𨝯 𨝰 𨝱 𨝲 𨝳 𨝴 𨝵 𨝶 𨝷 𨝸 𨝹 𨝺 𨝻 𨝼 𨝽 𨝾 𨝿 𨞀 𨞁 𨞂 𨞃 𨞄 𨞅 𨞆 𨞇 𨞈 𨞉 𨞊 𨞋 𨞌 𨞍 𨞎 𨞏 𨞐 𨞑 𨞒 𨞓 𨞔 𨞕 𨞖 𨞗 𨞘 𨞙 𨞚 𨞛 𨞜 𨞝 𨞞 𨞟 𨞠 𨞡 𨞢 𨞣 𨞤 𨞥 𨞦 𨞧 𨞨 𨞩 𨞪 𨞫 𨞬 𨞭 𨞮 𨞯 𨞰 𨞱 𨞲 𨞳 𨞴 𨞵 𨞶 𨞷 𨞸 𨞹 𨞺 𨞻 𨞼 𨞽 𨞾 𨞿 𨟀 𨟁 𨟂 𨟃 𨟄 𨟅 𨟆 𨟇 𨟈 𨟉 𨟊 𨟋 𨟌 𨟍 𨟎 𨟏 𨟐 𨟑 𨟒 𨟓 𨟔 𨟕 𨟖 𨟗 𨟘 𨟙 𨟚 𨟛 𨟜 𨟝 𨟞 𨟟 𨟠 𨟡 𨟢 𨟣 𨟤 𨟥 𨟦 𨟧 𨟨 𨟩 𨟪 𨟫 𨟬 𨟭 𨟮 𨟯 𨟰 𨟱 𨟲 𨟳 𨟴 𨟵 𨟶 𨟷 𨟸 𨟹 𨟺 𨟻 𨟼 𨟽 𨟾</t>
        </is>
      </c>
      <c r="Q654" s="38" t="inlineStr">
        <is>
          <t>𨜀 𨜁 𨜂 𨜃 𨜄 𨜅 𨜆 𨜇 𨜈 𨜉 𨜊 𨜋 𨜌 𨜍 𨜎 𨜏 𨜐 𨜑 𨜒 𨜓 𨜔 𨜕 𨜖 𨜗 𨜘 𨜙 𨜚 𨜛 𨜜 𨜝 𨜞 𨜟 𨜠 𨜡 𨜢 𨜣 𨜤 𨜥 𨜦 𨜧 𨜨 𨜩 𨜪 𨜫 𨜬 𨜭 𨜮 𨜯 𨜰 𨜱 𨜲 𨜳 𨜴 𨜵 𨜶 𨜷 𨜸 𨜹 𨜺 𨜻 𨜼 𨜽 𨜾 𨜿 𨝀 𨝁 𨝂 𨝃 𨝄 𨝅 𨝆 𨝇 𨝈 𨝉 𨝊 𨝋 𨝌 𨝍 𨝎 𨝏 𨝐 𨝑 𨝒 𨝓 𨝔 𨝕 𨝖 𨝗 𨝘 𨝙 𨝚 𨝛 𨝜 𨝝 𨝞 𨝟 𨝠 𨝡 𨝢 𨝣 𨝤 𨝥 𨝦 𨝧 𨝨 𨝩 𨝪 𨝫 𨝬 𨝭 𨝮 𨝯 𨝰 𨝱 𨝲 𨝳 𨝴 𨝵 𨝶 𨝷 𨝸 𨝹 𨝺 𨝻 𨝼 𨝽 𨝾 𨝿 𨞀 𨞁 𨞂 𨞃 𨞄 𨞅 𨞆 𨞇 𨞈 𨞉 𨞊 𨞋 𨞌 𨞍 𨞎 𨞏 𨞐 𨞑 𨞒 𨞓 𨞔 𨞕 𨞖 𨞗 𨞘 𨞙 𨞚 𨞛 𨞜 𨞝 𨞞 𨞟 𨞠 𨞡 𨞢 𨞣 𨞤 𨞥 𨞦 𨞧 𨞨 𨞩 𨞪 𨞫 𨞬 𨞭 𨞮 𨞯 𨞰 𨞱 𨞲 𨞳 𨞴 𨞵 𨞶 𨞷 𨞸 𨞹 𨞺 𨞻 𨞼 𨞽 𨞾 𨞿 𨟀 𨟁 𨟂 𨟃 𨟄 𨟅 𨟆 𨟇 𨟈 𨟉 𨟊 𨟋 𨟌 𨟍 𨟎 𨟏 𨟐 𨟑 𨟒 𨟓 𨟔 𨟕 𨟖 𨟗 𨟘 𨟙 𨟚 𨟛 𨟜 𨟝 𨟞 𨟟 𨟠 𨟡 𨟢 𨟣 𨟤 𨟥 𨟦 𨟧 𨟨 𨟩 𨟪 𨟫 𨟬 𨟭 𨟮 𨟯 𨟰 𨟱 𨟲 𨟳 𨟴 𨟵 𨟶 𨟷 𨟸 𨟹 𨟺 𨟻 𨟼 𨟽 𨟾</t>
        </is>
      </c>
      <c r="R654" s="43" t="inlineStr"/>
      <c r="S654" s="40" t="n"/>
      <c r="V654" s="14">
        <f>(LEN(O654)+1)/2</f>
        <v/>
      </c>
      <c r="W654" s="14">
        <f>ROUNDDOWN((LEN(P654)+1)/2,0)</f>
        <v/>
      </c>
      <c r="X654" s="14">
        <f>ROUNDDOWN((LEN(Q654)+1)/2,0)</f>
        <v/>
      </c>
      <c r="Y654" s="14">
        <f>ROUNDDOWN((LEN(R654)+1)/2,0)</f>
        <v/>
      </c>
      <c r="Z654" s="14">
        <f>ROUNDDOWN((LEN(S654)+1)/2,0)</f>
        <v/>
      </c>
      <c r="AA654" s="56" t="n">
        <v>46150.55885948675</v>
      </c>
    </row>
    <row r="655" ht="102" customHeight="1">
      <c r="B655" s="46" t="inlineStr">
        <is>
          <t>U+288FE-U+289FC</t>
        </is>
      </c>
      <c r="C655" s="46" t="inlineStr">
        <is>
          <t>CJK Unified Ideographs Extension B</t>
        </is>
      </c>
      <c r="D655" s="54">
        <f>HEX2DEC(MID(B655,3,FIND("-",E655)-3))</f>
        <v/>
      </c>
      <c r="E655" s="46" t="inlineStr">
        <is>
          <t>U+20000-U+2A6DF</t>
        </is>
      </c>
      <c r="F655" s="12" t="n">
        <v>4</v>
      </c>
      <c r="J655" s="19">
        <f>ROUNDDOWN(W655,0)/$V655</f>
        <v/>
      </c>
      <c r="K655" s="19">
        <f>ROUNDDOWN(X655,0)/$V655</f>
        <v/>
      </c>
      <c r="L655" s="19">
        <f>ROUNDDOWN(Y655,0)/$V655</f>
        <v/>
      </c>
      <c r="M655" s="19">
        <f>ROUNDDOWN(Z655,0)/$V655</f>
        <v/>
      </c>
      <c r="O655" s="36" t="inlineStr">
        <is>
          <t>𨟿 𨠀 𨠁 𨠂 𨠃 𨠄 𨠅 𨠆 𨠇 𨠈 𨠉 𨠊 𨠋 𨠌 𨠍 𨠎 𨠏 𨠐 𨠑 𨠒 𨠓 𨠔 𨠕 𨠖 𨠗 𨠘 𨠙 𨠚 𨠛 𨠜 𨠝 𨠞 𨠟 𨠠 𨠡 𨠢 𨠣 𨠤 𨠥 𨠦 𨠧 𨠨 𨠩 𨠪 𨠫 𨠬 𨠭 𨠮 𨠯 𨠰 𨠱 𨠲 𨠳 𨠴 𨠵 𨠶 𨠷 𨠸 𨠹 𨠺 𨠻 𨠼 𨠽 𨠾 𨠿 𨡀 𨡁 𨡂 𨡃 𨡄 𨡅 𨡆 𨡇 𨡈 𨡉 𨡊 𨡋 𨡌 𨡍 𨡎 𨡏 𨡐 𨡑 𨡒 𨡓 𨡔 𨡕 𨡖 𨡗 𨡘 𨡙 𨡚 𨡛 𨡜 𨡝 𨡞 𨡟 𨡠 𨡡 𨡢 𨡣 𨡤 𨡥 𨡦 𨡧 𨡨 𨡩 𨡪 𨡫 𨡬 𨡭 𨡮 𨡯 𨡰 𨡱 𨡲 𨡳 𨡴 𨡵 𨡶 𨡷 𨡸 𨡹 𨡺 𨡻 𨡼 𨡽 𨡾 𨡿 𨢀 𨢁 𨢂 𨢃 𨢄 𨢅 𨢆 𨢇 𨢈 𨢉 𨢊 𨢋 𨢌 𨢍 𨢎 𨢏 𨢐 𨢑 𨢒 𨢓 𨢔 𨢕 𨢖 𨢗 𨢘 𨢙 𨢚 𨢛 𨢜 𨢝 𨢞 𨢟 𨢠 𨢡 𨢢 𨢣 𨢤 𨢥 𨢦 𨢧 𨢨 𨢩 𨢪 𨢫 𨢬 𨢭 𨢮 𨢯 𨢰 𨢱 𨢲 𨢳 𨢴 𨢵 𨢶 𨢷 𨢸 𨢹 𨢺 𨢻 𨢼 𨢽 𨢾 𨢿 𨣀 𨣁 𨣂 𨣃 𨣄 𨣅 𨣆 𨣇 𨣈 𨣉 𨣊 𨣋 𨣌 𨣍 𨣎 𨣏 𨣐 𨣑 𨣒 𨣓 𨣔 𨣕 𨣖 𨣗 𨣘 𨣙 𨣚 𨣛 𨣜 𨣝 𨣞 𨣟 𨣠 𨣡 𨣢 𨣣 𨣤 𨣥 𨣦 𨣧 𨣨 𨣩 𨣪 𨣫 𨣬 𨣭 𨣮 𨣯 𨣰 𨣱 𨣲 𨣳 𨣴 𨣵 𨣶 𨣷 𨣸 𨣹 𨣺 𨣻 𨣼 𨣽</t>
        </is>
      </c>
      <c r="P655" s="37" t="inlineStr">
        <is>
          <t>𨟿 𨠀 𨠁 𨠂 𨠃 𨠄 𨠅 𨠆 𨠇 𨠈 𨠉 𨠊 𨠋 𨠌 𨠍 𨠎 𨠏 𨠐 𨠑 𨠒 𨠓 𨠔 𨠕 𨠖 𨠗 𨠘 𨠙 𨠚 𨠛 𨠜 𨠝 𨠞 𨠟 𨠠 𨠡 𨠢 𨠣 𨠤 𨠥 𨠦 𨠧 𨠨 𨠩 𨠪 𨠫 𨠬 𨠭 𨠮 𨠯 𨠰 𨠱 𨠲 𨠳 𨠴 𨠵 𨠶 𨠷 𨠸 𨠹 𨠺 𨠻 𨠼 𨠽 𨠾 𨠿 𨡀 𨡁 𨡂 𨡃 𨡄 𨡅 𨡆 𨡇 𨡈 𨡉 𨡊 𨡋 𨡌 𨡍 𨡎 𨡏 𨡐 𨡑 𨡒 𨡓 𨡔 𨡕 𨡖 𨡗 𨡘 𨡙 𨡚 𨡛 𨡜 𨡝 𨡞 𨡟 𨡠 𨡡 𨡢 𨡣 𨡤 𨡥 𨡦 𨡧 𨡨 𨡩 𨡪 𨡫 𨡬 𨡭 𨡮 𨡯 𨡰 𨡱 𨡲 𨡳 𨡴 𨡵 𨡶 𨡷 𨡸 𨡹 𨡺 𨡻 𨡼 𨡽 𨡾 𨡿 𨢀 𨢁 𨢂 𨢃 𨢄 𨢅 𨢆 𨢇 𨢈 𨢉 𨢊 𨢋 𨢌 𨢍 𨢎 𨢏 𨢐 𨢑 𨢒 𨢓 𨢔 𨢕 𨢖 𨢗 𨢘 𨢙 𨢚 𨢛 𨢜 𨢝 𨢞 𨢟 𨢠 𨢡 𨢢 𨢣 𨢤 𨢥 𨢦 𨢧 𨢨 𨢩 𨢪 𨢫 𨢬 𨢭 𨢮 𨢯 𨢰 𨢱 𨢲 𨢳 𨢴 𨢵 𨢶 𨢷 𨢸 𨢹 𨢺 𨢻 𨢼 𨢽 𨢾 𨢿 𨣀 𨣁 𨣂 𨣃 𨣄 𨣅 𨣆 𨣇 𨣈 𨣉 𨣊 𨣋 𨣌 𨣍 𨣎 𨣏 𨣐 𨣑 𨣒 𨣓 𨣔 𨣕 𨣖 𨣗 𨣘 𨣙 𨣚 𨣛 𨣜 𨣝 𨣞 𨣟 𨣠 𨣡 𨣢 𨣣 𨣤 𨣥 𨣦 𨣧 𨣨 𨣩 𨣪 𨣫 𨣬 𨣭 𨣮 𨣯 𨣰 𨣱 𨣲 𨣳 𨣴 𨣵 𨣶 𨣷 𨣸 𨣹 𨣺 𨣻 𨣼 𨣽</t>
        </is>
      </c>
      <c r="Q655" s="38" t="inlineStr">
        <is>
          <t>𨟿 𨠀 𨠁 𨠂 𨠃 𨠄 𨠅 𨠆 𨠇 𨠈 𨠉 𨠊 𨠋 𨠌 𨠍 𨠎 𨠏 𨠐 𨠑 𨠒 𨠓 𨠔 𨠕 𨠖 𨠗 𨠘 𨠙 𨠚 𨠛 𨠜 𨠝 𨠞 𨠟 𨠠 𨠡 𨠢 𨠣 𨠤 𨠥 𨠦 𨠧 𨠨 𨠩 𨠪 𨠫 𨠬 𨠭 𨠮 𨠯 𨠰 𨠱 𨠲 𨠳 𨠴 𨠵 𨠶 𨠷 𨠸 𨠹 𨠺 𨠻 𨠼 𨠽 𨠾 𨠿 𨡀 𨡁 𨡂 𨡃 𨡄 𨡅 𨡆 𨡇 𨡈 𨡉 𨡊 𨡋 𨡌 𨡍 𨡎 𨡏 𨡐 𨡑 𨡒 𨡓 𨡔 𨡕 𨡖 𨡗 𨡘 𨡙 𨡚 𨡛 𨡜 𨡝 𨡞 𨡟 𨡠 𨡡 𨡢 𨡣 𨡤 𨡥 𨡦 𨡧 𨡨 𨡩 𨡪 𨡫 𨡬 𨡭 𨡮 𨡯 𨡰 𨡱 𨡲 𨡳 𨡴 𨡵 𨡶 𨡷 𨡸 𨡹 𨡺 𨡻 𨡼 𨡽 𨡾 𨡿 𨢀 𨢁 𨢂 𨢃 𨢄 𨢅 𨢆 𨢇 𨢈 𨢉 𨢊 𨢋 𨢌 𨢍 𨢎 𨢏 𨢐 𨢑 𨢒 𨢓 𨢔 𨢕 𨢖 𨢗 𨢘 𨢙 𨢚 𨢛 𨢜 𨢝 𨢞 𨢟 𨢠 𨢡 𨢢 𨢣 𨢤 𨢥 𨢦 𨢧 𨢨 𨢩 𨢪 𨢫 𨢬 𨢭 𨢮 𨢯 𨢰 𨢱 𨢲 𨢳 𨢴 𨢵 𨢶 𨢷 𨢸 𨢹 𨢺 𨢻 𨢼 𨢽 𨢾 𨢿 𨣀 𨣁 𨣂 𨣃 𨣄 𨣅 𨣆 𨣇 𨣈 𨣉 𨣊 𨣋 𨣌 𨣍 𨣎 𨣏 𨣐 𨣑 𨣒 𨣓 𨣔 𨣕 𨣖 𨣗 𨣘 𨣙 𨣚 𨣛 𨣜 𨣝 𨣞 𨣟 𨣠 𨣡 𨣢 𨣣 𨣤 𨣥 𨣦 𨣧 𨣨 𨣩 𨣪 𨣫 𨣬 𨣭 𨣮 𨣯 𨣰 𨣱 𨣲 𨣳 𨣴 𨣵 𨣶 𨣷 𨣸 𨣹 𨣺 𨣻 𨣼 𨣽</t>
        </is>
      </c>
      <c r="R655" s="43" t="inlineStr"/>
      <c r="S655" s="40" t="n"/>
      <c r="V655" s="14">
        <f>(LEN(O655)+1)/2</f>
        <v/>
      </c>
      <c r="W655" s="14">
        <f>ROUNDDOWN((LEN(P655)+1)/2,0)</f>
        <v/>
      </c>
      <c r="X655" s="14">
        <f>ROUNDDOWN((LEN(Q655)+1)/2,0)</f>
        <v/>
      </c>
      <c r="Y655" s="14">
        <f>ROUNDDOWN((LEN(R655)+1)/2,0)</f>
        <v/>
      </c>
      <c r="Z655" s="14">
        <f>ROUNDDOWN((LEN(S655)+1)/2,0)</f>
        <v/>
      </c>
      <c r="AA655" s="56" t="n">
        <v>46150.55886056904</v>
      </c>
    </row>
    <row r="656" ht="102" customHeight="1">
      <c r="B656" s="46" t="inlineStr">
        <is>
          <t>U+289FD-U+28AFB</t>
        </is>
      </c>
      <c r="C656" s="46" t="inlineStr">
        <is>
          <t>CJK Unified Ideographs Extension B</t>
        </is>
      </c>
      <c r="D656" s="54">
        <f>HEX2DEC(MID(B656,3,FIND("-",E656)-3))</f>
        <v/>
      </c>
      <c r="E656" s="46" t="inlineStr">
        <is>
          <t>U+20000-U+2A6DF</t>
        </is>
      </c>
      <c r="F656" s="12" t="n">
        <v>4</v>
      </c>
      <c r="J656" s="19">
        <f>ROUNDDOWN(W656,0)/$V656</f>
        <v/>
      </c>
      <c r="K656" s="19">
        <f>ROUNDDOWN(X656,0)/$V656</f>
        <v/>
      </c>
      <c r="L656" s="19">
        <f>ROUNDDOWN(Y656,0)/$V656</f>
        <v/>
      </c>
      <c r="M656" s="19">
        <f>ROUNDDOWN(Z656,0)/$V656</f>
        <v/>
      </c>
      <c r="O656" s="36" t="inlineStr">
        <is>
          <t>𨣾 𨣿 𨤀 𨤁 𨤂 𨤃 𨤄 𨤅 𨤆 𨤇 𨤈 𨤉 𨤊 𨤋 𨤌 𨤍 𨤎 𨤏 𨤐 𨤑 𨤒 𨤓 𨤔 𨤕 𨤖 𨤗 𨤘 𨤙 𨤚 𨤛 𨤜 𨤝 𨤞 𨤟 𨤠 𨤡 𨤢 𨤣 𨤤 𨤥 𨤦 𨤧 𨤨 𨤩 𨤪 𨤫 𨤬 𨤭 𨤮 𨤯 𨤰 𨤱 𨤲 𨤳 𨤴 𨤵 𨤶 𨤷 𨤸 𨤹 𨤺 𨤻 𨤼 𨤽 𨤾 𨤿 𨥀 𨥁 𨥂 𨥃 𨥄 𨥅 𨥆 𨥇 𨥈 𨥉 𨥊 𨥋 𨥌 𨥍 𨥎 𨥏 𨥐 𨥑 𨥒 𨥓 𨥔 𨥕 𨥖 𨥗 𨥘 𨥙 𨥚 𨥛 𨥜 𨥝 𨥞 𨥟 𨥠 𨥡 𨥢 𨥣 𨥤 𨥥 𨥦 𨥧 𨥨 𨥩 𨥪 𨥫 𨥬 𨥭 𨥮 𨥯 𨥰 𨥱 𨥲 𨥳 𨥴 𨥵 𨥶 𨥷 𨥸 𨥹 𨥺 𨥻 𨥼 𨥽 𨥾 𨥿 𨦀 𨦁 𨦂 𨦃 𨦄 𨦅 𨦆 𨦇 𨦈 𨦉 𨦊 𨦋 𨦌 𨦍 𨦎 𨦏 𨦐 𨦑 𨦒 𨦓 𨦔 𨦕 𨦖 𨦗 𨦘 𨦙 𨦚 𨦛 𨦜 𨦝 𨦞 𨦟 𨦠 𨦡 𨦢 𨦣 𨦤 𨦥 𨦦 𨦧 𨦨 𨦩 𨦪 𨦫 𨦬 𨦭 𨦮 𨦯 𨦰 𨦱 𨦲 𨦳 𨦴 𨦵 𨦶 𨦷 𨦸 𨦹 𨦺 𨦻 𨦼 𨦽 𨦾 𨦿 𨧀 𨧁 𨧂 𨧃 𨧄 𨧅 𨧆 𨧇 𨧈 𨧉 𨧊 𨧋 𨧌 𨧍 𨧎 𨧏 𨧐 𨧑 𨧒 𨧓 𨧔 𨧕 𨧖 𨧗 𨧘 𨧙 𨧚 𨧛 𨧜 𨧝 𨧞 𨧟 𨧠 𨧡 𨧢 𨧣 𨧤 𨧥 𨧦 𨧧 𨧨 𨧩 𨧪 𨧫 𨧬 𨧭 𨧮 𨧯 𨧰 𨧱 𨧲 𨧳 𨧴 𨧵 𨧶 𨧷 𨧸 𨧹 𨧺 𨧻 𨧼</t>
        </is>
      </c>
      <c r="P656" s="37" t="inlineStr">
        <is>
          <t>𨣾 𨣿 𨤀 𨤁 𨤂 𨤃 𨤄 𨤅 𨤆 𨤇 𨤈 𨤉 𨤊 𨤋 𨤌 𨤍 𨤎 𨤏 𨤐 𨤑 𨤒 𨤓 𨤔 𨤕 𨤖 𨤗 𨤘 𨤙 𨤚 𨤛 𨤜 𨤝 𨤞 𨤟 𨤠 𨤡 𨤢 𨤣 𨤤 𨤥 𨤦 𨤧 𨤨 𨤩 𨤪 𨤫 𨤬 𨤭 𨤮 𨤯 𨤰 𨤱 𨤲 𨤳 𨤴 𨤵 𨤶 𨤷 𨤸 𨤹 𨤺 𨤻 𨤼 𨤽 𨤾 𨤿 𨥀 𨥁 𨥂 𨥃 𨥄 𨥅 𨥆 𨥇 𨥈 𨥉 𨥊 𨥋 𨥌 𨥍 𨥎 𨥏 𨥐 𨥑 𨥒 𨥓 𨥔 𨥕 𨥖 𨥗 𨥘 𨥙 𨥚 𨥛 𨥜 𨥝 𨥞 𨥟 𨥠 𨥡 𨥢 𨥣 𨥤 𨥥 𨥦 𨥧 𨥨 𨥩 𨥪 𨥫 𨥬 𨥭 𨥮 𨥯 𨥰 𨥱 𨥲 𨥳 𨥴 𨥵 𨥶 𨥷 𨥸 𨥹 𨥺 𨥻 𨥼 𨥽 𨥾 𨥿 𨦀 𨦁 𨦂 𨦃 𨦄 𨦅 𨦆 𨦇 𨦈 𨦉 𨦊 𨦋 𨦌 𨦍 𨦎 𨦏 𨦐 𨦑 𨦒 𨦓 𨦔 𨦕 𨦖 𨦗 𨦘 𨦙 𨦚 𨦛 𨦜 𨦝 𨦞 𨦟 𨦠 𨦡 𨦢 𨦣 𨦤 𨦥 𨦦 𨦧 𨦨 𨦩 𨦪 𨦫 𨦬 𨦭 𨦮 𨦯 𨦰 𨦱 𨦲 𨦳 𨦴 𨦵 𨦶 𨦷 𨦸 𨦹 𨦺 𨦻 𨦼 𨦽 𨦾 𨦿 𨧀 𨧁 𨧂 𨧃 𨧄 𨧅 𨧆 𨧇 𨧈 𨧉 𨧊 𨧋 𨧌 𨧍 𨧎 𨧏 𨧐 𨧑 𨧒 𨧓 𨧔 𨧕 𨧖 𨧗 𨧘 𨧙 𨧚 𨧛 𨧜 𨧝 𨧞 𨧟 𨧠 𨧡 𨧢 𨧣 𨧤 𨧥 𨧦 𨧧 𨧨 𨧩 𨧪 𨧫 𨧬 𨧭 𨧮 𨧯 𨧰 𨧱 𨧲 𨧳 𨧴 𨧵 𨧶 𨧷 𨧸 𨧹 𨧺 𨧻 𨧼</t>
        </is>
      </c>
      <c r="Q656" s="38" t="inlineStr">
        <is>
          <t>𨣾 𨣿 𨤀 𨤁 𨤂 𨤃 𨤄 𨤅 𨤆 𨤇 𨤈 𨤉 𨤊 𨤋 𨤌 𨤍 𨤎 𨤏 𨤐 𨤑 𨤒 𨤓 𨤔 𨤕 𨤖 𨤗 𨤘 𨤙 𨤚 𨤛 𨤜 𨤝 𨤞 𨤟 𨤠 𨤡 𨤢 𨤣 𨤤 𨤥 𨤦 𨤧 𨤨 𨤩 𨤪 𨤫 𨤬 𨤭 𨤮 𨤯 𨤰 𨤱 𨤲 𨤳 𨤴 𨤵 𨤶 𨤷 𨤸 𨤹 𨤺 𨤻 𨤼 𨤽 𨤾 𨤿 𨥀 𨥁 𨥂 𨥃 𨥄 𨥅 𨥆 𨥇 𨥈 𨥉 𨥊 𨥋 𨥌 𨥍 𨥎 𨥏 𨥐 𨥑 𨥒 𨥓 𨥔 𨥕 𨥖 𨥗 𨥘 𨥙 𨥚 𨥛 𨥜 𨥝 𨥞 𨥟 𨥠 𨥡 𨥢 𨥣 𨥤 𨥥 𨥦 𨥧 𨥨 𨥩 𨥪 𨥫 𨥬 𨥭 𨥮 𨥯 𨥰 𨥱 𨥲 𨥳 𨥴 𨥵 𨥶 𨥷 𨥸 𨥹 𨥺 𨥻 𨥼 𨥽 𨥾 𨥿 𨦀 𨦁 𨦂 𨦃 𨦄 𨦅 𨦆 𨦇 𨦈 𨦉 𨦊 𨦋 𨦌 𨦍 𨦎 𨦏 𨦐 𨦑 𨦒 𨦓 𨦔 𨦕 𨦖 𨦗 𨦘 𨦙 𨦚 𨦛 𨦜 𨦝 𨦞 𨦟 𨦠 𨦡 𨦢 𨦣 𨦤 𨦥 𨦦 𨦧 𨦨 𨦩 𨦪 𨦫 𨦬 𨦭 𨦮 𨦯 𨦰 𨦱 𨦲 𨦳 𨦴 𨦵 𨦶 𨦷 𨦸 𨦹 𨦺 𨦻 𨦼 𨦽 𨦾 𨦿 𨧀 𨧁 𨧂 𨧃 𨧄 𨧅 𨧆 𨧇 𨧈 𨧉 𨧊 𨧋 𨧌 𨧍 𨧎 𨧏 𨧐 𨧑 𨧒 𨧓 𨧔 𨧕 𨧖 𨧗 𨧘 𨧙 𨧚 𨧛 𨧜 𨧝 𨧞 𨧟 𨧠 𨧡 𨧢 𨧣 𨧤 𨧥 𨧦 𨧧 𨧨 𨧩 𨧪 𨧫 𨧬 𨧭 𨧮 𨧯 𨧰 𨧱 𨧲 𨧳 𨧴 𨧵 𨧶 𨧷 𨧸 𨧹 𨧺 𨧻 𨧼</t>
        </is>
      </c>
      <c r="R656" s="43" t="inlineStr">
        <is>
          <t>𨥆 𨥫 𨦇 𨦻 𨧀</t>
        </is>
      </c>
      <c r="S656" s="40" t="n"/>
      <c r="V656" s="14">
        <f>(LEN(O656)+1)/2</f>
        <v/>
      </c>
      <c r="W656" s="14">
        <f>ROUNDDOWN((LEN(P656)+1)/2,0)</f>
        <v/>
      </c>
      <c r="X656" s="14">
        <f>ROUNDDOWN((LEN(Q656)+1)/2,0)</f>
        <v/>
      </c>
      <c r="Y656" s="14">
        <f>ROUNDDOWN((LEN(R656)+1)/2,0)</f>
        <v/>
      </c>
      <c r="Z656" s="14">
        <f>ROUNDDOWN((LEN(S656)+1)/2,0)</f>
        <v/>
      </c>
      <c r="AA656" s="56" t="n">
        <v>46150.55886170489</v>
      </c>
    </row>
    <row r="657" ht="102" customHeight="1">
      <c r="B657" s="46" t="inlineStr">
        <is>
          <t>U+28AFC-U+28BFA</t>
        </is>
      </c>
      <c r="C657" s="46" t="inlineStr">
        <is>
          <t>CJK Unified Ideographs Extension B</t>
        </is>
      </c>
      <c r="D657" s="54">
        <f>HEX2DEC(MID(B657,3,FIND("-",E657)-3))</f>
        <v/>
      </c>
      <c r="E657" s="46" t="inlineStr">
        <is>
          <t>U+20000-U+2A6DF</t>
        </is>
      </c>
      <c r="F657" s="12" t="n">
        <v>4</v>
      </c>
      <c r="J657" s="19">
        <f>ROUNDDOWN(W657,0)/$V657</f>
        <v/>
      </c>
      <c r="K657" s="19">
        <f>ROUNDDOWN(X657,0)/$V657</f>
        <v/>
      </c>
      <c r="L657" s="19">
        <f>ROUNDDOWN(Y657,0)/$V657</f>
        <v/>
      </c>
      <c r="M657" s="19">
        <f>ROUNDDOWN(Z657,0)/$V657</f>
        <v/>
      </c>
      <c r="O657" s="36" t="inlineStr">
        <is>
          <t>𨧽 𨧾 𨧿 𨨀 𨨁 𨨂 𨨃 𨨄 𨨅 𨨆 𨨇 𨨈 𨨉 𨨊 𨨋 𨨌 𨨍 𨨎 𨨏 𨨐 𨨑 𨨒 𨨓 𨨔 𨨕 𨨖 𨨗 𨨘 𨨙 𨨚 𨨛 𨨜 𨨝 𨨞 𨨟 𨨠 𨨡 𨨢 𨨣 𨨤 𨨥 𨨦 𨨧 𨨨 𨨩 𨨪 𨨫 𨨬 𨨭 𨨮 𨨯 𨨰 𨨱 𨨲 𨨳 𨨴 𨨵 𨨶 𨨷 𨨸 𨨹 𨨺 𨨻 𨨼 𨨽 𨨾 𨨿 𨩀 𨩁 𨩂 𨩃 𨩄 𨩅 𨩆 𨩇 𨩈 𨩉 𨩊 𨩋 𨩌 𨩍 𨩎 𨩏 𨩐 𨩑 𨩒 𨩓 𨩔 𨩕 𨩖 𨩗 𨩘 𨩙 𨩚 𨩛 𨩜 𨩝 𨩞 𨩟 𨩠 𨩡 𨩢 𨩣 𨩤 𨩥 𨩦 𨩧 𨩨 𨩩 𨩪 𨩫 𨩬 𨩭 𨩮 𨩯 𨩰 𨩱 𨩲 𨩳 𨩴 𨩵 𨩶 𨩷 𨩸 𨩹 𨩺 𨩻 𨩼 𨩽 𨩾 𨩿 𨪀 𨪁 𨪂 𨪃 𨪄 𨪅 𨪆 𨪇 𨪈 𨪉 𨪊 𨪋 𨪌 𨪍 𨪎 𨪏 𨪐 𨪑 𨪒 𨪓 𨪔 𨪕 𨪖 𨪗 𨪘 𨪙 𨪚 𨪛 𨪜 𨪝 𨪞 𨪟 𨪠 𨪡 𨪢 𨪣 𨪤 𨪥 𨪦 𨪧 𨪨 𨪩 𨪪 𨪫 𨪬 𨪭 𨪮 𨪯 𨪰 𨪱 𨪲 𨪳 𨪴 𨪵 𨪶 𨪷 𨪸 𨪹 𨪺 𨪻 𨪼 𨪽 𨪾 𨪿 𨫀 𨫁 𨫂 𨫃 𨫄 𨫅 𨫆 𨫇 𨫈 𨫉 𨫊 𨫋 𨫌 𨫍 𨫎 𨫏 𨫐 𨫑 𨫒 𨫓 𨫔 𨫕 𨫖 𨫗 𨫘 𨫙 𨫚 𨫛 𨫜 𨫝 𨫞 𨫟 𨫠 𨫡 𨫢 𨫣 𨫤 𨫥 𨫦 𨫧 𨫨 𨫩 𨫪 𨫫 𨫬 𨫭 𨫮 𨫯 𨫰 𨫱 𨫲 𨫳 𨫴 𨫵 𨫶 𨫷 𨫸 𨫹 𨫺 𨫻</t>
        </is>
      </c>
      <c r="P657" s="37" t="inlineStr">
        <is>
          <t>𨧽 𨧾 𨧿 𨨀 𨨁 𨨂 𨨃 𨨄 𨨅 𨨆 𨨇 𨨈 𨨉 𨨊 𨨋 𨨌 𨨍 𨨎 𨨏 𨨐 𨨑 𨨒 𨨓 𨨔 𨨕 𨨖 𨨗 𨨘 𨨙 𨨚 𨨛 𨨜 𨨝 𨨞 𨨟 𨨠 𨨡 𨨢 𨨣 𨨤 𨨥 𨨦 𨨧 𨨨 𨨩 𨨪 𨨫 𨨬 𨨭 𨨮 𨨯 𨨰 𨨱 𨨲 𨨳 𨨴 𨨵 𨨶 𨨷 𨨸 𨨹 𨨺 𨨻 𨨼 𨨽 𨨾 𨨿 𨩀 𨩁 𨩂 𨩃 𨩄 𨩅 𨩆 𨩇 𨩈 𨩉 𨩊 𨩋 𨩌 𨩍 𨩎 𨩏 𨩐 𨩑 𨩒 𨩓 𨩔 𨩕 𨩖 𨩗 𨩘 𨩙 𨩚 𨩛 𨩜 𨩝 𨩞 𨩟 𨩠 𨩡 𨩢 𨩣 𨩤 𨩥 𨩦 𨩧 𨩨 𨩩 𨩪 𨩫 𨩬 𨩭 𨩮 𨩯 𨩰 𨩱 𨩲 𨩳 𨩴 𨩵 𨩶 𨩷 𨩸 𨩹 𨩺 𨩻 𨩼 𨩽 𨩾 𨩿 𨪀 𨪁 𨪂 𨪃 𨪄 𨪅 𨪆 𨪇 𨪈 𨪉 𨪊 𨪋 𨪌 𨪍 𨪎 𨪏 𨪐 𨪑 𨪒 𨪓 𨪔 𨪕 𨪖 𨪗 𨪘 𨪙 𨪚 𨪛 𨪜 𨪝 𨪞 𨪟 𨪠 𨪡 𨪢 𨪣 𨪤 𨪥 𨪦 𨪧 𨪨 𨪩 𨪪 𨪫 𨪬 𨪭 𨪮 𨪯 𨪰 𨪱 𨪲 𨪳 𨪴 𨪵 𨪶 𨪷 𨪸 𨪹 𨪺 𨪻 𨪼 𨪽 𨪾 𨪿 𨫀 𨫁 𨫂 𨫃 𨫄 𨫅 𨫆 𨫇 𨫈 𨫉 𨫊 𨫋 𨫌 𨫍 𨫎 𨫏 𨫐 𨫑 𨫒 𨫓 𨫔 𨫕 𨫖 𨫗 𨫘 𨫙 𨫚 𨫛 𨫜 𨫝 𨫞 𨫟 𨫠 𨫡 𨫢 𨫣 𨫤 𨫥 𨫦 𨫧 𨫨 𨫩 𨫪 𨫫 𨫬 𨫭 𨫮 𨫯 𨫰 𨫱 𨫲 𨫳 𨫴 𨫵 𨫶 𨫷 𨫸 𨫹 𨫺 𨫻</t>
        </is>
      </c>
      <c r="Q657" s="38" t="inlineStr">
        <is>
          <t>𨧽 𨧾 𨧿 𨨀 𨨁 𨨂 𨨃 𨨄 𨨅 𨨆 𨨇 𨨈 𨨉 𨨊 𨨋 𨨌 𨨍 𨨎 𨨏 𨨐 𨨑 𨨒 𨨓 𨨔 𨨕 𨨖 𨨗 𨨘 𨨙 𨨚 𨨛 𨨜 𨨝 𨨞 𨨟 𨨠 𨨡 𨨢 𨨣 𨨤 𨨥 𨨦 𨨧 𨨨 𨨩 𨨪 𨨫 𨨬 𨨭 𨨮 𨨯 𨨰 𨨱 𨨲 𨨳 𨨴 𨨵 𨨶 𨨷 𨨸 𨨹 𨨺 𨨻 𨨼 𨨽 𨨾 𨨿 𨩀 𨩁 𨩂 𨩃 𨩄 𨩅 𨩆 𨩇 𨩈 𨩉 𨩊 𨩋 𨩌 𨩍 𨩎 𨩏 𨩐 𨩑 𨩒 𨩓 𨩔 𨩕 𨩖 𨩗 𨩘 𨩙 𨩚 𨩛 𨩜 𨩝 𨩞 𨩟 𨩠 𨩡 𨩢 𨩣 𨩤 𨩥 𨩦 𨩧 𨩨 𨩩 𨩪 𨩫 𨩬 𨩭 𨩮 𨩯 𨩰 𨩱 𨩲 𨩳 𨩴 𨩵 𨩶 𨩷 𨩸 𨩹 𨩺 𨩻 𨩼 𨩽 𨩾 𨩿 𨪀 𨪁 𨪂 𨪃 𨪄 𨪅 𨪆 𨪇 𨪈 𨪉 𨪊 𨪋 𨪌 𨪍 𨪎 𨪏 𨪐 𨪑 𨪒 𨪓 𨪔 𨪕 𨪖 𨪗 𨪘 𨪙 𨪚 𨪛 𨪜 𨪝 𨪞 𨪟 𨪠 𨪡 𨪢 𨪣 𨪤 𨪥 𨪦 𨪧 𨪨 𨪩 𨪪 𨪫 𨪬 𨪭 𨪮 𨪯 𨪰 𨪱 𨪲 𨪳 𨪴 𨪵 𨪶 𨪷 𨪸 𨪹 𨪺 𨪻 𨪼 𨪽 𨪾 𨪿 𨫀 𨫁 𨫂 𨫃 𨫄 𨫅 𨫆 𨫇 𨫈 𨫉 𨫊 𨫋 𨫌 𨫍 𨫎 𨫏 𨫐 𨫑 𨫒 𨫓 𨫔 𨫕 𨫖 𨫗 𨫘 𨫙 𨫚 𨫛 𨫜 𨫝 𨫞 𨫟 𨫠 𨫡 𨫢 𨫣 𨫤 𨫥 𨫦 𨫧 𨫨 𨫩 𨫪 𨫫 𨫬 𨫭 𨫮 𨫯 𨫰 𨫱 𨫲 𨫳 𨫴 𨫵 𨫶 𨫷 𨫸 𨫹 𨫺 𨫻</t>
        </is>
      </c>
      <c r="R657" s="43" t="inlineStr">
        <is>
          <t>𨨏 𨨞 𨨩 𨩃 𨩱 𨪙 𨫍 𨫝 𨫤</t>
        </is>
      </c>
      <c r="S657" s="40" t="n"/>
      <c r="V657" s="14">
        <f>(LEN(O657)+1)/2</f>
        <v/>
      </c>
      <c r="W657" s="14">
        <f>ROUNDDOWN((LEN(P657)+1)/2,0)</f>
        <v/>
      </c>
      <c r="X657" s="14">
        <f>ROUNDDOWN((LEN(Q657)+1)/2,0)</f>
        <v/>
      </c>
      <c r="Y657" s="14">
        <f>ROUNDDOWN((LEN(R657)+1)/2,0)</f>
        <v/>
      </c>
      <c r="Z657" s="14">
        <f>ROUNDDOWN((LEN(S657)+1)/2,0)</f>
        <v/>
      </c>
      <c r="AA657" s="56" t="n">
        <v>46150.55886283318</v>
      </c>
    </row>
    <row r="658" ht="102" customHeight="1">
      <c r="B658" s="46" t="inlineStr">
        <is>
          <t>U+28BFB-U+28CF9</t>
        </is>
      </c>
      <c r="C658" s="46" t="inlineStr">
        <is>
          <t>CJK Unified Ideographs Extension B</t>
        </is>
      </c>
      <c r="D658" s="54">
        <f>HEX2DEC(MID(B658,3,FIND("-",E658)-3))</f>
        <v/>
      </c>
      <c r="E658" s="46" t="inlineStr">
        <is>
          <t>U+20000-U+2A6DF</t>
        </is>
      </c>
      <c r="F658" s="12" t="n">
        <v>4</v>
      </c>
      <c r="J658" s="19">
        <f>ROUNDDOWN(W658,0)/$V658</f>
        <v/>
      </c>
      <c r="K658" s="19">
        <f>ROUNDDOWN(X658,0)/$V658</f>
        <v/>
      </c>
      <c r="L658" s="19">
        <f>ROUNDDOWN(Y658,0)/$V658</f>
        <v/>
      </c>
      <c r="M658" s="19">
        <f>ROUNDDOWN(Z658,0)/$V658</f>
        <v/>
      </c>
      <c r="O658" s="36" t="inlineStr">
        <is>
          <t>𨫼 𨫽 𨫾 𨫿 𨬀 𨬁 𨬂 𨬃 𨬄 𨬅 𨬆 𨬇 𨬈 𨬉 𨬊 𨬋 𨬌 𨬍 𨬎 𨬏 𨬐 𨬑 𨬒 𨬓 𨬔 𨬕 𨬖 𨬗 𨬘 𨬙 𨬚 𨬛 𨬜 𨬝 𨬞 𨬟 𨬠 𨬡 𨬢 𨬣 𨬤 𨬥 𨬦 𨬧 𨬨 𨬩 𨬪 𨬫 𨬬 𨬭 𨬮 𨬯 𨬰 𨬱 𨬲 𨬳 𨬴 𨬵 𨬶 𨬷 𨬸 𨬹 𨬺 𨬻 𨬼 𨬽 𨬾 𨬿 𨭀 𨭁 𨭂 𨭃 𨭄 𨭅 𨭆 𨭇 𨭈 𨭉 𨭊 𨭋 𨭌 𨭍 𨭎 𨭏 𨭐 𨭑 𨭒 𨭓 𨭔 𨭕 𨭖 𨭗 𨭘 𨭙 𨭚 𨭛 𨭜 𨭝 𨭞 𨭟 𨭠 𨭡 𨭢 𨭣 𨭤 𨭥 𨭦 𨭧 𨭨 𨭩 𨭪 𨭫 𨭬 𨭭 𨭮 𨭯 𨭰 𨭱 𨭲 𨭳 𨭴 𨭵 𨭶 𨭷 𨭸 𨭹 𨭺 𨭻 𨭼 𨭽 𨭾 𨭿 𨮀 𨮁 𨮂 𨮃 𨮄 𨮅 𨮆 𨮇 𨮈 𨮉 𨮊 𨮋 𨮌 𨮍 𨮎 𨮏 𨮐 𨮑 𨮒 𨮓 𨮔 𨮕 𨮖 𨮗 𨮘 𨮙 𨮚 𨮛 𨮜 𨮝 𨮞 𨮟 𨮠 𨮡 𨮢 𨮣 𨮤 𨮥 𨮦 𨮧 𨮨 𨮩 𨮪 𨮫 𨮬 𨮭 𨮮 𨮯 𨮰 𨮱 𨮲 𨮳 𨮴 𨮵 𨮶 𨮷 𨮸 𨮹 𨮺 𨮻 𨮼 𨮽 𨮾 𨮿 𨯀 𨯁 𨯂 𨯃 𨯄 𨯅 𨯆 𨯇 𨯈 𨯉 𨯊 𨯋 𨯌 𨯍 𨯎 𨯏 𨯐 𨯑 𨯒 𨯓 𨯔 𨯕 𨯖 𨯗 𨯘 𨯙 𨯚 𨯛 𨯜 𨯝 𨯞 𨯟 𨯠 𨯡 𨯢 𨯣 𨯤 𨯥 𨯦 𨯧 𨯨 𨯩 𨯪 𨯫 𨯬 𨯭 𨯮 𨯯 𨯰 𨯱 𨯲 𨯳 𨯴 𨯵 𨯶 𨯷 𨯸 𨯹 𨯺</t>
        </is>
      </c>
      <c r="P658" s="37" t="inlineStr">
        <is>
          <t>𨫼 𨫽 𨫾 𨫿 𨬀 𨬁 𨬂 𨬃 𨬄 𨬅 𨬆 𨬇 𨬈 𨬉 𨬊 𨬋 𨬌 𨬍 𨬎 𨬏 𨬐 𨬑 𨬒 𨬓 𨬔 𨬕 𨬖 𨬗 𨬘 𨬙 𨬚 𨬛 𨬜 𨬝 𨬞 𨬟 𨬠 𨬡 𨬢 𨬣 𨬤 𨬥 𨬦 𨬧 𨬨 𨬩 𨬪 𨬫 𨬬 𨬭 𨬮 𨬯 𨬰 𨬱 𨬲 𨬳 𨬴 𨬵 𨬶 𨬷 𨬸 𨬹 𨬺 𨬻 𨬼 𨬽 𨬾 𨬿 𨭀 𨭁 𨭂 𨭃 𨭄 𨭅 𨭆 𨭇 𨭈 𨭉 𨭊 𨭋 𨭌 𨭍 𨭎 𨭏 𨭐 𨭑 𨭒 𨭓 𨭔 𨭕 𨭖 𨭗 𨭘 𨭙 𨭚 𨭛 𨭜 𨭝 𨭞 𨭟 𨭠 𨭡 𨭢 𨭣 𨭤 𨭥 𨭦 𨭧 𨭨 𨭩 𨭪 𨭫 𨭬 𨭭 𨭮 𨭯 𨭰 𨭱 𨭲 𨭳 𨭴 𨭵 𨭶 𨭷 𨭸 𨭹 𨭺 𨭻 𨭼 𨭽 𨭾 𨭿 𨮀 𨮁 𨮂 𨮃 𨮄 𨮅 𨮆 𨮇 𨮈 𨮉 𨮊 𨮋 𨮌 𨮍 𨮎 𨮏 𨮐 𨮑 𨮒 𨮓 𨮔 𨮕 𨮖 𨮗 𨮘 𨮙 𨮚 𨮛 𨮜 𨮝 𨮞 𨮟 𨮠 𨮡 𨮢 𨮣 𨮤 𨮥 𨮦 𨮧 𨮨 𨮩 𨮪 𨮫 𨮬 𨮭 𨮮 𨮯 𨮰 𨮱 𨮲 𨮳 𨮴 𨮵 𨮶 𨮷 𨮸 𨮹 𨮺 𨮻 𨮼 𨮽 𨮾 𨮿 𨯀 𨯁 𨯂 𨯃 𨯄 𨯅 𨯆 𨯇 𨯈 𨯉 𨯊 𨯋 𨯌 𨯍 𨯎 𨯏 𨯐 𨯑 𨯒 𨯓 𨯔 𨯕 𨯖 𨯗 𨯘 𨯙 𨯚 𨯛 𨯜 𨯝 𨯞 𨯟 𨯠 𨯡 𨯢 𨯣 𨯤 𨯥 𨯦 𨯧 𨯨 𨯩 𨯪 𨯫 𨯬 𨯭 𨯮 𨯯 𨯰 𨯱 𨯲 𨯳 𨯴 𨯵 𨯶 𨯷 𨯸 𨯹 𨯺</t>
        </is>
      </c>
      <c r="Q658" s="38" t="inlineStr">
        <is>
          <t>𨫼 𨫽 𨫾 𨫿 𨬀 𨬁 𨬂 𨬃 𨬄 𨬅 𨬆 𨬇 𨬈 𨬉 𨬊 𨬋 𨬌 𨬍 𨬎 𨬏 𨬐 𨬑 𨬒 𨬓 𨬔 𨬕 𨬖 𨬗 𨬘 𨬙 𨬚 𨬛 𨬜 𨬝 𨬞 𨬟 𨬠 𨬡 𨬢 𨬣 𨬤 𨬥 𨬦 𨬧 𨬨 𨬩 𨬪 𨬫 𨬬 𨬭 𨬮 𨬯 𨬰 𨬱 𨬲 𨬳 𨬴 𨬵 𨬶 𨬷 𨬸 𨬹 𨬺 𨬻 𨬼 𨬽 𨬾 𨬿 𨭀 𨭁 𨭂 𨭃 𨭄 𨭅 𨭆 𨭇 𨭈 𨭉 𨭊 𨭋 𨭌 𨭍 𨭎 𨭏 𨭐 𨭑 𨭒 𨭓 𨭔 𨭕 𨭖 𨭗 𨭘 𨭙 𨭚 𨭛 𨭜 𨭝 𨭞 𨭟 𨭠 𨭡 𨭢 𨭣 𨭤 𨭥 𨭦 𨭧 𨭨 𨭩 𨭪 𨭫 𨭬 𨭭 𨭮 𨭯 𨭰 𨭱 𨭲 𨭳 𨭴 𨭵 𨭶 𨭷 𨭸 𨭹 𨭺 𨭻 𨭼 𨭽 𨭾 𨭿 𨮀 𨮁 𨮂 𨮃 𨮄 𨮅 𨮆 𨮇 𨮈 𨮉 𨮊 𨮋 𨮌 𨮍 𨮎 𨮏 𨮐 𨮑 𨮒 𨮓 𨮔 𨮕 𨮖 𨮗 𨮘 𨮙 𨮚 𨮛 𨮜 𨮝 𨮞 𨮟 𨮠 𨮡 𨮢 𨮣 𨮤 𨮥 𨮦 𨮧 𨮨 𨮩 𨮪 𨮫 𨮬 𨮭 𨮮 𨮯 𨮰 𨮱 𨮲 𨮳 𨮴 𨮵 𨮶 𨮷 𨮸 𨮹 𨮺 𨮻 𨮼 𨮽 𨮾 𨮿 𨯀 𨯁 𨯂 𨯃 𨯄 𨯅 𨯆 𨯇 𨯈 𨯉 𨯊 𨯋 𨯌 𨯍 𨯎 𨯏 𨯐 𨯑 𨯒 𨯓 𨯔 𨯕 𨯖 𨯗 𨯘 𨯙 𨯚 𨯛 𨯜 𨯝 𨯞 𨯟 𨯠 𨯡 𨯢 𨯣 𨯤 𨯥 𨯦 𨯧 𨯨 𨯩 𨯪 𨯫 𨯬 𨯭 𨯮 𨯯 𨯰 𨯱 𨯲 𨯳 𨯴 𨯵 𨯶 𨯷 𨯸 𨯹 𨯺</t>
        </is>
      </c>
      <c r="R658" s="43" t="inlineStr">
        <is>
          <t>𨭆 𨭉 𨭎 𨯁 𨯯</t>
        </is>
      </c>
      <c r="S658" s="40" t="n"/>
      <c r="V658" s="14">
        <f>(LEN(O658)+1)/2</f>
        <v/>
      </c>
      <c r="W658" s="14">
        <f>ROUNDDOWN((LEN(P658)+1)/2,0)</f>
        <v/>
      </c>
      <c r="X658" s="14">
        <f>ROUNDDOWN((LEN(Q658)+1)/2,0)</f>
        <v/>
      </c>
      <c r="Y658" s="14">
        <f>ROUNDDOWN((LEN(R658)+1)/2,0)</f>
        <v/>
      </c>
      <c r="Z658" s="14">
        <f>ROUNDDOWN((LEN(S658)+1)/2,0)</f>
        <v/>
      </c>
      <c r="AA658" s="56" t="n">
        <v>46150.55886392779</v>
      </c>
    </row>
    <row r="659" ht="102" customHeight="1">
      <c r="B659" s="46" t="inlineStr">
        <is>
          <t>U+28CFA-U+28DF8</t>
        </is>
      </c>
      <c r="C659" s="46" t="inlineStr">
        <is>
          <t>CJK Unified Ideographs Extension B</t>
        </is>
      </c>
      <c r="D659" s="54">
        <f>HEX2DEC(MID(B659,3,FIND("-",E659)-3))</f>
        <v/>
      </c>
      <c r="E659" s="46" t="inlineStr">
        <is>
          <t>U+20000-U+2A6DF</t>
        </is>
      </c>
      <c r="F659" s="12" t="n">
        <v>4</v>
      </c>
      <c r="J659" s="19">
        <f>ROUNDDOWN(W659,0)/$V659</f>
        <v/>
      </c>
      <c r="K659" s="19">
        <f>ROUNDDOWN(X659,0)/$V659</f>
        <v/>
      </c>
      <c r="L659" s="19">
        <f>ROUNDDOWN(Y659,0)/$V659</f>
        <v/>
      </c>
      <c r="M659" s="19">
        <f>ROUNDDOWN(Z659,0)/$V659</f>
        <v/>
      </c>
      <c r="O659" s="36" t="inlineStr">
        <is>
          <t>𨯻 𨯼 𨯽 𨯾 𨯿 𨰀 𨰁 𨰂 𨰃 𨰄 𨰅 𨰆 𨰇 𨰈 𨰉 𨰊 𨰋 𨰌 𨰍 𨰎 𨰏 𨰐 𨰑 𨰒 𨰓 𨰔 𨰕 𨰖 𨰗 𨰘 𨰙 𨰚 𨰛 𨰜 𨰝 𨰞 𨰟 𨰠 𨰡 𨰢 𨰣 𨰤 𨰥 𨰦 𨰧 𨰨 𨰩 𨰪 𨰫 𨰬 𨰭 𨰮 𨰯 𨰰 𨰱 𨰲 𨰳 𨰴 𨰵 𨰶 𨰷 𨰸 𨰹 𨰺 𨰻 𨰼 𨰽 𨰾 𨰿 𨱀 𨱁 𨱂 𨱃 𨱄 𨱅 𨱆 𨱇 𨱈 𨱉 𨱊 𨱋 𨱌 𨱍 𨱎 𨱏 𨱐 𨱑 𨱒 𨱓 𨱔 𨱕 𨱖 𨱗 𨱘 𨱙 𨱚 𨱛 𨱜 𨱝 𨱞 𨱟 𨱠 𨱡 𨱢 𨱣 𨱤 𨱥 𨱦 𨱧 𨱨 𨱩 𨱪 𨱫 𨱬 𨱭 𨱮 𨱯 𨱰 𨱱 𨱲 𨱳 𨱴 𨱵 𨱶 𨱷 𨱸 𨱹 𨱺 𨱻 𨱼 𨱽 𨱾 𨱿 𨲀 𨲁 𨲂 𨲃 𨲄 𨲅 𨲆 𨲇 𨲈 𨲉 𨲊 𨲋 𨲌 𨲍 𨲎 𨲏 𨲐 𨲑 𨲒 𨲓 𨲔 𨲕 𨲖 𨲗 𨲘 𨲙 𨲚 𨲛 𨲜 𨲝 𨲞 𨲟 𨲠 𨲡 𨲢 𨲣 𨲤 𨲥 𨲦 𨲧 𨲨 𨲩 𨲪 𨲫 𨲬 𨲭 𨲮 𨲯 𨲰 𨲱 𨲲 𨲳 𨲴 𨲵 𨲶 𨲷 𨲸 𨲹 𨲺 𨲻 𨲼 𨲽 𨲾 𨲿 𨳀 𨳁 𨳂 𨳃 𨳄 𨳅 𨳆 𨳇 𨳈 𨳉 𨳊 𨳋 𨳌 𨳍 𨳎 𨳏 𨳐 𨳑 𨳒 𨳓 𨳔 𨳕 𨳖 𨳗 𨳘 𨳙 𨳚 𨳛 𨳜 𨳝 𨳞 𨳟 𨳠 𨳡 𨳢 𨳣 𨳤 𨳥 𨳦 𨳧 𨳨 𨳩 𨳪 𨳫 𨳬 𨳭 𨳮 𨳯 𨳰 𨳱 𨳲 𨳳 𨳴 𨳵 𨳶 𨳷 𨳸 𨳹</t>
        </is>
      </c>
      <c r="P659" s="37" t="inlineStr">
        <is>
          <t>𨯻 𨯼 𨯽 𨯾 𨯿 𨰀 𨰁 𨰂 𨰃 𨰄 𨰅 𨰆 𨰇 𨰈 𨰉 𨰊 𨰋 𨰌 𨰍 𨰎 𨰏 𨰐 𨰑 𨰒 𨰓 𨰔 𨰕 𨰖 𨰗 𨰘 𨰙 𨰚 𨰛 𨰜 𨰝 𨰞 𨰟 𨰠 𨰡 𨰢 𨰣 𨰤 𨰥 𨰦 𨰧 𨰨 𨰩 𨰪 𨰫 𨰬 𨰭 𨰮 𨰯 𨰰 𨰱 𨰲 𨰳 𨰴 𨰵 𨰶 𨰷 𨰸 𨰹 𨰺 𨰻 𨰼 𨰽 𨰾 𨰿 𨱀 𨱁 𨱂 𨱃 𨱄 𨱅 𨱆 𨱇 𨱈 𨱉 𨱊 𨱋 𨱌 𨱍 𨱎 𨱏 𨱐 𨱑 𨱒 𨱓 𨱔 𨱕 𨱖 𨱗 𨱘 𨱙 𨱚 𨱛 𨱜 𨱝 𨱞 𨱟 𨱠 𨱡 𨱢 𨱣 𨱤 𨱥 𨱦 𨱧 𨱨 𨱩 𨱪 𨱫 𨱬 𨱭 𨱮 𨱯 𨱰 𨱱 𨱲 𨱳 𨱴 𨱵 𨱶 𨱷 𨱸 𨱹 𨱺 𨱻 𨱼 𨱽 𨱾 𨱿 𨲀 𨲁 𨲂 𨲃 𨲄 𨲅 𨲆 𨲇 𨲈 𨲉 𨲊 𨲋 𨲌 𨲍 𨲎 𨲏 𨲐 𨲑 𨲒 𨲓 𨲔 𨲕 𨲖 𨲗 𨲘 𨲙 𨲚 𨲛 𨲜 𨲝 𨲞 𨲟 𨲠 𨲡 𨲢 𨲣 𨲤 𨲥 𨲦 𨲧 𨲨 𨲩 𨲪 𨲫 𨲬 𨲭 𨲮 𨲯 𨲰 𨲱 𨲲 𨲳 𨲴 𨲵 𨲶 𨲷 𨲸 𨲹 𨲺 𨲻 𨲼 𨲽 𨲾 𨲿 𨳀 𨳁 𨳂 𨳃 𨳄 𨳅 𨳆 𨳇 𨳈 𨳉 𨳊 𨳋 𨳌 𨳍 𨳎 𨳏 𨳐 𨳑 𨳒 𨳓 𨳔 𨳕 𨳖 𨳗 𨳘 𨳙 𨳚 𨳛 𨳜 𨳝 𨳞 𨳟 𨳠 𨳡 𨳢 𨳣 𨳤 𨳥 𨳦 𨳧 𨳨 𨳩 𨳪 𨳫 𨳬 𨳭 𨳮 𨳯 𨳰 𨳱 𨳲 𨳳 𨳴 𨳵 𨳶 𨳷 𨳸 𨳹</t>
        </is>
      </c>
      <c r="Q659" s="38" t="inlineStr">
        <is>
          <t>𨯻 𨯼 𨯽 𨯾 𨯿 𨰀 𨰁 𨰂 𨰃 𨰄 𨰅 𨰆 𨰇 𨰈 𨰉 𨰊 𨰋 𨰌 𨰍 𨰎 𨰏 𨰐 𨰑 𨰒 𨰓 𨰔 𨰕 𨰖 𨰗 𨰘 𨰙 𨰚 𨰛 𨰜 𨰝 𨰞 𨰟 𨰠 𨰡 𨰢 𨰣 𨰤 𨰥 𨰦 𨰧 𨰨 𨰩 𨰪 𨰫 𨰬 𨰭 𨰮 𨰯 𨰰 𨰱 𨰲 𨰳 𨰴 𨰵 𨰶 𨰷 𨰸 𨰹 𨰺 𨰻 𨰼 𨰽 𨰾 𨰿 𨱀 𨱁 𨱂 𨱃 𨱄 𨱅 𨱆 𨱇 𨱈 𨱉 𨱊 𨱋 𨱌 𨱍 𨱎 𨱏 𨱐 𨱑 𨱒 𨱓 𨱔 𨱕 𨱖 𨱗 𨱘 𨱙 𨱚 𨱛 𨱜 𨱝 𨱞 𨱟 𨱠 𨱡 𨱢 𨱣 𨱤 𨱥 𨱦 𨱧 𨱨 𨱩 𨱪 𨱫 𨱬 𨱭 𨱮 𨱯 𨱰 𨱱 𨱲 𨱳 𨱴 𨱵 𨱶 𨱷 𨱸 𨱹 𨱺 𨱻 𨱼 𨱽 𨱾 𨱿 𨲀 𨲁 𨲂 𨲃 𨲄 𨲅 𨲆 𨲇 𨲈 𨲉 𨲊 𨲋 𨲌 𨲍 𨲎 𨲏 𨲐 𨲑 𨲒 𨲓 𨲔 𨲕 𨲖 𨲗 𨲘 𨲙 𨲚 𨲛 𨲜 𨲝 𨲞 𨲟 𨲠 𨲡 𨲢 𨲣 𨲤 𨲥 𨲦 𨲧 𨲨 𨲩 𨲪 𨲫 𨲬 𨲭 𨲮 𨲯 𨲰 𨲱 𨲲 𨲳 𨲴 𨲵 𨲶 𨲷 𨲸 𨲹 𨲺 𨲻 𨲼 𨲽 𨲾 𨲿 𨳀 𨳁 𨳂 𨳃 𨳄 𨳅 𨳆 𨳇 𨳈 𨳉 𨳊 𨳋 𨳌 𨳍 𨳎 𨳏 𨳐 𨳑 𨳒 𨳓 𨳔 𨳕 𨳖 𨳗 𨳘 𨳙 𨳚 𨳛 𨳜 𨳝 𨳞 𨳟 𨳠 𨳡 𨳢 𨳣 𨳤 𨳥 𨳦 𨳧 𨳨 𨳩 𨳪 𨳫 𨳬 𨳭 𨳮 𨳯 𨳰 𨳱 𨳲 𨳳 𨳴 𨳵 𨳶 𨳷 𨳸 𨳹</t>
        </is>
      </c>
      <c r="R659" s="43" t="inlineStr">
        <is>
          <t>𨱇 𨱎 𨱏 𨱑 𨱓 𨱔 𨳊 𨳍</t>
        </is>
      </c>
      <c r="S659" s="40" t="n"/>
      <c r="V659" s="14">
        <f>(LEN(O659)+1)/2</f>
        <v/>
      </c>
      <c r="W659" s="14">
        <f>ROUNDDOWN((LEN(P659)+1)/2,0)</f>
        <v/>
      </c>
      <c r="X659" s="14">
        <f>ROUNDDOWN((LEN(Q659)+1)/2,0)</f>
        <v/>
      </c>
      <c r="Y659" s="14">
        <f>ROUNDDOWN((LEN(R659)+1)/2,0)</f>
        <v/>
      </c>
      <c r="Z659" s="14">
        <f>ROUNDDOWN((LEN(S659)+1)/2,0)</f>
        <v/>
      </c>
      <c r="AA659" s="56" t="n">
        <v>46150.55886509676</v>
      </c>
    </row>
    <row r="660" ht="102" customHeight="1">
      <c r="B660" s="46" t="inlineStr">
        <is>
          <t>U+28DF9-U+28EF7</t>
        </is>
      </c>
      <c r="C660" s="46" t="inlineStr">
        <is>
          <t>CJK Unified Ideographs Extension B</t>
        </is>
      </c>
      <c r="D660" s="54">
        <f>HEX2DEC(MID(B660,3,FIND("-",E660)-3))</f>
        <v/>
      </c>
      <c r="E660" s="46" t="inlineStr">
        <is>
          <t>U+20000-U+2A6DF</t>
        </is>
      </c>
      <c r="F660" s="12" t="n">
        <v>4</v>
      </c>
      <c r="J660" s="19">
        <f>ROUNDDOWN(W660,0)/$V660</f>
        <v/>
      </c>
      <c r="K660" s="19">
        <f>ROUNDDOWN(X660,0)/$V660</f>
        <v/>
      </c>
      <c r="L660" s="19">
        <f>ROUNDDOWN(Y660,0)/$V660</f>
        <v/>
      </c>
      <c r="M660" s="19">
        <f>ROUNDDOWN(Z660,0)/$V660</f>
        <v/>
      </c>
      <c r="O660" s="36" t="inlineStr">
        <is>
          <t>𨳺 𨳻 𨳼 𨳽 𨳾 𨳿 𨴀 𨴁 𨴂 𨴃 𨴄 𨴅 𨴆 𨴇 𨴈 𨴉 𨴊 𨴋 𨴌 𨴍 𨴎 𨴏 𨴐 𨴑 𨴒 𨴓 𨴔 𨴕 𨴖 𨴗 𨴘 𨴙 𨴚 𨴛 𨴜 𨴝 𨴞 𨴟 𨴠 𨴡 𨴢 𨴣 𨴤 𨴥 𨴦 𨴧 𨴨 𨴩 𨴪 𨴫 𨴬 𨴭 𨴮 𨴯 𨴰 𨴱 𨴲 𨴳 𨴴 𨴵 𨴶 𨴷 𨴸 𨴹 𨴺 𨴻 𨴼 𨴽 𨴾 𨴿 𨵀 𨵁 𨵂 𨵃 𨵄 𨵅 𨵆 𨵇 𨵈 𨵉 𨵊 𨵋 𨵌 𨵍 𨵎 𨵏 𨵐 𨵑 𨵒 𨵓 𨵔 𨵕 𨵖 𨵗 𨵘 𨵙 𨵚 𨵛 𨵜 𨵝 𨵞 𨵟 𨵠 𨵡 𨵢 𨵣 𨵤 𨵥 𨵦 𨵧 𨵨 𨵩 𨵪 𨵫 𨵬 𨵭 𨵮 𨵯 𨵰 𨵱 𨵲 𨵳 𨵴 𨵵 𨵶 𨵷 𨵸 𨵹 𨵺 𨵻 𨵼 𨵽 𨵾 𨵿 𨶀 𨶁 𨶂 𨶃 𨶄 𨶅 𨶆 𨶇 𨶈 𨶉 𨶊 𨶋 𨶌 𨶍 𨶎 𨶏 𨶐 𨶑 𨶒 𨶓 𨶔 𨶕 𨶖 𨶗 𨶘 𨶙 𨶚 𨶛 𨶜 𨶝 𨶞 𨶟 𨶠 𨶡 𨶢 𨶣 𨶤 𨶥 𨶦 𨶧 𨶨 𨶩 𨶪 𨶫 𨶬 𨶭 𨶮 𨶯 𨶰 𨶱 𨶲 𨶳 𨶴 𨶵 𨶶 𨶷 𨶸 𨶹 𨶺 𨶻 𨶼 𨶽 𨶾 𨶿 𨷀 𨷁 𨷂 𨷃 𨷄 𨷅 𨷆 𨷇 𨷈 𨷉 𨷊 𨷋 𨷌 𨷍 𨷎 𨷏 𨷐 𨷑 𨷒 𨷓 𨷔 𨷕 𨷖 𨷗 𨷘 𨷙 𨷚 𨷛 𨷜 𨷝 𨷞 𨷟 𨷠 𨷡 𨷢 𨷣 𨷤 𨷥 𨷦 𨷧 𨷨 𨷩 𨷪 𨷫 𨷬 𨷭 𨷮 𨷯 𨷰 𨷱 𨷲 𨷳 𨷴 𨷵 𨷶 𨷷 𨷸</t>
        </is>
      </c>
      <c r="P660" s="37" t="inlineStr">
        <is>
          <t>𨳺 𨳻 𨳼 𨳽 𨳾 𨳿 𨴀 𨴁 𨴂 𨴃 𨴄 𨴅 𨴆 𨴇 𨴈 𨴉 𨴊 𨴋 𨴌 𨴍 𨴎 𨴏 𨴐 𨴑 𨴒 𨴓 𨴔 𨴕 𨴖 𨴗 𨴘 𨴙 𨴚 𨴛 𨴜 𨴝 𨴞 𨴟 𨴠 𨴡 𨴢 𨴣 𨴤 𨴥 𨴦 𨴧 𨴨 𨴩 𨴪 𨴫 𨴬 𨴭 𨴮 𨴯 𨴰 𨴱 𨴲 𨴳 𨴴 𨴵 𨴶 𨴷 𨴸 𨴹 𨴺 𨴻 𨴼 𨴽 𨴾 𨴿 𨵀 𨵁 𨵂 𨵃 𨵄 𨵅 𨵆 𨵇 𨵈 𨵉 𨵊 𨵋 𨵌 𨵍 𨵎 𨵏 𨵐 𨵑 𨵒 𨵓 𨵔 𨵕 𨵖 𨵗 𨵘 𨵙 𨵚 𨵛 𨵜 𨵝 𨵞 𨵟 𨵠 𨵡 𨵢 𨵣 𨵤 𨵥 𨵦 𨵧 𨵨 𨵩 𨵪 𨵫 𨵬 𨵭 𨵮 𨵯 𨵰 𨵱 𨵲 𨵳 𨵴 𨵵 𨵶 𨵷 𨵸 𨵹 𨵺 𨵻 𨵼 𨵽 𨵾 𨵿 𨶀 𨶁 𨶂 𨶃 𨶄 𨶅 𨶆 𨶇 𨶈 𨶉 𨶊 𨶋 𨶌 𨶍 𨶎 𨶏 𨶐 𨶑 𨶒 𨶓 𨶔 𨶕 𨶖 𨶗 𨶘 𨶙 𨶚 𨶛 𨶜 𨶝 𨶞 𨶟 𨶠 𨶡 𨶢 𨶣 𨶤 𨶥 𨶦 𨶧 𨶨 𨶩 𨶪 𨶫 𨶬 𨶭 𨶮 𨶯 𨶰 𨶱 𨶲 𨶳 𨶴 𨶵 𨶶 𨶷 𨶸 𨶹 𨶺 𨶻 𨶼 𨶽 𨶾 𨶿 𨷀 𨷁 𨷂 𨷃 𨷄 𨷅 𨷆 𨷇 𨷈 𨷉 𨷊 𨷋 𨷌 𨷍 𨷎 𨷏 𨷐 𨷑 𨷒 𨷓 𨷔 𨷕 𨷖 𨷗 𨷘 𨷙 𨷚 𨷛 𨷜 𨷝 𨷞 𨷟 𨷠 𨷡 𨷢 𨷣 𨷤 𨷥 𨷦 𨷧 𨷨 𨷩 𨷪 𨷫 𨷬 𨷭 𨷮 𨷯 𨷰 𨷱 𨷲 𨷳 𨷴 𨷵 𨷶 𨷷 𨷸</t>
        </is>
      </c>
      <c r="Q660" s="38" t="inlineStr">
        <is>
          <t>𨳺 𨳻 𨳼 𨳽 𨳾 𨳿 𨴀 𨴁 𨴂 𨴃 𨴄 𨴅 𨴆 𨴇 𨴈 𨴉 𨴊 𨴋 𨴌 𨴍 𨴎 𨴏 𨴐 𨴑 𨴒 𨴓 𨴔 𨴕 𨴖 𨴗 𨴘 𨴙 𨴚 𨴛 𨴜 𨴝 𨴞 𨴟 𨴠 𨴡 𨴢 𨴣 𨴤 𨴥 𨴦 𨴧 𨴨 𨴩 𨴪 𨴫 𨴬 𨴭 𨴮 𨴯 𨴰 𨴱 𨴲 𨴳 𨴴 𨴵 𨴶 𨴷 𨴸 𨴹 𨴺 𨴻 𨴼 𨴽 𨴾 𨴿 𨵀 𨵁 𨵂 𨵃 𨵄 𨵅 𨵆 𨵇 𨵈 𨵉 𨵊 𨵋 𨵌 𨵍 𨵎 𨵏 𨵐 𨵑 𨵒 𨵓 𨵔 𨵕 𨵖 𨵗 𨵘 𨵙 𨵚 𨵛 𨵜 𨵝 𨵞 𨵟 𨵠 𨵡 𨵢 𨵣 𨵤 𨵥 𨵦 𨵧 𨵨 𨵩 𨵪 𨵫 𨵬 𨵭 𨵮 𨵯 𨵰 𨵱 𨵲 𨵳 𨵴 𨵵 𨵶 𨵷 𨵸 𨵹 𨵺 𨵻 𨵼 𨵽 𨵾 𨵿 𨶀 𨶁 𨶂 𨶃 𨶄 𨶅 𨶆 𨶇 𨶈 𨶉 𨶊 𨶋 𨶌 𨶍 𨶎 𨶏 𨶐 𨶑 𨶒 𨶓 𨶔 𨶕 𨶖 𨶗 𨶘 𨶙 𨶚 𨶛 𨶜 𨶝 𨶞 𨶟 𨶠 𨶡 𨶢 𨶣 𨶤 𨶥 𨶦 𨶧 𨶨 𨶩 𨶪 𨶫 𨶬 𨶭 𨶮 𨶯 𨶰 𨶱 𨶲 𨶳 𨶴 𨶵 𨶶 𨶷 𨶸 𨶹 𨶺 𨶻 𨶼 𨶽 𨶾 𨶿 𨷀 𨷁 𨷂 𨷃 𨷄 𨷅 𨷆 𨷇 𨷈 𨷉 𨷊 𨷋 𨷌 𨷍 𨷎 𨷏 𨷐 𨷑 𨷒 𨷓 𨷔 𨷕 𨷖 𨷗 𨷘 𨷙 𨷚 𨷛 𨷜 𨷝 𨷞 𨷟 𨷠 𨷡 𨷢 𨷣 𨷤 𨷥 𨷦 𨷧 𨷨 𨷩 𨷪 𨷫 𨷬 𨷭 𨷮 𨷯 𨷰 𨷱 𨷲 𨷳 𨷴 𨷵 𨷶 𨷷 𨷸</t>
        </is>
      </c>
      <c r="R660" s="43" t="inlineStr">
        <is>
          <t>𨴐 𨵱</t>
        </is>
      </c>
      <c r="S660" s="40" t="n"/>
      <c r="V660" s="14">
        <f>(LEN(O660)+1)/2</f>
        <v/>
      </c>
      <c r="W660" s="14">
        <f>ROUNDDOWN((LEN(P660)+1)/2,0)</f>
        <v/>
      </c>
      <c r="X660" s="14">
        <f>ROUNDDOWN((LEN(Q660)+1)/2,0)</f>
        <v/>
      </c>
      <c r="Y660" s="14">
        <f>ROUNDDOWN((LEN(R660)+1)/2,0)</f>
        <v/>
      </c>
      <c r="Z660" s="14">
        <f>ROUNDDOWN((LEN(S660)+1)/2,0)</f>
        <v/>
      </c>
      <c r="AA660" s="56" t="n">
        <v>46150.55886619133</v>
      </c>
    </row>
    <row r="661" ht="102" customHeight="1">
      <c r="B661" s="46" t="inlineStr">
        <is>
          <t>U+28EF8-U+28FF6</t>
        </is>
      </c>
      <c r="C661" s="46" t="inlineStr">
        <is>
          <t>CJK Unified Ideographs Extension B</t>
        </is>
      </c>
      <c r="D661" s="54">
        <f>HEX2DEC(MID(B661,3,FIND("-",E661)-3))</f>
        <v/>
      </c>
      <c r="E661" s="46" t="inlineStr">
        <is>
          <t>U+20000-U+2A6DF</t>
        </is>
      </c>
      <c r="F661" s="12" t="n">
        <v>4</v>
      </c>
      <c r="J661" s="19">
        <f>ROUNDDOWN(W661,0)/$V661</f>
        <v/>
      </c>
      <c r="K661" s="19">
        <f>ROUNDDOWN(X661,0)/$V661</f>
        <v/>
      </c>
      <c r="L661" s="19">
        <f>ROUNDDOWN(Y661,0)/$V661</f>
        <v/>
      </c>
      <c r="M661" s="19">
        <f>ROUNDDOWN(Z661,0)/$V661</f>
        <v/>
      </c>
      <c r="O661" s="36" t="inlineStr">
        <is>
          <t>𨷹 𨷺 𨷻 𨷼 𨷽 𨷾 𨷿 𨸀 𨸁 𨸂 𨸃 𨸄 𨸅 𨸆 𨸇 𨸈 𨸉 𨸊 𨸋 𨸌 𨸍 𨸎 𨸏 𨸐 𨸑 𨸒 𨸓 𨸔 𨸕 𨸖 𨸗 𨸘 𨸙 𨸚 𨸛 𨸜 𨸝 𨸞 𨸟 𨸠 𨸡 𨸢 𨸣 𨸤 𨸥 𨸦 𨸧 𨸨 𨸩 𨸪 𨸫 𨸬 𨸭 𨸮 𨸯 𨸰 𨸱 𨸲 𨸳 𨸴 𨸵 𨸶 𨸷 𨸸 𨸹 𨸺 𨸻 𨸼 𨸽 𨸾 𨸿 𨹀 𨹁 𨹂 𨹃 𨹄 𨹅 𨹆 𨹇 𨹈 𨹉 𨹊 𨹋 𨹌 𨹍 𨹎 𨹏 𨹐 𨹑 𨹒 𨹓 𨹔 𨹕 𨹖 𨹗 𨹘 𨹙 𨹚 𨹛 𨹜 𨹝 𨹞 𨹟 𨹠 𨹡 𨹢 𨹣 𨹤 𨹥 𨹦 𨹧 𨹨 𨹩 𨹪 𨹫 𨹬 𨹭 𨹮 𨹯 𨹰 𨹱 𨹲 𨹳 𨹴 𨹵 𨹶 𨹷 𨹸 𨹹 𨹺 𨹻 𨹼 𨹽 𨹾 𨹿 𨺀 𨺁 𨺂 𨺃 𨺄 𨺅 𨺆 𨺇 𨺈 𨺉 𨺊 𨺋 𨺌 𨺍 𨺎 𨺏 𨺐 𨺑 𨺒 𨺓 𨺔 𨺕 𨺖 𨺗 𨺘 𨺙 𨺚 𨺛 𨺜 𨺝 𨺞 𨺟 𨺠 𨺡 𨺢 𨺣 𨺤 𨺥 𨺦 𨺧 𨺨 𨺩 𨺪 𨺫 𨺬 𨺭 𨺮 𨺯 𨺰 𨺱 𨺲 𨺳 𨺴 𨺵 𨺶 𨺷 𨺸 𨺹 𨺺 𨺻 𨺼 𨺽 𨺾 𨺿 𨻀 𨻁 𨻂 𨻃 𨻄 𨻅 𨻆 𨻇 𨻈 𨻉 𨻊 𨻋 𨻌 𨻍 𨻎 𨻏 𨻐 𨻑 𨻒 𨻓 𨻔 𨻕 𨻖 𨻗 𨻘 𨻙 𨻚 𨻛 𨻜 𨻝 𨻞 𨻟 𨻠 𨻡 𨻢 𨻣 𨻤 𨻥 𨻦 𨻧 𨻨 𨻩 𨻪 𨻫 𨻬 𨻭 𨻮 𨻯 𨻰 𨻱 𨻲 𨻳 𨻴 𨻵 𨻶 𨻷</t>
        </is>
      </c>
      <c r="P661" s="37" t="inlineStr">
        <is>
          <t>𨷹 𨷺 𨷻 𨷼 𨷽 𨷾 𨷿 𨸀 𨸁 𨸂 𨸃 𨸄 𨸅 𨸆 𨸇 𨸈 𨸉 𨸊 𨸋 𨸌 𨸍 𨸎 𨸏 𨸐 𨸑 𨸒 𨸓 𨸔 𨸕 𨸖 𨸗 𨸘 𨸙 𨸚 𨸛 𨸜 𨸝 𨸞 𨸟 𨸠 𨸡 𨸢 𨸣 𨸤 𨸥 𨸦 𨸧 𨸨 𨸩 𨸪 𨸫 𨸬 𨸭 𨸮 𨸯 𨸰 𨸱 𨸲 𨸳 𨸴 𨸵 𨸶 𨸷 𨸸 𨸹 𨸺 𨸻 𨸼 𨸽 𨸾 𨸿 𨹀 𨹁 𨹂 𨹃 𨹄 𨹅 𨹆 𨹇 𨹈 𨹉 𨹊 𨹋 𨹌 𨹍 𨹎 𨹏 𨹐 𨹑 𨹒 𨹓 𨹔 𨹕 𨹖 𨹗 𨹘 𨹙 𨹚 𨹛 𨹜 𨹝 𨹞 𨹟 𨹠 𨹡 𨹢 𨹣 𨹤 𨹥 𨹦 𨹧 𨹨 𨹩 𨹪 𨹫 𨹬 𨹭 𨹮 𨹯 𨹰 𨹱 𨹲 𨹳 𨹴 𨹵 𨹶 𨹷 𨹸 𨹹 𨹺 𨹻 𨹼 𨹽 𨹾 𨹿 𨺀 𨺁 𨺂 𨺃 𨺄 𨺅 𨺆 𨺇 𨺈 𨺉 𨺊 𨺋 𨺌 𨺍 𨺎 𨺏 𨺐 𨺑 𨺒 𨺓 𨺔 𨺕 𨺖 𨺗 𨺘 𨺙 𨺚 𨺛 𨺜 𨺝 𨺞 𨺟 𨺠 𨺡 𨺢 𨺣 𨺤 𨺥 𨺦 𨺧 𨺨 𨺩 𨺪 𨺫 𨺬 𨺭 𨺮 𨺯 𨺰 𨺱 𨺲 𨺳 𨺴 𨺵 𨺶 𨺷 𨺸 𨺹 𨺺 𨺻 𨺼 𨺽 𨺾 𨺿 𨻀 𨻁 𨻂 𨻃 𨻄 𨻅 𨻆 𨻇 𨻈 𨻉 𨻊 𨻋 𨻌 𨻍 𨻎 𨻏 𨻐 𨻑 𨻒 𨻓 𨻔 𨻕 𨻖 𨻗 𨻘 𨻙 𨻚 𨻛 𨻜 𨻝 𨻞 𨻟 𨻠 𨻡 𨻢 𨻣 𨻤 𨻥 𨻦 𨻧 𨻨 𨻩 𨻪 𨻫 𨻬 𨻭 𨻮 𨻯 𨻰 𨻱 𨻲 𨻳 𨻴 𨻵 𨻶 𨻷</t>
        </is>
      </c>
      <c r="Q661" s="38" t="inlineStr">
        <is>
          <t>𨷹 𨷺 𨷻 𨷼 𨷽 𨷾 𨷿 𨸀 𨸁 𨸂 𨸃 𨸄 𨸅 𨸆 𨸇 𨸈 𨸉 𨸊 𨸋 𨸌 𨸍 𨸎 𨸏 𨸐 𨸑 𨸒 𨸓 𨸔 𨸕 𨸖 𨸗 𨸘 𨸙 𨸚 𨸛 𨸜 𨸝 𨸞 𨸟 𨸠 𨸡 𨸢 𨸣 𨸤 𨸥 𨸦 𨸧 𨸨 𨸩 𨸪 𨸫 𨸬 𨸭 𨸮 𨸯 𨸰 𨸱 𨸲 𨸳 𨸴 𨸵 𨸶 𨸷 𨸸 𨸹 𨸺 𨸻 𨸼 𨸽 𨸾 𨸿 𨹀 𨹁 𨹂 𨹃 𨹄 𨹅 𨹆 𨹇 𨹈 𨹉 𨹊 𨹋 𨹌 𨹍 𨹎 𨹏 𨹐 𨹑 𨹒 𨹓 𨹔 𨹕 𨹖 𨹗 𨹘 𨹙 𨹚 𨹛 𨹜 𨹝 𨹞 𨹟 𨹠 𨹡 𨹢 𨹣 𨹤 𨹥 𨹦 𨹧 𨹨 𨹩 𨹪 𨹫 𨹬 𨹭 𨹮 𨹯 𨹰 𨹱 𨹲 𨹳 𨹴 𨹵 𨹶 𨹷 𨹸 𨹹 𨹺 𨹻 𨹼 𨹽 𨹾 𨹿 𨺀 𨺁 𨺂 𨺃 𨺄 𨺅 𨺆 𨺇 𨺈 𨺉 𨺊 𨺋 𨺌 𨺍 𨺎 𨺏 𨺐 𨺑 𨺒 𨺓 𨺔 𨺕 𨺖 𨺗 𨺘 𨺙 𨺚 𨺛 𨺜 𨺝 𨺞 𨺟 𨺠 𨺡 𨺢 𨺣 𨺤 𨺥 𨺦 𨺧 𨺨 𨺩 𨺪 𨺫 𨺬 𨺭 𨺮 𨺯 𨺰 𨺱 𨺲 𨺳 𨺴 𨺵 𨺶 𨺷 𨺸 𨺹 𨺺 𨺻 𨺼 𨺽 𨺾 𨺿 𨻀 𨻁 𨻂 𨻃 𨻄 𨻅 𨻆 𨻇 𨻈 𨻉 𨻊 𨻋 𨻌 𨻍 𨻎 𨻏 𨻐 𨻑 𨻒 𨻓 𨻔 𨻕 𨻖 𨻗 𨻘 𨻙 𨻚 𨻛 𨻜 𨻝 𨻞 𨻟 𨻠 𨻡 𨻢 𨻣 𨻤 𨻥 𨻦 𨻧 𨻨 𨻩 𨻪 𨻫 𨻬 𨻭 𨻮 𨻯 𨻰 𨻱 𨻲 𨻳 𨻴 𨻵 𨻶 𨻷</t>
        </is>
      </c>
      <c r="R661" s="43" t="inlineStr">
        <is>
          <t>𨷻 𨸏 𨸶 𨸹 𨺙 𨻫 𨻶</t>
        </is>
      </c>
      <c r="S661" s="40" t="n"/>
      <c r="V661" s="14">
        <f>(LEN(O661)+1)/2</f>
        <v/>
      </c>
      <c r="W661" s="14">
        <f>ROUNDDOWN((LEN(P661)+1)/2,0)</f>
        <v/>
      </c>
      <c r="X661" s="14">
        <f>ROUNDDOWN((LEN(Q661)+1)/2,0)</f>
        <v/>
      </c>
      <c r="Y661" s="14">
        <f>ROUNDDOWN((LEN(R661)+1)/2,0)</f>
        <v/>
      </c>
      <c r="Z661" s="14">
        <f>ROUNDDOWN((LEN(S661)+1)/2,0)</f>
        <v/>
      </c>
      <c r="AA661" s="56" t="n">
        <v>46150.55886732573</v>
      </c>
    </row>
    <row r="662" ht="102" customHeight="1">
      <c r="B662" s="46" t="inlineStr">
        <is>
          <t>U+28FF7-U+290F5</t>
        </is>
      </c>
      <c r="C662" s="46" t="inlineStr">
        <is>
          <t>CJK Unified Ideographs Extension B</t>
        </is>
      </c>
      <c r="D662" s="54">
        <f>HEX2DEC(MID(B662,3,FIND("-",E662)-3))</f>
        <v/>
      </c>
      <c r="E662" s="46" t="inlineStr">
        <is>
          <t>U+20000-U+2A6DF</t>
        </is>
      </c>
      <c r="F662" s="12" t="n">
        <v>4</v>
      </c>
      <c r="J662" s="19">
        <f>ROUNDDOWN(W662,0)/$V662</f>
        <v/>
      </c>
      <c r="K662" s="19">
        <f>ROUNDDOWN(X662,0)/$V662</f>
        <v/>
      </c>
      <c r="L662" s="19">
        <f>ROUNDDOWN(Y662,0)/$V662</f>
        <v/>
      </c>
      <c r="M662" s="19">
        <f>ROUNDDOWN(Z662,0)/$V662</f>
        <v/>
      </c>
      <c r="O662" s="36" t="inlineStr">
        <is>
          <t>𨻸 𨻹 𨻺 𨻻 𨻼 𨻽 𨻾 𨻿 𨼀 𨼁 𨼂 𨼃 𨼄 𨼅 𨼆 𨼇 𨼈 𨼉 𨼊 𨼋 𨼌 𨼍 𨼎 𨼏 𨼐 𨼑 𨼒 𨼓 𨼔 𨼕 𨼖 𨼗 𨼘 𨼙 𨼚 𨼛 𨼜 𨼝 𨼞 𨼟 𨼠 𨼡 𨼢 𨼣 𨼤 𨼥 𨼦 𨼧 𨼨 𨼩 𨼪 𨼫 𨼬 𨼭 𨼮 𨼯 𨼰 𨼱 𨼲 𨼳 𨼴 𨼵 𨼶 𨼷 𨼸 𨼹 𨼺 𨼻 𨼼 𨼽 𨼾 𨼿 𨽀 𨽁 𨽂 𨽃 𨽄 𨽅 𨽆 𨽇 𨽈 𨽉 𨽊 𨽋 𨽌 𨽍 𨽎 𨽏 𨽐 𨽑 𨽒 𨽓 𨽔 𨽕 𨽖 𨽗 𨽘 𨽙 𨽚 𨽛 𨽜 𨽝 𨽞 𨽟 𨽠 𨽡 𨽢 𨽣 𨽤 𨽥 𨽦 𨽧 𨽨 𨽩 𨽪 𨽫 𨽬 𨽭 𨽮 𨽯 𨽰 𨽱 𨽲 𨽳 𨽴 𨽵 𨽶 𨽷 𨽸 𨽹 𨽺 𨽻 𨽼 𨽽 𨽾 𨽿 𨾀 𨾁 𨾂 𨾃 𨾄 𨾅 𨾆 𨾇 𨾈 𨾉 𨾊 𨾋 𨾌 𨾍 𨾎 𨾏 𨾐 𨾑 𨾒 𨾓 𨾔 𨾕 𨾖 𨾗 𨾘 𨾙 𨾚 𨾛 𨾜 𨾝 𨾞 𨾟 𨾠 𨾡 𨾢 𨾣 𨾤 𨾥 𨾦 𨾧 𨾨 𨾩 𨾪 𨾫 𨾬 𨾭 𨾮 𨾯 𨾰 𨾱 𨾲 𨾳 𨾴 𨾵 𨾶 𨾷 𨾸 𨾹 𨾺 𨾻 𨾼 𨾽 𨾾 𨾿 𨿀 𨿁 𨿂 𨿃 𨿄 𨿅 𨿆 𨿇 𨿈 𨿉 𨿊 𨿋 𨿌 𨿍 𨿎 𨿏 𨿐 𨿑 𨿒 𨿓 𨿔 𨿕 𨿖 𨿗 𨿘 𨿙 𨿚 𨿛 𨿜 𨿝 𨿞 𨿟 𨿠 𨿡 𨿢 𨿣 𨿤 𨿥 𨿦 𨿧 𨿨 𨿩 𨿪 𨿫 𨿬 𨿭 𨿮 𨿯 𨿰 𨿱 𨿲 𨿳 𨿴 𨿵 𨿶</t>
        </is>
      </c>
      <c r="P662" s="37" t="inlineStr">
        <is>
          <t>𨻸 𨻹 𨻺 𨻻 𨻼 𨻽 𨻾 𨻿 𨼀 𨼁 𨼂 𨼃 𨼄 𨼅 𨼆 𨼇 𨼈 𨼉 𨼊 𨼋 𨼌 𨼍 𨼎 𨼏 𨼐 𨼑 𨼒 𨼓 𨼔 𨼕 𨼖 𨼗 𨼘 𨼙 𨼚 𨼛 𨼜 𨼝 𨼞 𨼟 𨼠 𨼡 𨼢 𨼣 𨼤 𨼥 𨼦 𨼧 𨼨 𨼩 𨼪 𨼫 𨼬 𨼭 𨼮 𨼯 𨼰 𨼱 𨼲 𨼳 𨼴 𨼵 𨼶 𨼷 𨼸 𨼹 𨼺 𨼻 𨼼 𨼽 𨼾 𨼿 𨽀 𨽁 𨽂 𨽃 𨽄 𨽅 𨽆 𨽇 𨽈 𨽉 𨽊 𨽋 𨽌 𨽍 𨽎 𨽏 𨽐 𨽑 𨽒 𨽓 𨽔 𨽕 𨽖 𨽗 𨽘 𨽙 𨽚 𨽛 𨽜 𨽝 𨽞 𨽟 𨽠 𨽡 𨽢 𨽣 𨽤 𨽥 𨽦 𨽧 𨽨 𨽩 𨽪 𨽫 𨽬 𨽭 𨽮 𨽯 𨽰 𨽱 𨽲 𨽳 𨽴 𨽵 𨽶 𨽷 𨽸 𨽹 𨽺 𨽻 𨽼 𨽽 𨽾 𨽿 𨾀 𨾁 𨾂 𨾃 𨾄 𨾅 𨾆 𨾇 𨾈 𨾉 𨾊 𨾋 𨾌 𨾍 𨾎 𨾏 𨾐 𨾑 𨾒 𨾓 𨾔 𨾕 𨾖 𨾗 𨾘 𨾙 𨾚 𨾛 𨾜 𨾝 𨾞 𨾟 𨾠 𨾡 𨾢 𨾣 𨾤 𨾥 𨾦 𨾧 𨾨 𨾩 𨾪 𨾫 𨾬 𨾭 𨾮 𨾯 𨾰 𨾱 𨾲 𨾳 𨾴 𨾵 𨾶 𨾷 𨾸 𨾹 𨾺 𨾻 𨾼 𨾽 𨾾 𨾿 𨿀 𨿁 𨿂 𨿃 𨿄 𨿅 𨿆 𨿇 𨿈 𨿉 𨿊 𨿋 𨿌 𨿍 𨿎 𨿏 𨿐 𨿑 𨿒 𨿓 𨿔 𨿕 𨿖 𨿗 𨿘 𨿙 𨿚 𨿛 𨿜 𨿝 𨿞 𨿟 𨿠 𨿡 𨿢 𨿣 𨿤 𨿥 𨿦 𨿧 𨿨 𨿩 𨿪 𨿫 𨿬 𨿭 𨿮 𨿯 𨿰 𨿱 𨿲 𨿳 𨿴 𨿵 𨿶</t>
        </is>
      </c>
      <c r="Q662" s="38" t="inlineStr">
        <is>
          <t>𨻸 𨻹 𨻺 𨻻 𨻼 𨻽 𨻾 𨻿 𨼀 𨼁 𨼂 𨼃 𨼄 𨼅 𨼆 𨼇 𨼈 𨼉 𨼊 𨼋 𨼌 𨼍 𨼎 𨼏 𨼐 𨼑 𨼒 𨼓 𨼔 𨼕 𨼖 𨼗 𨼘 𨼙 𨼚 𨼛 𨼜 𨼝 𨼞 𨼟 𨼠 𨼡 𨼢 𨼣 𨼤 𨼥 𨼦 𨼧 𨼨 𨼩 𨼪 𨼫 𨼬 𨼭 𨼮 𨼯 𨼰 𨼱 𨼲 𨼳 𨼴 𨼵 𨼶 𨼷 𨼸 𨼹 𨼺 𨼻 𨼼 𨼽 𨼾 𨼿 𨽀 𨽁 𨽂 𨽃 𨽄 𨽅 𨽆 𨽇 𨽈 𨽉 𨽊 𨽋 𨽌 𨽍 𨽎 𨽏 𨽐 𨽑 𨽒 𨽓 𨽔 𨽕 𨽖 𨽗 𨽘 𨽙 𨽚 𨽛 𨽜 𨽝 𨽞 𨽟 𨽠 𨽡 𨽢 𨽣 𨽤 𨽥 𨽦 𨽧 𨽨 𨽩 𨽪 𨽫 𨽬 𨽭 𨽮 𨽯 𨽰 𨽱 𨽲 𨽳 𨽴 𨽵 𨽶 𨽷 𨽸 𨽹 𨽺 𨽻 𨽼 𨽽 𨽾 𨽿 𨾀 𨾁 𨾂 𨾃 𨾄 𨾅 𨾆 𨾇 𨾈 𨾉 𨾊 𨾋 𨾌 𨾍 𨾎 𨾏 𨾐 𨾑 𨾒 𨾓 𨾔 𨾕 𨾖 𨾗 𨾘 𨾙 𨾚 𨾛 𨾜 𨾝 𨾞 𨾟 𨾠 𨾡 𨾢 𨾣 𨾤 𨾥 𨾦 𨾧 𨾨 𨾩 𨾪 𨾫 𨾬 𨾭 𨾮 𨾯 𨾰 𨾱 𨾲 𨾳 𨾴 𨾵 𨾶 𨾷 𨾸 𨾹 𨾺 𨾻 𨾼 𨾽 𨾾 𨾿 𨿀 𨿁 𨿂 𨿃 𨿄 𨿅 𨿆 𨿇 𨿈 𨿉 𨿊 𨿋 𨿌 𨿍 𨿎 𨿏 𨿐 𨿑 𨿒 𨿓 𨿔 𨿕 𨿖 𨿗 𨿘 𨿙 𨿚 𨿛 𨿜 𨿝 𨿞 𨿟 𨿠 𨿡 𨿢 𨿣 𨿤 𨿥 𨿦 𨿧 𨿨 𨿩 𨿪 𨿫 𨿬 𨿭 𨿮 𨿯 𨿰 𨿱 𨿲 𨿳 𨿴 𨿵 𨿶</t>
        </is>
      </c>
      <c r="R662" s="43" t="inlineStr">
        <is>
          <t>𨼲</t>
        </is>
      </c>
      <c r="S662" s="40" t="n"/>
      <c r="V662" s="14">
        <f>(LEN(O662)+1)/2</f>
        <v/>
      </c>
      <c r="W662" s="14">
        <f>ROUNDDOWN((LEN(P662)+1)/2,0)</f>
        <v/>
      </c>
      <c r="X662" s="14">
        <f>ROUNDDOWN((LEN(Q662)+1)/2,0)</f>
        <v/>
      </c>
      <c r="Y662" s="14">
        <f>ROUNDDOWN((LEN(R662)+1)/2,0)</f>
        <v/>
      </c>
      <c r="Z662" s="14">
        <f>ROUNDDOWN((LEN(S662)+1)/2,0)</f>
        <v/>
      </c>
      <c r="AA662" s="56" t="n">
        <v>46150.55886839864</v>
      </c>
    </row>
    <row r="663" ht="102" customHeight="1">
      <c r="B663" s="46" t="inlineStr">
        <is>
          <t>U+290F6-U+291F4</t>
        </is>
      </c>
      <c r="C663" s="46" t="inlineStr">
        <is>
          <t>CJK Unified Ideographs Extension B</t>
        </is>
      </c>
      <c r="D663" s="54">
        <f>HEX2DEC(MID(B663,3,FIND("-",E663)-3))</f>
        <v/>
      </c>
      <c r="E663" s="46" t="inlineStr">
        <is>
          <t>U+20000-U+2A6DF</t>
        </is>
      </c>
      <c r="F663" s="12" t="n">
        <v>4</v>
      </c>
      <c r="J663" s="19">
        <f>ROUNDDOWN(W663,0)/$V663</f>
        <v/>
      </c>
      <c r="K663" s="19">
        <f>ROUNDDOWN(X663,0)/$V663</f>
        <v/>
      </c>
      <c r="L663" s="19">
        <f>ROUNDDOWN(Y663,0)/$V663</f>
        <v/>
      </c>
      <c r="M663" s="19">
        <f>ROUNDDOWN(Z663,0)/$V663</f>
        <v/>
      </c>
      <c r="O663" s="36" t="inlineStr">
        <is>
          <t>𨿷 𨿸 𨿹 𨿺 𨿻 𨿼 𨿽 𨿾 𨿿 𩀀 𩀁 𩀂 𩀃 𩀄 𩀅 𩀆 𩀇 𩀈 𩀉 𩀊 𩀋 𩀌 𩀍 𩀎 𩀏 𩀐 𩀑 𩀒 𩀓 𩀔 𩀕 𩀖 𩀗 𩀘 𩀙 𩀚 𩀛 𩀜 𩀝 𩀞 𩀟 𩀠 𩀡 𩀢 𩀣 𩀤 𩀥 𩀦 𩀧 𩀨 𩀩 𩀪 𩀫 𩀬 𩀭 𩀮 𩀯 𩀰 𩀱 𩀲 𩀳 𩀴 𩀵 𩀶 𩀷 𩀸 𩀹 𩀺 𩀻 𩀼 𩀽 𩀾 𩀿 𩁀 𩁁 𩁂 𩁃 𩁄 𩁅 𩁆 𩁇 𩁈 𩁉 𩁊 𩁋 𩁌 𩁍 𩁎 𩁏 𩁐 𩁑 𩁒 𩁓 𩁔 𩁕 𩁖 𩁗 𩁘 𩁙 𩁚 𩁛 𩁜 𩁝 𩁞 𩁟 𩁠 𩁡 𩁢 𩁣 𩁤 𩁥 𩁦 𩁧 𩁨 𩁩 𩁪 𩁫 𩁬 𩁭 𩁮 𩁯 𩁰 𩁱 𩁲 𩁳 𩁴 𩁵 𩁶 𩁷 𩁸 𩁹 𩁺 𩁻 𩁼 𩁽 𩁾 𩁿 𩂀 𩂁 𩂂 𩂃 𩂄 𩂅 𩂆 𩂇 𩂈 𩂉 𩂊 𩂋 𩂌 𩂍 𩂎 𩂏 𩂐 𩂑 𩂒 𩂓 𩂔 𩂕 𩂖 𩂗 𩂘 𩂙 𩂚 𩂛 𩂜 𩂝 𩂞 𩂟 𩂠 𩂡 𩂢 𩂣 𩂤 𩂥 𩂦 𩂧 𩂨 𩂩 𩂪 𩂫 𩂬 𩂭 𩂮 𩂯 𩂰 𩂱 𩂲 𩂳 𩂴 𩂵 𩂶 𩂷 𩂸 𩂹 𩂺 𩂻 𩂼 𩂽 𩂾 𩂿 𩃀 𩃁 𩃂 𩃃 𩃄 𩃅 𩃆 𩃇 𩃈 𩃉 𩃊 𩃋 𩃌 𩃍 𩃎 𩃏 𩃐 𩃑 𩃒 𩃓 𩃔 𩃕 𩃖 𩃗 𩃘 𩃙 𩃚 𩃛 𩃜 𩃝 𩃞 𩃟 𩃠 𩃡 𩃢 𩃣 𩃤 𩃥 𩃦 𩃧 𩃨 𩃩 𩃪 𩃫 𩃬 𩃭 𩃮 𩃯 𩃰 𩃱 𩃲 𩃳 𩃴 𩃵</t>
        </is>
      </c>
      <c r="P663" s="37" t="inlineStr">
        <is>
          <t>𨿷 𨿸 𨿹 𨿺 𨿻 𨿼 𨿽 𨿾 𨿿 𩀀 𩀁 𩀂 𩀃 𩀄 𩀅 𩀆 𩀇 𩀈 𩀉 𩀊 𩀋 𩀌 𩀍 𩀎 𩀏 𩀐 𩀑 𩀒 𩀓 𩀔 𩀕 𩀖 𩀗 𩀘 𩀙 𩀚 𩀛 𩀜 𩀝 𩀞 𩀟 𩀠 𩀡 𩀢 𩀣 𩀤 𩀥 𩀦 𩀧 𩀨 𩀩 𩀪 𩀫 𩀬 𩀭 𩀮 𩀯 𩀰 𩀱 𩀲 𩀳 𩀴 𩀵 𩀶 𩀷 𩀸 𩀹 𩀺 𩀻 𩀼 𩀽 𩀾 𩀿 𩁀 𩁁 𩁂 𩁃 𩁄 𩁅 𩁆 𩁇 𩁈 𩁉 𩁊 𩁋 𩁌 𩁍 𩁎 𩁏 𩁐 𩁑 𩁒 𩁓 𩁔 𩁕 𩁖 𩁗 𩁘 𩁙 𩁚 𩁛 𩁜 𩁝 𩁞 𩁟 𩁠 𩁡 𩁢 𩁣 𩁤 𩁥 𩁦 𩁧 𩁨 𩁩 𩁪 𩁫 𩁬 𩁭 𩁮 𩁯 𩁰 𩁱 𩁲 𩁳 𩁴 𩁵 𩁶 𩁷 𩁸 𩁹 𩁺 𩁻 𩁼 𩁽 𩁾 𩁿 𩂀 𩂁 𩂂 𩂃 𩂄 𩂅 𩂆 𩂇 𩂈 𩂉 𩂊 𩂋 𩂌 𩂍 𩂎 𩂏 𩂐 𩂑 𩂒 𩂓 𩂔 𩂕 𩂖 𩂗 𩂘 𩂙 𩂚 𩂛 𩂜 𩂝 𩂞 𩂟 𩂠 𩂡 𩂢 𩂣 𩂤 𩂥 𩂦 𩂧 𩂨 𩂩 𩂪 𩂫 𩂬 𩂭 𩂮 𩂯 𩂰 𩂱 𩂲 𩂳 𩂴 𩂵 𩂶 𩂷 𩂸 𩂹 𩂺 𩂻 𩂼 𩂽 𩂾 𩂿 𩃀 𩃁 𩃂 𩃃 𩃄 𩃅 𩃆 𩃇 𩃈 𩃉 𩃊 𩃋 𩃌 𩃍 𩃎 𩃏 𩃐 𩃑 𩃒 𩃓 𩃔 𩃕 𩃖 𩃗 𩃘 𩃙 𩃚 𩃛 𩃜 𩃝 𩃞 𩃟 𩃠 𩃡 𩃢 𩃣 𩃤 𩃥 𩃦 𩃧 𩃨 𩃩 𩃪 𩃫 𩃬 𩃭 𩃮 𩃯 𩃰 𩃱 𩃲 𩃳 𩃴 𩃵</t>
        </is>
      </c>
      <c r="Q663" s="38" t="inlineStr">
        <is>
          <t>𨿷 𨿸 𨿹 𨿺 𨿻 𨿼 𨿽 𨿾 𨿿 𩀀 𩀁 𩀂 𩀃 𩀄 𩀅 𩀆 𩀇 𩀈 𩀉 𩀊 𩀋 𩀌 𩀍 𩀎 𩀏 𩀐 𩀑 𩀒 𩀓 𩀔 𩀕 𩀖 𩀗 𩀘 𩀙 𩀚 𩀛 𩀜 𩀝 𩀞 𩀟 𩀠 𩀡 𩀢 𩀣 𩀤 𩀥 𩀦 𩀧 𩀨 𩀩 𩀪 𩀫 𩀬 𩀭 𩀮 𩀯 𩀰 𩀱 𩀲 𩀳 𩀴 𩀵 𩀶 𩀷 𩀸 𩀹 𩀺 𩀻 𩀼 𩀽 𩀾 𩀿 𩁀 𩁁 𩁂 𩁃 𩁄 𩁅 𩁆 𩁇 𩁈 𩁉 𩁊 𩁋 𩁌 𩁍 𩁎 𩁏 𩁐 𩁑 𩁒 𩁓 𩁔 𩁕 𩁖 𩁗 𩁘 𩁙 𩁚 𩁛 𩁜 𩁝 𩁞 𩁟 𩁠 𩁡 𩁢 𩁣 𩁤 𩁥 𩁦 𩁧 𩁨 𩁩 𩁪 𩁫 𩁬 𩁭 𩁮 𩁯 𩁰 𩁱 𩁲 𩁳 𩁴 𩁵 𩁶 𩁷 𩁸 𩁹 𩁺 𩁻 𩁼 𩁽 𩁾 𩁿 𩂀 𩂁 𩂂 𩂃 𩂄 𩂅 𩂆 𩂇 𩂈 𩂉 𩂊 𩂋 𩂌 𩂍 𩂎 𩂏 𩂐 𩂑 𩂒 𩂓 𩂔 𩂕 𩂖 𩂗 𩂘 𩂙 𩂚 𩂛 𩂜 𩂝 𩂞 𩂟 𩂠 𩂡 𩂢 𩂣 𩂤 𩂥 𩂦 𩂧 𩂨 𩂩 𩂪 𩂫 𩂬 𩂭 𩂮 𩂯 𩂰 𩂱 𩂲 𩂳 𩂴 𩂵 𩂶 𩂷 𩂸 𩂹 𩂺 𩂻 𩂼 𩂽 𩂾 𩂿 𩃀 𩃁 𩃂 𩃃 𩃄 𩃅 𩃆 𩃇 𩃈 𩃉 𩃊 𩃋 𩃌 𩃍 𩃎 𩃏 𩃐 𩃑 𩃒 𩃓 𩃔 𩃕 𩃖 𩃗 𩃘 𩃙 𩃚 𩃛 𩃜 𩃝 𩃞 𩃟 𩃠 𩃡 𩃢 𩃣 𩃤 𩃥 𩃦 𩃧 𩃨 𩃩 𩃪 𩃫 𩃬 𩃭 𩃮 𩃯 𩃰 𩃱 𩃲 𩃳 𩃴 𩃵</t>
        </is>
      </c>
      <c r="R663" s="43" t="inlineStr">
        <is>
          <t>𨿸</t>
        </is>
      </c>
      <c r="S663" s="40" t="n"/>
      <c r="V663" s="14">
        <f>(LEN(O663)+1)/2</f>
        <v/>
      </c>
      <c r="W663" s="14">
        <f>ROUNDDOWN((LEN(P663)+1)/2,0)</f>
        <v/>
      </c>
      <c r="X663" s="14">
        <f>ROUNDDOWN((LEN(Q663)+1)/2,0)</f>
        <v/>
      </c>
      <c r="Y663" s="14">
        <f>ROUNDDOWN((LEN(R663)+1)/2,0)</f>
        <v/>
      </c>
      <c r="Z663" s="14">
        <f>ROUNDDOWN((LEN(S663)+1)/2,0)</f>
        <v/>
      </c>
      <c r="AA663" s="56" t="n">
        <v>46150.55886946651</v>
      </c>
    </row>
    <row r="664" ht="102" customHeight="1">
      <c r="B664" s="46" t="inlineStr">
        <is>
          <t>U+291F5-U+292F3</t>
        </is>
      </c>
      <c r="C664" s="46" t="inlineStr">
        <is>
          <t>CJK Unified Ideographs Extension B</t>
        </is>
      </c>
      <c r="D664" s="54">
        <f>HEX2DEC(MID(B664,3,FIND("-",E664)-3))</f>
        <v/>
      </c>
      <c r="E664" s="46" t="inlineStr">
        <is>
          <t>U+20000-U+2A6DF</t>
        </is>
      </c>
      <c r="F664" s="12" t="n">
        <v>4</v>
      </c>
      <c r="J664" s="19">
        <f>ROUNDDOWN(W664,0)/$V664</f>
        <v/>
      </c>
      <c r="K664" s="19">
        <f>ROUNDDOWN(X664,0)/$V664</f>
        <v/>
      </c>
      <c r="L664" s="19">
        <f>ROUNDDOWN(Y664,0)/$V664</f>
        <v/>
      </c>
      <c r="M664" s="19">
        <f>ROUNDDOWN(Z664,0)/$V664</f>
        <v/>
      </c>
      <c r="O664" s="36" t="inlineStr">
        <is>
          <t>𩃶 𩃷 𩃸 𩃹 𩃺 𩃻 𩃼 𩃽 𩃾 𩃿 𩄀 𩄁 𩄂 𩄃 𩄄 𩄅 𩄆 𩄇 𩄈 𩄉 𩄊 𩄋 𩄌 𩄍 𩄎 𩄏 𩄐 𩄑 𩄒 𩄓 𩄔 𩄕 𩄖 𩄗 𩄘 𩄙 𩄚 𩄛 𩄜 𩄝 𩄞 𩄟 𩄠 𩄡 𩄢 𩄣 𩄤 𩄥 𩄦 𩄧 𩄨 𩄩 𩄪 𩄫 𩄬 𩄭 𩄮 𩄯 𩄰 𩄱 𩄲 𩄳 𩄴 𩄵 𩄶 𩄷 𩄸 𩄹 𩄺 𩄻 𩄼 𩄽 𩄾 𩄿 𩅀 𩅁 𩅂 𩅃 𩅄 𩅅 𩅆 𩅇 𩅈 𩅉 𩅊 𩅋 𩅌 𩅍 𩅎 𩅏 𩅐 𩅑 𩅒 𩅓 𩅔 𩅕 𩅖 𩅗 𩅘 𩅙 𩅚 𩅛 𩅜 𩅝 𩅞 𩅟 𩅠 𩅡 𩅢 𩅣 𩅤 𩅥 𩅦 𩅧 𩅨 𩅩 𩅪 𩅫 𩅬 𩅭 𩅮 𩅯 𩅰 𩅱 𩅲 𩅳 𩅴 𩅵 𩅶 𩅷 𩅸 𩅹 𩅺 𩅻 𩅼 𩅽 𩅾 𩅿 𩆀 𩆁 𩆂 𩆃 𩆄 𩆅 𩆆 𩆇 𩆈 𩆉 𩆊 𩆋 𩆌 𩆍 𩆎 𩆏 𩆐 𩆑 𩆒 𩆓 𩆔 𩆕 𩆖 𩆗 𩆘 𩆙 𩆚 𩆛 𩆜 𩆝 𩆞 𩆟 𩆠 𩆡 𩆢 𩆣 𩆤 𩆥 𩆦 𩆧 𩆨 𩆩 𩆪 𩆫 𩆬 𩆭 𩆮 𩆯 𩆰 𩆱 𩆲 𩆳 𩆴 𩆵 𩆶 𩆷 𩆸 𩆹 𩆺 𩆻 𩆼 𩆽 𩆾 𩆿 𩇀 𩇁 𩇂 𩇃 𩇄 𩇅 𩇆 𩇇 𩇈 𩇉 𩇊 𩇋 𩇌 𩇍 𩇎 𩇏 𩇐 𩇑 𩇒 𩇓 𩇔 𩇕 𩇖 𩇗 𩇘 𩇙 𩇚 𩇛 𩇜 𩇝 𩇞 𩇟 𩇠 𩇡 𩇢 𩇣 𩇤 𩇥 𩇦 𩇧 𩇨 𩇩 𩇪 𩇫 𩇬 𩇭 𩇮 𩇯 𩇰 𩇱 𩇲 𩇳 𩇴</t>
        </is>
      </c>
      <c r="P664" s="37" t="inlineStr">
        <is>
          <t>𩃶 𩃷 𩃸 𩃹 𩃺 𩃻 𩃼 𩃽 𩃾 𩃿 𩄀 𩄁 𩄂 𩄃 𩄄 𩄅 𩄆 𩄇 𩄈 𩄉 𩄊 𩄋 𩄌 𩄍 𩄎 𩄏 𩄐 𩄑 𩄒 𩄓 𩄔 𩄕 𩄖 𩄗 𩄘 𩄙 𩄚 𩄛 𩄜 𩄝 𩄞 𩄟 𩄠 𩄡 𩄢 𩄣 𩄤 𩄥 𩄦 𩄧 𩄨 𩄩 𩄪 𩄫 𩄬 𩄭 𩄮 𩄯 𩄰 𩄱 𩄲 𩄳 𩄴 𩄵 𩄶 𩄷 𩄸 𩄹 𩄺 𩄻 𩄼 𩄽 𩄾 𩄿 𩅀 𩅁 𩅂 𩅃 𩅄 𩅅 𩅆 𩅇 𩅈 𩅉 𩅊 𩅋 𩅌 𩅍 𩅎 𩅏 𩅐 𩅑 𩅒 𩅓 𩅔 𩅕 𩅖 𩅗 𩅘 𩅙 𩅚 𩅛 𩅜 𩅝 𩅞 𩅟 𩅠 𩅡 𩅢 𩅣 𩅤 𩅥 𩅦 𩅧 𩅨 𩅩 𩅪 𩅫 𩅬 𩅭 𩅮 𩅯 𩅰 𩅱 𩅲 𩅳 𩅴 𩅵 𩅶 𩅷 𩅸 𩅹 𩅺 𩅻 𩅼 𩅽 𩅾 𩅿 𩆀 𩆁 𩆂 𩆃 𩆄 𩆅 𩆆 𩆇 𩆈 𩆉 𩆊 𩆋 𩆌 𩆍 𩆎 𩆏 𩆐 𩆑 𩆒 𩆓 𩆔 𩆕 𩆖 𩆗 𩆘 𩆙 𩆚 𩆛 𩆜 𩆝 𩆞 𩆟 𩆠 𩆡 𩆢 𩆣 𩆤 𩆥 𩆦 𩆧 𩆨 𩆩 𩆪 𩆫 𩆬 𩆭 𩆮 𩆯 𩆰 𩆱 𩆲 𩆳 𩆴 𩆵 𩆶 𩆷 𩆸 𩆹 𩆺 𩆻 𩆼 𩆽 𩆾 𩆿 𩇀 𩇁 𩇂 𩇃 𩇄 𩇅 𩇆 𩇇 𩇈 𩇉 𩇊 𩇋 𩇌 𩇍 𩇎 𩇏 𩇐 𩇑 𩇒 𩇓 𩇔 𩇕 𩇖 𩇗 𩇘 𩇙 𩇚 𩇛 𩇜 𩇝 𩇞 𩇟 𩇠 𩇡 𩇢 𩇣 𩇤 𩇥 𩇦 𩇧 𩇨 𩇩 𩇪 𩇫 𩇬 𩇭 𩇮 𩇯 𩇰 𩇱 𩇲 𩇳 𩇴</t>
        </is>
      </c>
      <c r="Q664" s="38" t="inlineStr">
        <is>
          <t>𩃶 𩃷 𩃸 𩃹 𩃺 𩃻 𩃼 𩃽 𩃾 𩃿 𩄀 𩄁 𩄂 𩄃 𩄄 𩄅 𩄆 𩄇 𩄈 𩄉 𩄊 𩄋 𩄌 𩄍 𩄎 𩄏 𩄐 𩄑 𩄒 𩄓 𩄔 𩄕 𩄖 𩄗 𩄘 𩄙 𩄚 𩄛 𩄜 𩄝 𩄞 𩄟 𩄠 𩄡 𩄢 𩄣 𩄤 𩄥 𩄦 𩄧 𩄨 𩄩 𩄪 𩄫 𩄬 𩄭 𩄮 𩄯 𩄰 𩄱 𩄲 𩄳 𩄴 𩄵 𩄶 𩄷 𩄸 𩄹 𩄺 𩄻 𩄼 𩄽 𩄾 𩄿 𩅀 𩅁 𩅂 𩅃 𩅄 𩅅 𩅆 𩅇 𩅈 𩅉 𩅊 𩅋 𩅌 𩅍 𩅎 𩅏 𩅐 𩅑 𩅒 𩅓 𩅔 𩅕 𩅖 𩅗 𩅘 𩅙 𩅚 𩅛 𩅜 𩅝 𩅞 𩅟 𩅠 𩅡 𩅢 𩅣 𩅤 𩅥 𩅦 𩅧 𩅨 𩅩 𩅪 𩅫 𩅬 𩅭 𩅮 𩅯 𩅰 𩅱 𩅲 𩅳 𩅴 𩅵 𩅶 𩅷 𩅸 𩅹 𩅺 𩅻 𩅼 𩅽 𩅾 𩅿 𩆀 𩆁 𩆂 𩆃 𩆄 𩆅 𩆆 𩆇 𩆈 𩆉 𩆊 𩆋 𩆌 𩆍 𩆎 𩆏 𩆐 𩆑 𩆒 𩆓 𩆔 𩆕 𩆖 𩆗 𩆘 𩆙 𩆚 𩆛 𩆜 𩆝 𩆞 𩆟 𩆠 𩆡 𩆢 𩆣 𩆤 𩆥 𩆦 𩆧 𩆨 𩆩 𩆪 𩆫 𩆬 𩆭 𩆮 𩆯 𩆰 𩆱 𩆲 𩆳 𩆴 𩆵 𩆶 𩆷 𩆸 𩆹 𩆺 𩆻 𩆼 𩆽 𩆾 𩆿 𩇀 𩇁 𩇂 𩇃 𩇄 𩇅 𩇆 𩇇 𩇈 𩇉 𩇊 𩇋 𩇌 𩇍 𩇎 𩇏 𩇐 𩇑 𩇒 𩇓 𩇔 𩇕 𩇖 𩇗 𩇘 𩇙 𩇚 𩇛 𩇜 𩇝 𩇞 𩇟 𩇠 𩇡 𩇢 𩇣 𩇤 𩇥 𩇦 𩇧 𩇨 𩇩 𩇪 𩇫 𩇬 𩇭 𩇮 𩇯 𩇰 𩇱 𩇲 𩇳 𩇴</t>
        </is>
      </c>
      <c r="R664" s="43" t="inlineStr"/>
      <c r="S664" s="40" t="n"/>
      <c r="V664" s="14">
        <f>(LEN(O664)+1)/2</f>
        <v/>
      </c>
      <c r="W664" s="14">
        <f>ROUNDDOWN((LEN(P664)+1)/2,0)</f>
        <v/>
      </c>
      <c r="X664" s="14">
        <f>ROUNDDOWN((LEN(Q664)+1)/2,0)</f>
        <v/>
      </c>
      <c r="Y664" s="14">
        <f>ROUNDDOWN((LEN(R664)+1)/2,0)</f>
        <v/>
      </c>
      <c r="Z664" s="14">
        <f>ROUNDDOWN((LEN(S664)+1)/2,0)</f>
        <v/>
      </c>
      <c r="AA664" s="56" t="n">
        <v>46150.55887053563</v>
      </c>
    </row>
    <row r="665" ht="102" customHeight="1">
      <c r="B665" s="46" t="inlineStr">
        <is>
          <t>U+292F4-U+293F2</t>
        </is>
      </c>
      <c r="C665" s="46" t="inlineStr">
        <is>
          <t>CJK Unified Ideographs Extension B</t>
        </is>
      </c>
      <c r="D665" s="54">
        <f>HEX2DEC(MID(B665,3,FIND("-",E665)-3))</f>
        <v/>
      </c>
      <c r="E665" s="46" t="inlineStr">
        <is>
          <t>U+20000-U+2A6DF</t>
        </is>
      </c>
      <c r="F665" s="12" t="n">
        <v>4</v>
      </c>
      <c r="J665" s="19">
        <f>ROUNDDOWN(W665,0)/$V665</f>
        <v/>
      </c>
      <c r="K665" s="19">
        <f>ROUNDDOWN(X665,0)/$V665</f>
        <v/>
      </c>
      <c r="L665" s="19">
        <f>ROUNDDOWN(Y665,0)/$V665</f>
        <v/>
      </c>
      <c r="M665" s="19">
        <f>ROUNDDOWN(Z665,0)/$V665</f>
        <v/>
      </c>
      <c r="O665" s="36" t="inlineStr">
        <is>
          <t>𩇵 𩇶 𩇷 𩇸 𩇹 𩇺 𩇻 𩇼 𩇽 𩇾 𩇿 𩈀 𩈁 𩈂 𩈃 𩈄 𩈅 𩈆 𩈇 𩈈 𩈉 𩈊 𩈋 𩈌 𩈍 𩈎 𩈏 𩈐 𩈑 𩈒 𩈓 𩈔 𩈕 𩈖 𩈗 𩈘 𩈙 𩈚 𩈛 𩈜 𩈝 𩈞 𩈟 𩈠 𩈡 𩈢 𩈣 𩈤 𩈥 𩈦 𩈧 𩈨 𩈩 𩈪 𩈫 𩈬 𩈭 𩈮 𩈯 𩈰 𩈱 𩈲 𩈳 𩈴 𩈵 𩈶 𩈷 𩈸 𩈹 𩈺 𩈻 𩈼 𩈽 𩈾 𩈿 𩉀 𩉁 𩉂 𩉃 𩉄 𩉅 𩉆 𩉇 𩉈 𩉉 𩉊 𩉋 𩉌 𩉍 𩉎 𩉏 𩉐 𩉑 𩉒 𩉓 𩉔 𩉕 𩉖 𩉗 𩉘 𩉙 𩉚 𩉛 𩉜 𩉝 𩉞 𩉟 𩉠 𩉡 𩉢 𩉣 𩉤 𩉥 𩉦 𩉧 𩉨 𩉩 𩉪 𩉫 𩉬 𩉭 𩉮 𩉯 𩉰 𩉱 𩉲 𩉳 𩉴 𩉵 𩉶 𩉷 𩉸 𩉹 𩉺 𩉻 𩉼 𩉽 𩉾 𩉿 𩊀 𩊁 𩊂 𩊃 𩊄 𩊅 𩊆 𩊇 𩊈 𩊉 𩊊 𩊋 𩊌 𩊍 𩊎 𩊏 𩊐 𩊑 𩊒 𩊓 𩊔 𩊕 𩊖 𩊗 𩊘 𩊙 𩊚 𩊛 𩊜 𩊝 𩊞 𩊟 𩊠 𩊡 𩊢 𩊣 𩊤 𩊥 𩊦 𩊧 𩊨 𩊩 𩊪 𩊫 𩊬 𩊭 𩊮 𩊯 𩊰 𩊱 𩊲 𩊳 𩊴 𩊵 𩊶 𩊷 𩊸 𩊹 𩊺 𩊻 𩊼 𩊽 𩊾 𩊿 𩋀 𩋁 𩋂 𩋃 𩋄 𩋅 𩋆 𩋇 𩋈 𩋉 𩋊 𩋋 𩋌 𩋍 𩋎 𩋏 𩋐 𩋑 𩋒 𩋓 𩋔 𩋕 𩋖 𩋗 𩋘 𩋙 𩋚 𩋛 𩋜 𩋝 𩋞 𩋟 𩋠 𩋡 𩋢 𩋣 𩋤 𩋥 𩋦 𩋧 𩋨 𩋩 𩋪 𩋫 𩋬 𩋭 𩋮 𩋯 𩋰 𩋱 𩋲 𩋳</t>
        </is>
      </c>
      <c r="P665" s="37" t="inlineStr">
        <is>
          <t>𩇵 𩇶 𩇷 𩇸 𩇹 𩇺 𩇻 𩇼 𩇽 𩇾 𩇿 𩈀 𩈁 𩈂 𩈃 𩈄 𩈅 𩈆 𩈇 𩈈 𩈉 𩈊 𩈋 𩈌 𩈍 𩈎 𩈏 𩈐 𩈑 𩈒 𩈓 𩈔 𩈕 𩈖 𩈗 𩈘 𩈙 𩈚 𩈛 𩈜 𩈝 𩈞 𩈟 𩈠 𩈡 𩈢 𩈣 𩈤 𩈥 𩈦 𩈧 𩈨 𩈩 𩈪 𩈫 𩈬 𩈭 𩈮 𩈯 𩈰 𩈱 𩈲 𩈳 𩈴 𩈵 𩈶 𩈷 𩈸 𩈹 𩈺 𩈻 𩈼 𩈽 𩈾 𩈿 𩉀 𩉁 𩉂 𩉃 𩉄 𩉅 𩉆 𩉇 𩉈 𩉉 𩉊 𩉋 𩉌 𩉍 𩉎 𩉏 𩉐 𩉑 𩉒 𩉓 𩉔 𩉕 𩉖 𩉗 𩉘 𩉙 𩉚 𩉛 𩉜 𩉝 𩉞 𩉟 𩉠 𩉡 𩉢 𩉣 𩉤 𩉥 𩉦 𩉧 𩉨 𩉩 𩉪 𩉫 𩉬 𩉭 𩉮 𩉯 𩉰 𩉱 𩉲 𩉳 𩉴 𩉵 𩉶 𩉷 𩉸 𩉹 𩉺 𩉻 𩉼 𩉽 𩉾 𩉿 𩊀 𩊁 𩊂 𩊃 𩊄 𩊅 𩊆 𩊇 𩊈 𩊉 𩊊 𩊋 𩊌 𩊍 𩊎 𩊏 𩊐 𩊑 𩊒 𩊓 𩊔 𩊕 𩊖 𩊗 𩊘 𩊙 𩊚 𩊛 𩊜 𩊝 𩊞 𩊟 𩊠 𩊡 𩊢 𩊣 𩊤 𩊥 𩊦 𩊧 𩊨 𩊩 𩊪 𩊫 𩊬 𩊭 𩊮 𩊯 𩊰 𩊱 𩊲 𩊳 𩊴 𩊵 𩊶 𩊷 𩊸 𩊹 𩊺 𩊻 𩊼 𩊽 𩊾 𩊿 𩋀 𩋁 𩋂 𩋃 𩋄 𩋅 𩋆 𩋇 𩋈 𩋉 𩋊 𩋋 𩋌 𩋍 𩋎 𩋏 𩋐 𩋑 𩋒 𩋓 𩋔 𩋕 𩋖 𩋗 𩋘 𩋙 𩋚 𩋛 𩋜 𩋝 𩋞 𩋟 𩋠 𩋡 𩋢 𩋣 𩋤 𩋥 𩋦 𩋧 𩋨 𩋩 𩋪 𩋫 𩋬 𩋭 𩋮 𩋯 𩋰 𩋱 𩋲 𩋳</t>
        </is>
      </c>
      <c r="Q665" s="38" t="inlineStr">
        <is>
          <t>𩇵 𩇶 𩇷 𩇸 𩇹 𩇺 𩇻 𩇼 𩇽 𩇾 𩇿 𩈀 𩈁 𩈂 𩈃 𩈄 𩈅 𩈆 𩈇 𩈈 𩈉 𩈊 𩈋 𩈌 𩈍 𩈎 𩈏 𩈐 𩈑 𩈒 𩈓 𩈔 𩈕 𩈖 𩈗 𩈘 𩈙 𩈚 𩈛 𩈜 𩈝 𩈞 𩈟 𩈠 𩈡 𩈢 𩈣 𩈤 𩈥 𩈦 𩈧 𩈨 𩈩 𩈪 𩈫 𩈬 𩈭 𩈮 𩈯 𩈰 𩈱 𩈲 𩈳 𩈴 𩈵 𩈶 𩈷 𩈸 𩈹 𩈺 𩈻 𩈼 𩈽 𩈾 𩈿 𩉀 𩉁 𩉂 𩉃 𩉄 𩉅 𩉆 𩉇 𩉈 𩉉 𩉊 𩉋 𩉌 𩉍 𩉎 𩉏 𩉐 𩉑 𩉒 𩉓 𩉔 𩉕 𩉖 𩉗 𩉘 𩉙 𩉚 𩉛 𩉜 𩉝 𩉞 𩉟 𩉠 𩉡 𩉢 𩉣 𩉤 𩉥 𩉦 𩉧 𩉨 𩉩 𩉪 𩉫 𩉬 𩉭 𩉮 𩉯 𩉰 𩉱 𩉲 𩉳 𩉴 𩉵 𩉶 𩉷 𩉸 𩉹 𩉺 𩉻 𩉼 𩉽 𩉾 𩉿 𩊀 𩊁 𩊂 𩊃 𩊄 𩊅 𩊆 𩊇 𩊈 𩊉 𩊊 𩊋 𩊌 𩊍 𩊎 𩊏 𩊐 𩊑 𩊒 𩊓 𩊔 𩊕 𩊖 𩊗 𩊘 𩊙 𩊚 𩊛 𩊜 𩊝 𩊞 𩊟 𩊠 𩊡 𩊢 𩊣 𩊤 𩊥 𩊦 𩊧 𩊨 𩊩 𩊪 𩊫 𩊬 𩊭 𩊮 𩊯 𩊰 𩊱 𩊲 𩊳 𩊴 𩊵 𩊶 𩊷 𩊸 𩊹 𩊺 𩊻 𩊼 𩊽 𩊾 𩊿 𩋀 𩋁 𩋂 𩋃 𩋄 𩋅 𩋆 𩋇 𩋈 𩋉 𩋊 𩋋 𩋌 𩋍 𩋎 𩋏 𩋐 𩋑 𩋒 𩋓 𩋔 𩋕 𩋖 𩋗 𩋘 𩋙 𩋚 𩋛 𩋜 𩋝 𩋞 𩋟 𩋠 𩋡 𩋢 𩋣 𩋤 𩋥 𩋦 𩋧 𩋨 𩋩 𩋪 𩋫 𩋬 𩋭 𩋮 𩋯 𩋰 𩋱 𩋲 𩋳</t>
        </is>
      </c>
      <c r="R665" s="43" t="inlineStr">
        <is>
          <t>𩉜 𩊠 𩊱</t>
        </is>
      </c>
      <c r="S665" s="40" t="n"/>
      <c r="V665" s="14">
        <f>(LEN(O665)+1)/2</f>
        <v/>
      </c>
      <c r="W665" s="14">
        <f>ROUNDDOWN((LEN(P665)+1)/2,0)</f>
        <v/>
      </c>
      <c r="X665" s="14">
        <f>ROUNDDOWN((LEN(Q665)+1)/2,0)</f>
        <v/>
      </c>
      <c r="Y665" s="14">
        <f>ROUNDDOWN((LEN(R665)+1)/2,0)</f>
        <v/>
      </c>
      <c r="Z665" s="14">
        <f>ROUNDDOWN((LEN(S665)+1)/2,0)</f>
        <v/>
      </c>
      <c r="AA665" s="56" t="n">
        <v>46150.55887161618</v>
      </c>
    </row>
    <row r="666" ht="102" customHeight="1">
      <c r="B666" s="46" t="inlineStr">
        <is>
          <t>U+293F3-U+294F1</t>
        </is>
      </c>
      <c r="C666" s="46" t="inlineStr">
        <is>
          <t>CJK Unified Ideographs Extension B</t>
        </is>
      </c>
      <c r="D666" s="54">
        <f>HEX2DEC(MID(B666,3,FIND("-",E666)-3))</f>
        <v/>
      </c>
      <c r="E666" s="46" t="inlineStr">
        <is>
          <t>U+20000-U+2A6DF</t>
        </is>
      </c>
      <c r="F666" s="12" t="n">
        <v>4</v>
      </c>
      <c r="J666" s="19">
        <f>ROUNDDOWN(W666,0)/$V666</f>
        <v/>
      </c>
      <c r="K666" s="19">
        <f>ROUNDDOWN(X666,0)/$V666</f>
        <v/>
      </c>
      <c r="L666" s="19">
        <f>ROUNDDOWN(Y666,0)/$V666</f>
        <v/>
      </c>
      <c r="M666" s="19">
        <f>ROUNDDOWN(Z666,0)/$V666</f>
        <v/>
      </c>
      <c r="O666" s="36" t="inlineStr">
        <is>
          <t>𩋴 𩋵 𩋶 𩋷 𩋸 𩋹 𩋺 𩋻 𩋼 𩋽 𩋾 𩋿 𩌀 𩌁 𩌂 𩌃 𩌄 𩌅 𩌆 𩌇 𩌈 𩌉 𩌊 𩌋 𩌌 𩌍 𩌎 𩌏 𩌐 𩌑 𩌒 𩌓 𩌔 𩌕 𩌖 𩌗 𩌘 𩌙 𩌚 𩌛 𩌜 𩌝 𩌞 𩌟 𩌠 𩌡 𩌢 𩌣 𩌤 𩌥 𩌦 𩌧 𩌨 𩌩 𩌪 𩌫 𩌬 𩌭 𩌮 𩌯 𩌰 𩌱 𩌲 𩌳 𩌴 𩌵 𩌶 𩌷 𩌸 𩌹 𩌺 𩌻 𩌼 𩌽 𩌾 𩌿 𩍀 𩍁 𩍂 𩍃 𩍄 𩍅 𩍆 𩍇 𩍈 𩍉 𩍊 𩍋 𩍌 𩍍 𩍎 𩍏 𩍐 𩍑 𩍒 𩍓 𩍔 𩍕 𩍖 𩍗 𩍘 𩍙 𩍚 𩍛 𩍜 𩍝 𩍞 𩍟 𩍠 𩍡 𩍢 𩍣 𩍤 𩍥 𩍦 𩍧 𩍨 𩍩 𩍪 𩍫 𩍬 𩍭 𩍮 𩍯 𩍰 𩍱 𩍲 𩍳 𩍴 𩍵 𩍶 𩍷 𩍸 𩍹 𩍺 𩍻 𩍼 𩍽 𩍾 𩍿 𩎀 𩎁 𩎂 𩎃 𩎄 𩎅 𩎆 𩎇 𩎈 𩎉 𩎊 𩎋 𩎌 𩎍 𩎎 𩎏 𩎐 𩎑 𩎒 𩎓 𩎔 𩎕 𩎖 𩎗 𩎘 𩎙 𩎚 𩎛 𩎜 𩎝 𩎞 𩎟 𩎠 𩎡 𩎢 𩎣 𩎤 𩎥 𩎦 𩎧 𩎨 𩎩 𩎪 𩎫 𩎬 𩎭 𩎮 𩎯 𩎰 𩎱 𩎲 𩎳 𩎴 𩎵 𩎶 𩎷 𩎸 𩎹 𩎺 𩎻 𩎼 𩎽 𩎾 𩎿 𩏀 𩏁 𩏂 𩏃 𩏄 𩏅 𩏆 𩏇 𩏈 𩏉 𩏊 𩏋 𩏌 𩏍 𩏎 𩏏 𩏐 𩏑 𩏒 𩏓 𩏔 𩏕 𩏖 𩏗 𩏘 𩏙 𩏚 𩏛 𩏜 𩏝 𩏞 𩏟 𩏠 𩏡 𩏢 𩏣 𩏤 𩏥 𩏦 𩏧 𩏨 𩏩 𩏪 𩏫 𩏬 𩏭 𩏮 𩏯 𩏰 𩏱 𩏲</t>
        </is>
      </c>
      <c r="P666" s="37" t="inlineStr">
        <is>
          <t>𩋴 𩋵 𩋶 𩋷 𩋸 𩋹 𩋺 𩋻 𩋼 𩋽 𩋾 𩋿 𩌀 𩌁 𩌂 𩌃 𩌄 𩌅 𩌆 𩌇 𩌈 𩌉 𩌊 𩌋 𩌌 𩌍 𩌎 𩌏 𩌐 𩌑 𩌒 𩌓 𩌔 𩌕 𩌖 𩌗 𩌘 𩌙 𩌚 𩌛 𩌜 𩌝 𩌞 𩌟 𩌠 𩌡 𩌢 𩌣 𩌤 𩌥 𩌦 𩌧 𩌨 𩌩 𩌪 𩌫 𩌬 𩌭 𩌮 𩌯 𩌰 𩌱 𩌲 𩌳 𩌴 𩌵 𩌶 𩌷 𩌸 𩌹 𩌺 𩌻 𩌼 𩌽 𩌾 𩌿 𩍀 𩍁 𩍂 𩍃 𩍄 𩍅 𩍆 𩍇 𩍈 𩍉 𩍊 𩍋 𩍌 𩍍 𩍎 𩍏 𩍐 𩍑 𩍒 𩍓 𩍔 𩍕 𩍖 𩍗 𩍘 𩍙 𩍚 𩍛 𩍜 𩍝 𩍞 𩍟 𩍠 𩍡 𩍢 𩍣 𩍤 𩍥 𩍦 𩍧 𩍨 𩍩 𩍪 𩍫 𩍬 𩍭 𩍮 𩍯 𩍰 𩍱 𩍲 𩍳 𩍴 𩍵 𩍶 𩍷 𩍸 𩍹 𩍺 𩍻 𩍼 𩍽 𩍾 𩍿 𩎀 𩎁 𩎂 𩎃 𩎄 𩎅 𩎆 𩎇 𩎈 𩎉 𩎊 𩎋 𩎌 𩎍 𩎎 𩎏 𩎐 𩎑 𩎒 𩎓 𩎔 𩎕 𩎖 𩎗 𩎘 𩎙 𩎚 𩎛 𩎜 𩎝 𩎞 𩎟 𩎠 𩎡 𩎢 𩎣 𩎤 𩎥 𩎦 𩎧 𩎨 𩎩 𩎪 𩎫 𩎬 𩎭 𩎮 𩎯 𩎰 𩎱 𩎲 𩎳 𩎴 𩎵 𩎶 𩎷 𩎸 𩎹 𩎺 𩎻 𩎼 𩎽 𩎾 𩎿 𩏀 𩏁 𩏂 𩏃 𩏄 𩏅 𩏆 𩏇 𩏈 𩏉 𩏊 𩏋 𩏌 𩏍 𩏎 𩏏 𩏐 𩏑 𩏒 𩏓 𩏔 𩏕 𩏖 𩏗 𩏘 𩏙 𩏚 𩏛 𩏜 𩏝 𩏞 𩏟 𩏠 𩏡 𩏢 𩏣 𩏤 𩏥 𩏦 𩏧 𩏨 𩏩 𩏪 𩏫 𩏬 𩏭 𩏮 𩏯 𩏰 𩏱 𩏲</t>
        </is>
      </c>
      <c r="Q666" s="38" t="inlineStr">
        <is>
          <t>𩋴 𩋵 𩋶 𩋷 𩋸 𩋹 𩋺 𩋻 𩋼 𩋽 𩋾 𩋿 𩌀 𩌁 𩌂 𩌃 𩌄 𩌅 𩌆 𩌇 𩌈 𩌉 𩌊 𩌋 𩌌 𩌍 𩌎 𩌏 𩌐 𩌑 𩌒 𩌓 𩌔 𩌕 𩌖 𩌗 𩌘 𩌙 𩌚 𩌛 𩌜 𩌝 𩌞 𩌟 𩌠 𩌡 𩌢 𩌣 𩌤 𩌥 𩌦 𩌧 𩌨 𩌩 𩌪 𩌫 𩌬 𩌭 𩌮 𩌯 𩌰 𩌱 𩌲 𩌳 𩌴 𩌵 𩌶 𩌷 𩌸 𩌹 𩌺 𩌻 𩌼 𩌽 𩌾 𩌿 𩍀 𩍁 𩍂 𩍃 𩍄 𩍅 𩍆 𩍇 𩍈 𩍉 𩍊 𩍋 𩍌 𩍍 𩍎 𩍏 𩍐 𩍑 𩍒 𩍓 𩍔 𩍕 𩍖 𩍗 𩍘 𩍙 𩍚 𩍛 𩍜 𩍝 𩍞 𩍟 𩍠 𩍡 𩍢 𩍣 𩍤 𩍥 𩍦 𩍧 𩍨 𩍩 𩍪 𩍫 𩍬 𩍭 𩍮 𩍯 𩍰 𩍱 𩍲 𩍳 𩍴 𩍵 𩍶 𩍷 𩍸 𩍹 𩍺 𩍻 𩍼 𩍽 𩍾 𩍿 𩎀 𩎁 𩎂 𩎃 𩎄 𩎅 𩎆 𩎇 𩎈 𩎉 𩎊 𩎋 𩎌 𩎍 𩎎 𩎏 𩎐 𩎑 𩎒 𩎓 𩎔 𩎕 𩎖 𩎗 𩎘 𩎙 𩎚 𩎛 𩎜 𩎝 𩎞 𩎟 𩎠 𩎡 𩎢 𩎣 𩎤 𩎥 𩎦 𩎧 𩎨 𩎩 𩎪 𩎫 𩎬 𩎭 𩎮 𩎯 𩎰 𩎱 𩎲 𩎳 𩎴 𩎵 𩎶 𩎷 𩎸 𩎹 𩎺 𩎻 𩎼 𩎽 𩎾 𩎿 𩏀 𩏁 𩏂 𩏃 𩏄 𩏅 𩏆 𩏇 𩏈 𩏉 𩏊 𩏋 𩏌 𩏍 𩏎 𩏏 𩏐 𩏑 𩏒 𩏓 𩏔 𩏕 𩏖 𩏗 𩏘 𩏙 𩏚 𩏛 𩏜 𩏝 𩏞 𩏟 𩏠 𩏡 𩏢 𩏣 𩏤 𩏥 𩏦 𩏧 𩏨 𩏩 𩏪 𩏫 𩏬 𩏭 𩏮 𩏯 𩏰 𩏱 𩏲</t>
        </is>
      </c>
      <c r="R666" s="43" t="inlineStr"/>
      <c r="S666" s="40" t="n"/>
      <c r="V666" s="14">
        <f>(LEN(O666)+1)/2</f>
        <v/>
      </c>
      <c r="W666" s="14">
        <f>ROUNDDOWN((LEN(P666)+1)/2,0)</f>
        <v/>
      </c>
      <c r="X666" s="14">
        <f>ROUNDDOWN((LEN(Q666)+1)/2,0)</f>
        <v/>
      </c>
      <c r="Y666" s="14">
        <f>ROUNDDOWN((LEN(R666)+1)/2,0)</f>
        <v/>
      </c>
      <c r="Z666" s="14">
        <f>ROUNDDOWN((LEN(S666)+1)/2,0)</f>
        <v/>
      </c>
      <c r="AA666" s="56" t="n">
        <v>46150.558872674</v>
      </c>
    </row>
    <row r="667" ht="102" customHeight="1">
      <c r="B667" s="46" t="inlineStr">
        <is>
          <t>U+294F2-U+295F0</t>
        </is>
      </c>
      <c r="C667" s="46" t="inlineStr">
        <is>
          <t>CJK Unified Ideographs Extension B</t>
        </is>
      </c>
      <c r="D667" s="54">
        <f>HEX2DEC(MID(B667,3,FIND("-",E667)-3))</f>
        <v/>
      </c>
      <c r="E667" s="46" t="inlineStr">
        <is>
          <t>U+20000-U+2A6DF</t>
        </is>
      </c>
      <c r="F667" s="12" t="n">
        <v>4</v>
      </c>
      <c r="J667" s="19">
        <f>ROUNDDOWN(W667,0)/$V667</f>
        <v/>
      </c>
      <c r="K667" s="19">
        <f>ROUNDDOWN(X667,0)/$V667</f>
        <v/>
      </c>
      <c r="L667" s="19">
        <f>ROUNDDOWN(Y667,0)/$V667</f>
        <v/>
      </c>
      <c r="M667" s="19">
        <f>ROUNDDOWN(Z667,0)/$V667</f>
        <v/>
      </c>
      <c r="O667" s="36" t="inlineStr">
        <is>
          <t>𩏳 𩏴 𩏵 𩏶 𩏷 𩏸 𩏹 𩏺 𩏻 𩏼 𩏽 𩏾 𩏿 𩐀 𩐁 𩐂 𩐃 𩐄 𩐅 𩐆 𩐇 𩐈 𩐉 𩐊 𩐋 𩐌 𩐍 𩐎 𩐏 𩐐 𩐑 𩐒 𩐓 𩐔 𩐕 𩐖 𩐗 𩐘 𩐙 𩐚 𩐛 𩐜 𩐝 𩐞 𩐟 𩐠 𩐡 𩐢 𩐣 𩐤 𩐥 𩐦 𩐧 𩐨 𩐩 𩐪 𩐫 𩐬 𩐭 𩐮 𩐯 𩐰 𩐱 𩐲 𩐳 𩐴 𩐵 𩐶 𩐷 𩐸 𩐹 𩐺 𩐻 𩐼 𩐽 𩐾 𩐿 𩑀 𩑁 𩑂 𩑃 𩑄 𩑅 𩑆 𩑇 𩑈 𩑉 𩑊 𩑋 𩑌 𩑍 𩑎 𩑏 𩑐 𩑑 𩑒 𩑓 𩑔 𩑕 𩑖 𩑗 𩑘 𩑙 𩑚 𩑛 𩑜 𩑝 𩑞 𩑟 𩑠 𩑡 𩑢 𩑣 𩑤 𩑥 𩑦 𩑧 𩑨 𩑩 𩑪 𩑫 𩑬 𩑭 𩑮 𩑯 𩑰 𩑱 𩑲 𩑳 𩑴 𩑵 𩑶 𩑷 𩑸 𩑹 𩑺 𩑻 𩑼 𩑽 𩑾 𩑿 𩒀 𩒁 𩒂 𩒃 𩒄 𩒅 𩒆 𩒇 𩒈 𩒉 𩒊 𩒋 𩒌 𩒍 𩒎 𩒏 𩒐 𩒑 𩒒 𩒓 𩒔 𩒕 𩒖 𩒗 𩒘 𩒙 𩒚 𩒛 𩒜 𩒝 𩒞 𩒟 𩒠 𩒡 𩒢 𩒣 𩒤 𩒥 𩒦 𩒧 𩒨 𩒩 𩒪 𩒫 𩒬 𩒭 𩒮 𩒯 𩒰 𩒱 𩒲 𩒳 𩒴 𩒵 𩒶 𩒷 𩒸 𩒹 𩒺 𩒻 𩒼 𩒽 𩒾 𩒿 𩓀 𩓁 𩓂 𩓃 𩓄 𩓅 𩓆 𩓇 𩓈 𩓉 𩓊 𩓋 𩓌 𩓍 𩓎 𩓏 𩓐 𩓑 𩓒 𩓓 𩓔 𩓕 𩓖 𩓗 𩓘 𩓙 𩓚 𩓛 𩓜 𩓝 𩓞 𩓟 𩓠 𩓡 𩓢 𩓣 𩓤 𩓥 𩓦 𩓧 𩓨 𩓩 𩓪 𩓫 𩓬 𩓭 𩓮 𩓯 𩓰 𩓱</t>
        </is>
      </c>
      <c r="P667" s="37" t="inlineStr">
        <is>
          <t>𩏳 𩏴 𩏵 𩏶 𩏷 𩏸 𩏹 𩏺 𩏻 𩏼 𩏽 𩏾 𩏿 𩐀 𩐁 𩐂 𩐃 𩐄 𩐅 𩐆 𩐇 𩐈 𩐉 𩐊 𩐋 𩐌 𩐍 𩐎 𩐏 𩐐 𩐑 𩐒 𩐓 𩐔 𩐕 𩐖 𩐗 𩐘 𩐙 𩐚 𩐛 𩐜 𩐝 𩐞 𩐟 𩐠 𩐡 𩐢 𩐣 𩐤 𩐥 𩐦 𩐧 𩐨 𩐩 𩐪 𩐫 𩐬 𩐭 𩐮 𩐯 𩐰 𩐱 𩐲 𩐳 𩐴 𩐵 𩐶 𩐷 𩐸 𩐹 𩐺 𩐻 𩐼 𩐽 𩐾 𩐿 𩑀 𩑁 𩑂 𩑃 𩑄 𩑅 𩑆 𩑇 𩑈 𩑉 𩑊 𩑋 𩑌 𩑍 𩑎 𩑏 𩑐 𩑑 𩑒 𩑓 𩑔 𩑕 𩑖 𩑗 𩑘 𩑙 𩑚 𩑛 𩑜 𩑝 𩑞 𩑟 𩑠 𩑡 𩑢 𩑣 𩑤 𩑥 𩑦 𩑧 𩑨 𩑩 𩑪 𩑫 𩑬 𩑭 𩑮 𩑯 𩑰 𩑱 𩑲 𩑳 𩑴 𩑵 𩑶 𩑷 𩑸 𩑹 𩑺 𩑻 𩑼 𩑽 𩑾 𩑿 𩒀 𩒁 𩒂 𩒃 𩒄 𩒅 𩒆 𩒇 𩒈 𩒉 𩒊 𩒋 𩒌 𩒍 𩒎 𩒏 𩒐 𩒑 𩒒 𩒓 𩒔 𩒕 𩒖 𩒗 𩒘 𩒙 𩒚 𩒛 𩒜 𩒝 𩒞 𩒟 𩒠 𩒡 𩒢 𩒣 𩒤 𩒥 𩒦 𩒧 𩒨 𩒩 𩒪 𩒫 𩒬 𩒭 𩒮 𩒯 𩒰 𩒱 𩒲 𩒳 𩒴 𩒵 𩒶 𩒷 𩒸 𩒹 𩒺 𩒻 𩒼 𩒽 𩒾 𩒿 𩓀 𩓁 𩓂 𩓃 𩓄 𩓅 𩓆 𩓇 𩓈 𩓉 𩓊 𩓋 𩓌 𩓍 𩓎 𩓏 𩓐 𩓑 𩓒 𩓓 𩓔 𩓕 𩓖 𩓗 𩓘 𩓙 𩓚 𩓛 𩓜 𩓝 𩓞 𩓟 𩓠 𩓡 𩓢 𩓣 𩓤 𩓥 𩓦 𩓧 𩓨 𩓩 𩓪 𩓫 𩓬 𩓭 𩓮 𩓯 𩓰 𩓱</t>
        </is>
      </c>
      <c r="Q667" s="38" t="inlineStr">
        <is>
          <t>𩏳 𩏴 𩏵 𩏶 𩏷 𩏸 𩏹 𩏺 𩏻 𩏼 𩏽 𩏾 𩏿 𩐀 𩐁 𩐂 𩐃 𩐄 𩐅 𩐆 𩐇 𩐈 𩐉 𩐊 𩐋 𩐌 𩐍 𩐎 𩐏 𩐐 𩐑 𩐒 𩐓 𩐔 𩐕 𩐖 𩐗 𩐘 𩐙 𩐚 𩐛 𩐜 𩐝 𩐞 𩐟 𩐠 𩐡 𩐢 𩐣 𩐤 𩐥 𩐦 𩐧 𩐨 𩐩 𩐪 𩐫 𩐬 𩐭 𩐮 𩐯 𩐰 𩐱 𩐲 𩐳 𩐴 𩐵 𩐶 𩐷 𩐸 𩐹 𩐺 𩐻 𩐼 𩐽 𩐾 𩐿 𩑀 𩑁 𩑂 𩑃 𩑄 𩑅 𩑆 𩑇 𩑈 𩑉 𩑊 𩑋 𩑌 𩑍 𩑎 𩑏 𩑐 𩑑 𩑒 𩑓 𩑔 𩑕 𩑖 𩑗 𩑘 𩑙 𩑚 𩑛 𩑜 𩑝 𩑞 𩑟 𩑠 𩑡 𩑢 𩑣 𩑤 𩑥 𩑦 𩑧 𩑨 𩑩 𩑪 𩑫 𩑬 𩑭 𩑮 𩑯 𩑰 𩑱 𩑲 𩑳 𩑴 𩑵 𩑶 𩑷 𩑸 𩑹 𩑺 𩑻 𩑼 𩑽 𩑾 𩑿 𩒀 𩒁 𩒂 𩒃 𩒄 𩒅 𩒆 𩒇 𩒈 𩒉 𩒊 𩒋 𩒌 𩒍 𩒎 𩒏 𩒐 𩒑 𩒒 𩒓 𩒔 𩒕 𩒖 𩒗 𩒘 𩒙 𩒚 𩒛 𩒜 𩒝 𩒞 𩒟 𩒠 𩒡 𩒢 𩒣 𩒤 𩒥 𩒦 𩒧 𩒨 𩒩 𩒪 𩒫 𩒬 𩒭 𩒮 𩒯 𩒰 𩒱 𩒲 𩒳 𩒴 𩒵 𩒶 𩒷 𩒸 𩒹 𩒺 𩒻 𩒼 𩒽 𩒾 𩒿 𩓀 𩓁 𩓂 𩓃 𩓄 𩓅 𩓆 𩓇 𩓈 𩓉 𩓊 𩓋 𩓌 𩓍 𩓎 𩓏 𩓐 𩓑 𩓒 𩓓 𩓔 𩓕 𩓖 𩓗 𩓘 𩓙 𩓚 𩓛 𩓜 𩓝 𩓞 𩓟 𩓠 𩓡 𩓢 𩓣 𩓤 𩓥 𩓦 𩓧 𩓨 𩓩 𩓪 𩓫 𩓬 𩓭 𩓮 𩓯 𩓰 𩓱</t>
        </is>
      </c>
      <c r="R667" s="43" t="inlineStr">
        <is>
          <t>𩑝 𩑾 𩒐</t>
        </is>
      </c>
      <c r="S667" s="40" t="n"/>
      <c r="V667" s="14">
        <f>(LEN(O667)+1)/2</f>
        <v/>
      </c>
      <c r="W667" s="14">
        <f>ROUNDDOWN((LEN(P667)+1)/2,0)</f>
        <v/>
      </c>
      <c r="X667" s="14">
        <f>ROUNDDOWN((LEN(Q667)+1)/2,0)</f>
        <v/>
      </c>
      <c r="Y667" s="14">
        <f>ROUNDDOWN((LEN(R667)+1)/2,0)</f>
        <v/>
      </c>
      <c r="Z667" s="14">
        <f>ROUNDDOWN((LEN(S667)+1)/2,0)</f>
        <v/>
      </c>
      <c r="AA667" s="56" t="n">
        <v>46150.55887377426</v>
      </c>
    </row>
    <row r="668" ht="102" customHeight="1">
      <c r="B668" s="46" t="inlineStr">
        <is>
          <t>U+295F1-U+296EF</t>
        </is>
      </c>
      <c r="C668" s="46" t="inlineStr">
        <is>
          <t>CJK Unified Ideographs Extension B</t>
        </is>
      </c>
      <c r="D668" s="54">
        <f>HEX2DEC(MID(B668,3,FIND("-",E668)-3))</f>
        <v/>
      </c>
      <c r="E668" s="46" t="inlineStr">
        <is>
          <t>U+20000-U+2A6DF</t>
        </is>
      </c>
      <c r="F668" s="12" t="n">
        <v>4</v>
      </c>
      <c r="J668" s="19">
        <f>ROUNDDOWN(W668,0)/$V668</f>
        <v/>
      </c>
      <c r="K668" s="19">
        <f>ROUNDDOWN(X668,0)/$V668</f>
        <v/>
      </c>
      <c r="L668" s="19">
        <f>ROUNDDOWN(Y668,0)/$V668</f>
        <v/>
      </c>
      <c r="M668" s="19">
        <f>ROUNDDOWN(Z668,0)/$V668</f>
        <v/>
      </c>
      <c r="O668" s="36" t="inlineStr">
        <is>
          <t>𩓲 𩓳 𩓴 𩓵 𩓶 𩓷 𩓸 𩓹 𩓺 𩓻 𩓼 𩓽 𩓾 𩓿 𩔀 𩔁 𩔂 𩔃 𩔄 𩔅 𩔆 𩔇 𩔈 𩔉 𩔊 𩔋 𩔌 𩔍 𩔎 𩔏 𩔐 𩔑 𩔒 𩔓 𩔔 𩔕 𩔖 𩔗 𩔘 𩔙 𩔚 𩔛 𩔜 𩔝 𩔞 𩔟 𩔠 𩔡 𩔢 𩔣 𩔤 𩔥 𩔦 𩔧 𩔨 𩔩 𩔪 𩔫 𩔬 𩔭 𩔮 𩔯 𩔰 𩔱 𩔲 𩔳 𩔴 𩔵 𩔶 𩔷 𩔸 𩔹 𩔺 𩔻 𩔼 𩔽 𩔾 𩔿 𩕀 𩕁 𩕂 𩕃 𩕄 𩕅 𩕆 𩕇 𩕈 𩕉 𩕊 𩕋 𩕌 𩕍 𩕎 𩕏 𩕐 𩕑 𩕒 𩕓 𩕔 𩕕 𩕖 𩕗 𩕘 𩕙 𩕚 𩕛 𩕜 𩕝 𩕞 𩕟 𩕠 𩕡 𩕢 𩕣 𩕤 𩕥 𩕦 𩕧 𩕨 𩕩 𩕪 𩕫 𩕬 𩕭 𩕮 𩕯 𩕰 𩕱 𩕲 𩕳 𩕴 𩕵 𩕶 𩕷 𩕸 𩕹 𩕺 𩕻 𩕼 𩕽 𩕾 𩕿 𩖀 𩖁 𩖂 𩖃 𩖄 𩖅 𩖆 𩖇 𩖈 𩖉 𩖊 𩖋 𩖌 𩖍 𩖎 𩖏 𩖐 𩖑 𩖒 𩖓 𩖔 𩖕 𩖖 𩖗 𩖘 𩖙 𩖚 𩖛 𩖜 𩖝 𩖞 𩖟 𩖠 𩖡 𩖢 𩖣 𩖤 𩖥 𩖦 𩖧 𩖨 𩖩 𩖪 𩖫 𩖬 𩖭 𩖮 𩖯 𩖰 𩖱 𩖲 𩖳 𩖴 𩖵 𩖶 𩖷 𩖸 𩖹 𩖺 𩖻 𩖼 𩖽 𩖾 𩖿 𩗀 𩗁 𩗂 𩗃 𩗄 𩗅 𩗆 𩗇 𩗈 𩗉 𩗊 𩗋 𩗌 𩗍 𩗎 𩗏 𩗐 𩗑 𩗒 𩗓 𩗔 𩗕 𩗖 𩗗 𩗘 𩗙 𩗚 𩗛 𩗜 𩗝 𩗞 𩗟 𩗠 𩗡 𩗢 𩗣 𩗤 𩗥 𩗦 𩗧 𩗨 𩗩 𩗪 𩗫 𩗬 𩗭 𩗮 𩗯 𩗰</t>
        </is>
      </c>
      <c r="P668" s="37" t="inlineStr">
        <is>
          <t>𩓲 𩓳 𩓴 𩓵 𩓶 𩓷 𩓸 𩓹 𩓺 𩓻 𩓼 𩓽 𩓾 𩓿 𩔀 𩔁 𩔂 𩔃 𩔄 𩔅 𩔆 𩔇 𩔈 𩔉 𩔊 𩔋 𩔌 𩔍 𩔎 𩔏 𩔐 𩔑 𩔒 𩔓 𩔔 𩔕 𩔖 𩔗 𩔘 𩔙 𩔚 𩔛 𩔜 𩔝 𩔞 𩔟 𩔠 𩔡 𩔢 𩔣 𩔤 𩔥 𩔦 𩔧 𩔨 𩔩 𩔪 𩔫 𩔬 𩔭 𩔮 𩔯 𩔰 𩔱 𩔲 𩔳 𩔴 𩔵 𩔶 𩔷 𩔸 𩔹 𩔺 𩔻 𩔼 𩔽 𩔾 𩔿 𩕀 𩕁 𩕂 𩕃 𩕄 𩕅 𩕆 𩕇 𩕈 𩕉 𩕊 𩕋 𩕌 𩕍 𩕎 𩕏 𩕐 𩕑 𩕒 𩕓 𩕔 𩕕 𩕖 𩕗 𩕘 𩕙 𩕚 𩕛 𩕜 𩕝 𩕞 𩕟 𩕠 𩕡 𩕢 𩕣 𩕤 𩕥 𩕦 𩕧 𩕨 𩕩 𩕪 𩕫 𩕬 𩕭 𩕮 𩕯 𩕰 𩕱 𩕲 𩕳 𩕴 𩕵 𩕶 𩕷 𩕸 𩕹 𩕺 𩕻 𩕼 𩕽 𩕾 𩕿 𩖀 𩖁 𩖂 𩖃 𩖄 𩖅 𩖆 𩖇 𩖈 𩖉 𩖊 𩖋 𩖌 𩖍 𩖎 𩖏 𩖐 𩖑 𩖒 𩖓 𩖔 𩖕 𩖖 𩖗 𩖘 𩖙 𩖚 𩖛 𩖜 𩖝 𩖞 𩖟 𩖠 𩖡 𩖢 𩖣 𩖤 𩖥 𩖦 𩖧 𩖨 𩖩 𩖪 𩖫 𩖬 𩖭 𩖮 𩖯 𩖰 𩖱 𩖲 𩖳 𩖴 𩖵 𩖶 𩖷 𩖸 𩖹 𩖺 𩖻 𩖼 𩖽 𩖾 𩖿 𩗀 𩗁 𩗂 𩗃 𩗄 𩗅 𩗆 𩗇 𩗈 𩗉 𩗊 𩗋 𩗌 𩗍 𩗎 𩗏 𩗐 𩗑 𩗒 𩗓 𩗔 𩗕 𩗖 𩗗 𩗘 𩗙 𩗚 𩗛 𩗜 𩗝 𩗞 𩗟 𩗠 𩗡 𩗢 𩗣 𩗤 𩗥 𩗦 𩗧 𩗨 𩗩 𩗪 𩗫 𩗬 𩗭 𩗮 𩗯 𩗰</t>
        </is>
      </c>
      <c r="Q668" s="38" t="inlineStr">
        <is>
          <t>𩓲 𩓳 𩓴 𩓵 𩓶 𩓷 𩓸 𩓹 𩓺 𩓻 𩓼 𩓽 𩓾 𩓿 𩔀 𩔁 𩔂 𩔃 𩔄 𩔅 𩔆 𩔇 𩔈 𩔉 𩔊 𩔋 𩔌 𩔍 𩔎 𩔏 𩔐 𩔑 𩔒 𩔓 𩔔 𩔕 𩔖 𩔗 𩔘 𩔙 𩔚 𩔛 𩔜 𩔝 𩔞 𩔟 𩔠 𩔡 𩔢 𩔣 𩔤 𩔥 𩔦 𩔧 𩔨 𩔩 𩔪 𩔫 𩔬 𩔭 𩔮 𩔯 𩔰 𩔱 𩔲 𩔳 𩔴 𩔵 𩔶 𩔷 𩔸 𩔹 𩔺 𩔻 𩔼 𩔽 𩔾 𩔿 𩕀 𩕁 𩕂 𩕃 𩕄 𩕅 𩕆 𩕇 𩕈 𩕉 𩕊 𩕋 𩕌 𩕍 𩕎 𩕏 𩕐 𩕑 𩕒 𩕓 𩕔 𩕕 𩕖 𩕗 𩕘 𩕙 𩕚 𩕛 𩕜 𩕝 𩕞 𩕟 𩕠 𩕡 𩕢 𩕣 𩕤 𩕥 𩕦 𩕧 𩕨 𩕩 𩕪 𩕫 𩕬 𩕭 𩕮 𩕯 𩕰 𩕱 𩕲 𩕳 𩕴 𩕵 𩕶 𩕷 𩕸 𩕹 𩕺 𩕻 𩕼 𩕽 𩕾 𩕿 𩖀 𩖁 𩖂 𩖃 𩖄 𩖅 𩖆 𩖇 𩖈 𩖉 𩖊 𩖋 𩖌 𩖍 𩖎 𩖏 𩖐 𩖑 𩖒 𩖓 𩖔 𩖕 𩖖 𩖗 𩖘 𩖙 𩖚 𩖛 𩖜 𩖝 𩖞 𩖟 𩖠 𩖡 𩖢 𩖣 𩖤 𩖥 𩖦 𩖧 𩖨 𩖩 𩖪 𩖫 𩖬 𩖭 𩖮 𩖯 𩖰 𩖱 𩖲 𩖳 𩖴 𩖵 𩖶 𩖷 𩖸 𩖹 𩖺 𩖻 𩖼 𩖽 𩖾 𩖿 𩗀 𩗁 𩗂 𩗃 𩗄 𩗅 𩗆 𩗇 𩗈 𩗉 𩗊 𩗋 𩗌 𩗍 𩗎 𩗏 𩗐 𩗑 𩗒 𩗓 𩗔 𩗕 𩗖 𩗗 𩗘 𩗙 𩗚 𩗛 𩗜 𩗝 𩗞 𩗟 𩗠 𩗡 𩗢 𩗣 𩗤 𩗥 𩗦 𩗧 𩗨 𩗩 𩗪 𩗫 𩗬 𩗭 𩗮 𩗯 𩗰</t>
        </is>
      </c>
      <c r="R668" s="43" t="inlineStr">
        <is>
          <t>𩗏</t>
        </is>
      </c>
      <c r="S668" s="40" t="n"/>
      <c r="V668" s="14">
        <f>(LEN(O668)+1)/2</f>
        <v/>
      </c>
      <c r="W668" s="14">
        <f>ROUNDDOWN((LEN(P668)+1)/2,0)</f>
        <v/>
      </c>
      <c r="X668" s="14">
        <f>ROUNDDOWN((LEN(Q668)+1)/2,0)</f>
        <v/>
      </c>
      <c r="Y668" s="14">
        <f>ROUNDDOWN((LEN(R668)+1)/2,0)</f>
        <v/>
      </c>
      <c r="Z668" s="14">
        <f>ROUNDDOWN((LEN(S668)+1)/2,0)</f>
        <v/>
      </c>
      <c r="AA668" s="56" t="n">
        <v>46150.55887484455</v>
      </c>
    </row>
    <row r="669" ht="102" customHeight="1">
      <c r="B669" s="46" t="inlineStr">
        <is>
          <t>U+296F0-U+297EE</t>
        </is>
      </c>
      <c r="C669" s="46" t="inlineStr">
        <is>
          <t>CJK Unified Ideographs Extension B</t>
        </is>
      </c>
      <c r="D669" s="54">
        <f>HEX2DEC(MID(B669,3,FIND("-",E669)-3))</f>
        <v/>
      </c>
      <c r="E669" s="46" t="inlineStr">
        <is>
          <t>U+20000-U+2A6DF</t>
        </is>
      </c>
      <c r="F669" s="12" t="n">
        <v>4</v>
      </c>
      <c r="J669" s="19">
        <f>ROUNDDOWN(W669,0)/$V669</f>
        <v/>
      </c>
      <c r="K669" s="19">
        <f>ROUNDDOWN(X669,0)/$V669</f>
        <v/>
      </c>
      <c r="L669" s="19">
        <f>ROUNDDOWN(Y669,0)/$V669</f>
        <v/>
      </c>
      <c r="M669" s="19">
        <f>ROUNDDOWN(Z669,0)/$V669</f>
        <v/>
      </c>
      <c r="O669" s="36" t="inlineStr">
        <is>
          <t>𩗱 𩗲 𩗳 𩗴 𩗵 𩗶 𩗷 𩗸 𩗹 𩗺 𩗻 𩗼 𩗽 𩗾 𩗿 𩘀 𩘁 𩘂 𩘃 𩘄 𩘅 𩘆 𩘇 𩘈 𩘉 𩘊 𩘋 𩘌 𩘍 𩘎 𩘏 𩘐 𩘑 𩘒 𩘓 𩘔 𩘕 𩘖 𩘗 𩘘 𩘙 𩘚 𩘛 𩘜 𩘝 𩘞 𩘟 𩘠 𩘡 𩘢 𩘣 𩘤 𩘥 𩘦 𩘧 𩘨 𩘩 𩘪 𩘫 𩘬 𩘭 𩘮 𩘯 𩘰 𩘱 𩘲 𩘳 𩘴 𩘵 𩘶 𩘷 𩘸 𩘹 𩘺 𩘻 𩘼 𩘽 𩘾 𩘿 𩙀 𩙁 𩙂 𩙃 𩙄 𩙅 𩙆 𩙇 𩙈 𩙉 𩙊 𩙋 𩙌 𩙍 𩙎 𩙏 𩙐 𩙑 𩙒 𩙓 𩙔 𩙕 𩙖 𩙗 𩙘 𩙙 𩙚 𩙛 𩙜 𩙝 𩙞 𩙟 𩙠 𩙡 𩙢 𩙣 𩙤 𩙥 𩙦 𩙧 𩙨 𩙩 𩙪 𩙫 𩙬 𩙭 𩙮 𩙯 𩙰 𩙱 𩙲 𩙳 𩙴 𩙵 𩙶 𩙷 𩙸 𩙹 𩙺 𩙻 𩙼 𩙽 𩙾 𩙿 𩚀 𩚁 𩚂 𩚃 𩚄 𩚅 𩚆 𩚇 𩚈 𩚉 𩚊 𩚋 𩚌 𩚍 𩚎 𩚏 𩚐 𩚑 𩚒 𩚓 𩚔 𩚕 𩚖 𩚗 𩚘 𩚙 𩚚 𩚛 𩚜 𩚝 𩚞 𩚟 𩚠 𩚡 𩚢 𩚣 𩚤 𩚥 𩚦 𩚧 𩚨 𩚩 𩚪 𩚫 𩚬 𩚭 𩚮 𩚯 𩚰 𩚱 𩚲 𩚳 𩚴 𩚵 𩚶 𩚷 𩚸 𩚹 𩚺 𩚻 𩚼 𩚽 𩚾 𩚿 𩛀 𩛁 𩛂 𩛃 𩛄 𩛅 𩛆 𩛇 𩛈 𩛉 𩛊 𩛋 𩛌 𩛍 𩛎 𩛏 𩛐 𩛑 𩛒 𩛓 𩛔 𩛕 𩛖 𩛗 𩛘 𩛙 𩛚 𩛛 𩛜 𩛝 𩛞 𩛟 𩛠 𩛡 𩛢 𩛣 𩛤 𩛥 𩛦 𩛧 𩛨 𩛩 𩛪 𩛫 𩛬 𩛭 𩛮 𩛯</t>
        </is>
      </c>
      <c r="P669" s="37" t="inlineStr">
        <is>
          <t>𩗱 𩗲 𩗳 𩗴 𩗵 𩗶 𩗷 𩗸 𩗹 𩗺 𩗻 𩗼 𩗽 𩗾 𩗿 𩘀 𩘁 𩘂 𩘃 𩘄 𩘅 𩘆 𩘇 𩘈 𩘉 𩘊 𩘋 𩘌 𩘍 𩘎 𩘏 𩘐 𩘑 𩘒 𩘓 𩘔 𩘕 𩘖 𩘗 𩘘 𩘙 𩘚 𩘛 𩘜 𩘝 𩘞 𩘟 𩘠 𩘡 𩘢 𩘣 𩘤 𩘥 𩘦 𩘧 𩘨 𩘩 𩘪 𩘫 𩘬 𩘭 𩘮 𩘯 𩘰 𩘱 𩘲 𩘳 𩘴 𩘵 𩘶 𩘷 𩘸 𩘹 𩘺 𩘻 𩘼 𩘽 𩘾 𩘿 𩙀 𩙁 𩙂 𩙃 𩙄 𩙅 𩙆 𩙇 𩙈 𩙉 𩙊 𩙋 𩙌 𩙍 𩙎 𩙏 𩙐 𩙑 𩙒 𩙓 𩙔 𩙕 𩙖 𩙗 𩙘 𩙙 𩙚 𩙛 𩙜 𩙝 𩙞 𩙟 𩙠 𩙡 𩙢 𩙣 𩙤 𩙥 𩙦 𩙧 𩙨 𩙩 𩙪 𩙫 𩙬 𩙭 𩙮 𩙯 𩙰 𩙱 𩙲 𩙳 𩙴 𩙵 𩙶 𩙷 𩙸 𩙹 𩙺 𩙻 𩙼 𩙽 𩙾 𩙿 𩚀 𩚁 𩚂 𩚃 𩚄 𩚅 𩚆 𩚇 𩚈 𩚉 𩚊 𩚋 𩚌 𩚍 𩚎 𩚏 𩚐 𩚑 𩚒 𩚓 𩚔 𩚕 𩚖 𩚗 𩚘 𩚙 𩚚 𩚛 𩚜 𩚝 𩚞 𩚟 𩚠 𩚡 𩚢 𩚣 𩚤 𩚥 𩚦 𩚧 𩚨 𩚩 𩚪 𩚫 𩚬 𩚭 𩚮 𩚯 𩚰 𩚱 𩚲 𩚳 𩚴 𩚵 𩚶 𩚷 𩚸 𩚹 𩚺 𩚻 𩚼 𩚽 𩚾 𩚿 𩛀 𩛁 𩛂 𩛃 𩛄 𩛅 𩛆 𩛇 𩛈 𩛉 𩛊 𩛋 𩛌 𩛍 𩛎 𩛏 𩛐 𩛑 𩛒 𩛓 𩛔 𩛕 𩛖 𩛗 𩛘 𩛙 𩛚 𩛛 𩛜 𩛝 𩛞 𩛟 𩛠 𩛡 𩛢 𩛣 𩛤 𩛥 𩛦 𩛧 𩛨 𩛩 𩛪 𩛫 𩛬 𩛭 𩛮 𩛯</t>
        </is>
      </c>
      <c r="Q669" s="38" t="inlineStr">
        <is>
          <t>𩗱 𩗲 𩗳 𩗴 𩗵 𩗶 𩗷 𩗸 𩗹 𩗺 𩗻 𩗼 𩗽 𩗾 𩗿 𩘀 𩘁 𩘂 𩘃 𩘄 𩘅 𩘆 𩘇 𩘈 𩘉 𩘊 𩘋 𩘌 𩘍 𩘎 𩘏 𩘐 𩘑 𩘒 𩘓 𩘔 𩘕 𩘖 𩘗 𩘘 𩘙 𩘚 𩘛 𩘜 𩘝 𩘞 𩘟 𩘠 𩘡 𩘢 𩘣 𩘤 𩘥 𩘦 𩘧 𩘨 𩘩 𩘪 𩘫 𩘬 𩘭 𩘮 𩘯 𩘰 𩘱 𩘲 𩘳 𩘴 𩘵 𩘶 𩘷 𩘸 𩘹 𩘺 𩘻 𩘼 𩘽 𩘾 𩘿 𩙀 𩙁 𩙂 𩙃 𩙄 𩙅 𩙆 𩙇 𩙈 𩙉 𩙊 𩙋 𩙌 𩙍 𩙎 𩙏 𩙐 𩙑 𩙒 𩙓 𩙔 𩙕 𩙖 𩙗 𩙘 𩙙 𩙚 𩙛 𩙜 𩙝 𩙞 𩙟 𩙠 𩙡 𩙢 𩙣 𩙤 𩙥 𩙦 𩙧 𩙨 𩙩 𩙪 𩙫 𩙬 𩙭 𩙮 𩙯 𩙰 𩙱 𩙲 𩙳 𩙴 𩙵 𩙶 𩙷 𩙸 𩙹 𩙺 𩙻 𩙼 𩙽 𩙾 𩙿 𩚀 𩚁 𩚂 𩚃 𩚄 𩚅 𩚆 𩚇 𩚈 𩚉 𩚊 𩚋 𩚌 𩚍 𩚎 𩚏 𩚐 𩚑 𩚒 𩚓 𩚔 𩚕 𩚖 𩚗 𩚘 𩚙 𩚚 𩚛 𩚜 𩚝 𩚞 𩚟 𩚠 𩚡 𩚢 𩚣 𩚤 𩚥 𩚦 𩚧 𩚨 𩚩 𩚪 𩚫 𩚬 𩚭 𩚮 𩚯 𩚰 𩚱 𩚲 𩚳 𩚴 𩚵 𩚶 𩚷 𩚸 𩚹 𩚺 𩚻 𩚼 𩚽 𩚾 𩚿 𩛀 𩛁 𩛂 𩛃 𩛄 𩛅 𩛆 𩛇 𩛈 𩛉 𩛊 𩛋 𩛌 𩛍 𩛎 𩛏 𩛐 𩛑 𩛒 𩛓 𩛔 𩛕 𩛖 𩛗 𩛘 𩛙 𩛚 𩛛 𩛜 𩛝 𩛞 𩛟 𩛠 𩛡 𩛢 𩛣 𩛤 𩛥 𩛦 𩛧 𩛨 𩛩 𩛪 𩛫 𩛬 𩛭 𩛮 𩛯</t>
        </is>
      </c>
      <c r="R669" s="43" t="inlineStr">
        <is>
          <t>𩙿 𩚨 𩛩</t>
        </is>
      </c>
      <c r="S669" s="40" t="n"/>
      <c r="V669" s="14">
        <f>(LEN(O669)+1)/2</f>
        <v/>
      </c>
      <c r="W669" s="14">
        <f>ROUNDDOWN((LEN(P669)+1)/2,0)</f>
        <v/>
      </c>
      <c r="X669" s="14">
        <f>ROUNDDOWN((LEN(Q669)+1)/2,0)</f>
        <v/>
      </c>
      <c r="Y669" s="14">
        <f>ROUNDDOWN((LEN(R669)+1)/2,0)</f>
        <v/>
      </c>
      <c r="Z669" s="14">
        <f>ROUNDDOWN((LEN(S669)+1)/2,0)</f>
        <v/>
      </c>
      <c r="AA669" s="56" t="n">
        <v>46150.55887593207</v>
      </c>
    </row>
    <row r="670" ht="102" customHeight="1">
      <c r="B670" s="46" t="inlineStr">
        <is>
          <t>U+297EF-U+298ED</t>
        </is>
      </c>
      <c r="C670" s="46" t="inlineStr">
        <is>
          <t>CJK Unified Ideographs Extension B</t>
        </is>
      </c>
      <c r="D670" s="54">
        <f>HEX2DEC(MID(B670,3,FIND("-",E670)-3))</f>
        <v/>
      </c>
      <c r="E670" s="46" t="inlineStr">
        <is>
          <t>U+20000-U+2A6DF</t>
        </is>
      </c>
      <c r="F670" s="12" t="n">
        <v>4</v>
      </c>
      <c r="J670" s="19">
        <f>ROUNDDOWN(W670,0)/$V670</f>
        <v/>
      </c>
      <c r="K670" s="19">
        <f>ROUNDDOWN(X670,0)/$V670</f>
        <v/>
      </c>
      <c r="L670" s="19">
        <f>ROUNDDOWN(Y670,0)/$V670</f>
        <v/>
      </c>
      <c r="M670" s="19">
        <f>ROUNDDOWN(Z670,0)/$V670</f>
        <v/>
      </c>
      <c r="O670" s="36" t="inlineStr">
        <is>
          <t>𩛰 𩛱 𩛲 𩛳 𩛴 𩛵 𩛶 𩛷 𩛸 𩛹 𩛺 𩛻 𩛼 𩛽 𩛾 𩛿 𩜀 𩜁 𩜂 𩜃 𩜄 𩜅 𩜆 𩜇 𩜈 𩜉 𩜊 𩜋 𩜌 𩜍 𩜎 𩜏 𩜐 𩜑 𩜒 𩜓 𩜔 𩜕 𩜖 𩜗 𩜘 𩜙 𩜚 𩜛 𩜜 𩜝 𩜞 𩜟 𩜠 𩜡 𩜢 𩜣 𩜤 𩜥 𩜦 𩜧 𩜨 𩜩 𩜪 𩜫 𩜬 𩜭 𩜮 𩜯 𩜰 𩜱 𩜲 𩜳 𩜴 𩜵 𩜶 𩜷 𩜸 𩜹 𩜺 𩜻 𩜼 𩜽 𩜾 𩜿 𩝀 𩝁 𩝂 𩝃 𩝄 𩝅 𩝆 𩝇 𩝈 𩝉 𩝊 𩝋 𩝌 𩝍 𩝎 𩝏 𩝐 𩝑 𩝒 𩝓 𩝔 𩝕 𩝖 𩝗 𩝘 𩝙 𩝚 𩝛 𩝜 𩝝 𩝞 𩝟 𩝠 𩝡 𩝢 𩝣 𩝤 𩝥 𩝦 𩝧 𩝨 𩝩 𩝪 𩝫 𩝬 𩝭 𩝮 𩝯 𩝰 𩝱 𩝲 𩝳 𩝴 𩝵 𩝶 𩝷 𩝸 𩝹 𩝺 𩝻 𩝼 𩝽 𩝾 𩝿 𩞀 𩞁 𩞂 𩞃 𩞄 𩞅 𩞆 𩞇 𩞈 𩞉 𩞊 𩞋 𩞌 𩞍 𩞎 𩞏 𩞐 𩞑 𩞒 𩞓 𩞔 𩞕 𩞖 𩞗 𩞘 𩞙 𩞚 𩞛 𩞜 𩞝 𩞞 𩞟 𩞠 𩞡 𩞢 𩞣 𩞤 𩞥 𩞦 𩞧 𩞨 𩞩 𩞪 𩞫 𩞬 𩞭 𩞮 𩞯 𩞰 𩞱 𩞲 𩞳 𩞴 𩞵 𩞶 𩞷 𩞸 𩞹 𩞺 𩞻 𩞼 𩞽 𩞾 𩞿 𩟀 𩟁 𩟂 𩟃 𩟄 𩟅 𩟆 𩟇 𩟈 𩟉 𩟊 𩟋 𩟌 𩟍 𩟎 𩟏 𩟐 𩟑 𩟒 𩟓 𩟔 𩟕 𩟖 𩟗 𩟘 𩟙 𩟚 𩟛 𩟜 𩟝 𩟞 𩟟 𩟠 𩟡 𩟢 𩟣 𩟤 𩟥 𩟦 𩟧 𩟨 𩟩 𩟪 𩟫 𩟬 𩟭 𩟮</t>
        </is>
      </c>
      <c r="P670" s="37" t="inlineStr">
        <is>
          <t>𩛰 𩛱 𩛲 𩛳 𩛴 𩛵 𩛶 𩛷 𩛸 𩛹 𩛺 𩛻 𩛼 𩛽 𩛾 𩛿 𩜀 𩜁 𩜂 𩜃 𩜄 𩜅 𩜆 𩜇 𩜈 𩜉 𩜊 𩜋 𩜌 𩜍 𩜎 𩜏 𩜐 𩜑 𩜒 𩜓 𩜔 𩜕 𩜖 𩜗 𩜘 𩜙 𩜚 𩜛 𩜜 𩜝 𩜞 𩜟 𩜠 𩜡 𩜢 𩜣 𩜤 𩜥 𩜦 𩜧 𩜨 𩜩 𩜪 𩜫 𩜬 𩜭 𩜮 𩜯 𩜰 𩜱 𩜲 𩜳 𩜴 𩜵 𩜶 𩜷 𩜸 𩜹 𩜺 𩜻 𩜼 𩜽 𩜾 𩜿 𩝀 𩝁 𩝂 𩝃 𩝄 𩝅 𩝆 𩝇 𩝈 𩝉 𩝊 𩝋 𩝌 𩝍 𩝎 𩝏 𩝐 𩝑 𩝒 𩝓 𩝔 𩝕 𩝖 𩝗 𩝘 𩝙 𩝚 𩝛 𩝜 𩝝 𩝞 𩝟 𩝠 𩝡 𩝢 𩝣 𩝤 𩝥 𩝦 𩝧 𩝨 𩝩 𩝪 𩝫 𩝬 𩝭 𩝮 𩝯 𩝰 𩝱 𩝲 𩝳 𩝴 𩝵 𩝶 𩝷 𩝸 𩝹 𩝺 𩝻 𩝼 𩝽 𩝾 𩝿 𩞀 𩞁 𩞂 𩞃 𩞄 𩞅 𩞆 𩞇 𩞈 𩞉 𩞊 𩞋 𩞌 𩞍 𩞎 𩞏 𩞐 𩞑 𩞒 𩞓 𩞔 𩞕 𩞖 𩞗 𩞘 𩞙 𩞚 𩞛 𩞜 𩞝 𩞞 𩞟 𩞠 𩞡 𩞢 𩞣 𩞤 𩞥 𩞦 𩞧 𩞨 𩞩 𩞪 𩞫 𩞬 𩞭 𩞮 𩞯 𩞰 𩞱 𩞲 𩞳 𩞴 𩞵 𩞶 𩞷 𩞸 𩞹 𩞺 𩞻 𩞼 𩞽 𩞾 𩞿 𩟀 𩟁 𩟂 𩟃 𩟄 𩟅 𩟆 𩟇 𩟈 𩟉 𩟊 𩟋 𩟌 𩟍 𩟎 𩟏 𩟐 𩟑 𩟒 𩟓 𩟔 𩟕 𩟖 𩟗 𩟘 𩟙 𩟚 𩟛 𩟜 𩟝 𩟞 𩟟 𩟠 𩟡 𩟢 𩟣 𩟤 𩟥 𩟦 𩟧 𩟨 𩟩 𩟪 𩟫 𩟬 𩟭 𩟮</t>
        </is>
      </c>
      <c r="Q670" s="38" t="inlineStr">
        <is>
          <t>𩛰 𩛱 𩛲 𩛳 𩛴 𩛵 𩛶 𩛷 𩛸 𩛹 𩛺 𩛻 𩛼 𩛽 𩛾 𩛿 𩜀 𩜁 𩜂 𩜃 𩜄 𩜅 𩜆 𩜇 𩜈 𩜉 𩜊 𩜋 𩜌 𩜍 𩜎 𩜏 𩜐 𩜑 𩜒 𩜓 𩜔 𩜕 𩜖 𩜗 𩜘 𩜙 𩜚 𩜛 𩜜 𩜝 𩜞 𩜟 𩜠 𩜡 𩜢 𩜣 𩜤 𩜥 𩜦 𩜧 𩜨 𩜩 𩜪 𩜫 𩜬 𩜭 𩜮 𩜯 𩜰 𩜱 𩜲 𩜳 𩜴 𩜵 𩜶 𩜷 𩜸 𩜹 𩜺 𩜻 𩜼 𩜽 𩜾 𩜿 𩝀 𩝁 𩝂 𩝃 𩝄 𩝅 𩝆 𩝇 𩝈 𩝉 𩝊 𩝋 𩝌 𩝍 𩝎 𩝏 𩝐 𩝑 𩝒 𩝓 𩝔 𩝕 𩝖 𩝗 𩝘 𩝙 𩝚 𩝛 𩝜 𩝝 𩝞 𩝟 𩝠 𩝡 𩝢 𩝣 𩝤 𩝥 𩝦 𩝧 𩝨 𩝩 𩝪 𩝫 𩝬 𩝭 𩝮 𩝯 𩝰 𩝱 𩝲 𩝳 𩝴 𩝵 𩝶 𩝷 𩝸 𩝹 𩝺 𩝻 𩝼 𩝽 𩝾 𩝿 𩞀 𩞁 𩞂 𩞃 𩞄 𩞅 𩞆 𩞇 𩞈 𩞉 𩞊 𩞋 𩞌 𩞍 𩞎 𩞏 𩞐 𩞑 𩞒 𩞓 𩞔 𩞕 𩞖 𩞗 𩞘 𩞙 𩞚 𩞛 𩞜 𩞝 𩞞 𩞟 𩞠 𩞡 𩞢 𩞣 𩞤 𩞥 𩞦 𩞧 𩞨 𩞩 𩞪 𩞫 𩞬 𩞭 𩞮 𩞯 𩞰 𩞱 𩞲 𩞳 𩞴 𩞵 𩞶 𩞷 𩞸 𩞹 𩞺 𩞻 𩞼 𩞽 𩞾 𩞿 𩟀 𩟁 𩟂 𩟃 𩟄 𩟅 𩟆 𩟇 𩟈 𩟉 𩟊 𩟋 𩟌 𩟍 𩟎 𩟏 𩟐 𩟑 𩟒 𩟓 𩟔 𩟕 𩟖 𩟗 𩟘 𩟙 𩟚 𩟛 𩟜 𩟝 𩟞 𩟟 𩟠 𩟡 𩟢 𩟣 𩟤 𩟥 𩟦 𩟧 𩟨 𩟩 𩟪 𩟫 𩟬 𩟭 𩟮</t>
        </is>
      </c>
      <c r="R670" s="43" t="inlineStr">
        <is>
          <t>𩛰 𩜙 𩝐 𩝑</t>
        </is>
      </c>
      <c r="S670" s="40" t="n"/>
      <c r="V670" s="14">
        <f>(LEN(O670)+1)/2</f>
        <v/>
      </c>
      <c r="W670" s="14">
        <f>ROUNDDOWN((LEN(P670)+1)/2,0)</f>
        <v/>
      </c>
      <c r="X670" s="14">
        <f>ROUNDDOWN((LEN(Q670)+1)/2,0)</f>
        <v/>
      </c>
      <c r="Y670" s="14">
        <f>ROUNDDOWN((LEN(R670)+1)/2,0)</f>
        <v/>
      </c>
      <c r="Z670" s="14">
        <f>ROUNDDOWN((LEN(S670)+1)/2,0)</f>
        <v/>
      </c>
      <c r="AA670" s="56" t="n">
        <v>46150.55887704296</v>
      </c>
    </row>
    <row r="671" ht="102" customHeight="1">
      <c r="B671" s="46" t="inlineStr">
        <is>
          <t>U+298EE-U+299EC</t>
        </is>
      </c>
      <c r="C671" s="46" t="inlineStr">
        <is>
          <t>CJK Unified Ideographs Extension B</t>
        </is>
      </c>
      <c r="D671" s="54">
        <f>HEX2DEC(MID(B671,3,FIND("-",E671)-3))</f>
        <v/>
      </c>
      <c r="E671" s="46" t="inlineStr">
        <is>
          <t>U+20000-U+2A6DF</t>
        </is>
      </c>
      <c r="F671" s="12" t="n">
        <v>4</v>
      </c>
      <c r="J671" s="19">
        <f>ROUNDDOWN(W671,0)/$V671</f>
        <v/>
      </c>
      <c r="K671" s="19">
        <f>ROUNDDOWN(X671,0)/$V671</f>
        <v/>
      </c>
      <c r="L671" s="19">
        <f>ROUNDDOWN(Y671,0)/$V671</f>
        <v/>
      </c>
      <c r="M671" s="19">
        <f>ROUNDDOWN(Z671,0)/$V671</f>
        <v/>
      </c>
      <c r="O671" s="36" t="inlineStr">
        <is>
          <t>𩟯 𩟰 𩟱 𩟲 𩟳 𩟴 𩟵 𩟶 𩟷 𩟸 𩟹 𩟺 𩟻 𩟼 𩟽 𩟾 𩟿 𩠀 𩠁 𩠂 𩠃 𩠄 𩠅 𩠆 𩠇 𩠈 𩠉 𩠊 𩠋 𩠌 𩠍 𩠎 𩠏 𩠐 𩠑 𩠒 𩠓 𩠔 𩠕 𩠖 𩠗 𩠘 𩠙 𩠚 𩠛 𩠜 𩠝 𩠞 𩠟 𩠠 𩠡 𩠢 𩠣 𩠤 𩠥 𩠦 𩠧 𩠨 𩠩 𩠪 𩠫 𩠬 𩠭 𩠮 𩠯 𩠰 𩠱 𩠲 𩠳 𩠴 𩠵 𩠶 𩠷 𩠸 𩠹 𩠺 𩠻 𩠼 𩠽 𩠾 𩠿 𩡀 𩡁 𩡂 𩡃 𩡄 𩡅 𩡆 𩡇 𩡈 𩡉 𩡊 𩡋 𩡌 𩡍 𩡎 𩡏 𩡐 𩡑 𩡒 𩡓 𩡔 𩡕 𩡖 𩡗 𩡘 𩡙 𩡚 𩡛 𩡜 𩡝 𩡞 𩡟 𩡠 𩡡 𩡢 𩡣 𩡤 𩡥 𩡦 𩡧 𩡨 𩡩 𩡪 𩡫 𩡬 𩡭 𩡮 𩡯 𩡰 𩡱 𩡲 𩡳 𩡴 𩡵 𩡶 𩡷 𩡸 𩡹 𩡺 𩡻 𩡼 𩡽 𩡾 𩡿 𩢀 𩢁 𩢂 𩢃 𩢄 𩢅 𩢆 𩢇 𩢈 𩢉 𩢊 𩢋 𩢌 𩢍 𩢎 𩢏 𩢐 𩢑 𩢒 𩢓 𩢔 𩢕 𩢖 𩢗 𩢘 𩢙 𩢚 𩢛 𩢜 𩢝 𩢞 𩢟 𩢠 𩢡 𩢢 𩢣 𩢤 𩢥 𩢦 𩢧 𩢨 𩢩 𩢪 𩢫 𩢬 𩢭 𩢮 𩢯 𩢰 𩢱 𩢲 𩢳 𩢴 𩢵 𩢶 𩢷 𩢸 𩢹 𩢺 𩢻 𩢼 𩢽 𩢾 𩢿 𩣀 𩣁 𩣂 𩣃 𩣄 𩣅 𩣆 𩣇 𩣈 𩣉 𩣊 𩣋 𩣌 𩣍 𩣎 𩣏 𩣐 𩣑 𩣒 𩣓 𩣔 𩣕 𩣖 𩣗 𩣘 𩣙 𩣚 𩣛 𩣜 𩣝 𩣞 𩣟 𩣠 𩣡 𩣢 𩣣 𩣤 𩣥 𩣦 𩣧 𩣨 𩣩 𩣪 𩣫 𩣬 𩣭</t>
        </is>
      </c>
      <c r="P671" s="37" t="inlineStr">
        <is>
          <t>𩟯 𩟰 𩟱 𩟲 𩟳 𩟴 𩟵 𩟶 𩟷 𩟸 𩟹 𩟺 𩟻 𩟼 𩟽 𩟾 𩟿 𩠀 𩠁 𩠂 𩠃 𩠄 𩠅 𩠆 𩠇 𩠈 𩠉 𩠊 𩠋 𩠌 𩠍 𩠎 𩠏 𩠐 𩠑 𩠒 𩠓 𩠔 𩠕 𩠖 𩠗 𩠘 𩠙 𩠚 𩠛 𩠜 𩠝 𩠞 𩠟 𩠠 𩠡 𩠢 𩠣 𩠤 𩠥 𩠦 𩠧 𩠨 𩠩 𩠪 𩠫 𩠬 𩠭 𩠮 𩠯 𩠰 𩠱 𩠲 𩠳 𩠴 𩠵 𩠶 𩠷 𩠸 𩠹 𩠺 𩠻 𩠼 𩠽 𩠾 𩠿 𩡀 𩡁 𩡂 𩡃 𩡄 𩡅 𩡆 𩡇 𩡈 𩡉 𩡊 𩡋 𩡌 𩡍 𩡎 𩡏 𩡐 𩡑 𩡒 𩡓 𩡔 𩡕 𩡖 𩡗 𩡘 𩡙 𩡚 𩡛 𩡜 𩡝 𩡞 𩡟 𩡠 𩡡 𩡢 𩡣 𩡤 𩡥 𩡦 𩡧 𩡨 𩡩 𩡪 𩡫 𩡬 𩡭 𩡮 𩡯 𩡰 𩡱 𩡲 𩡳 𩡴 𩡵 𩡶 𩡷 𩡸 𩡹 𩡺 𩡻 𩡼 𩡽 𩡾 𩡿 𩢀 𩢁 𩢂 𩢃 𩢄 𩢅 𩢆 𩢇 𩢈 𩢉 𩢊 𩢋 𩢌 𩢍 𩢎 𩢏 𩢐 𩢑 𩢒 𩢓 𩢔 𩢕 𩢖 𩢗 𩢘 𩢙 𩢚 𩢛 𩢜 𩢝 𩢞 𩢟 𩢠 𩢡 𩢢 𩢣 𩢤 𩢥 𩢦 𩢧 𩢨 𩢩 𩢪 𩢫 𩢬 𩢭 𩢮 𩢯 𩢰 𩢱 𩢲 𩢳 𩢴 𩢵 𩢶 𩢷 𩢸 𩢹 𩢺 𩢻 𩢼 𩢽 𩢾 𩢿 𩣀 𩣁 𩣂 𩣃 𩣄 𩣅 𩣆 𩣇 𩣈 𩣉 𩣊 𩣋 𩣌 𩣍 𩣎 𩣏 𩣐 𩣑 𩣒 𩣓 𩣔 𩣕 𩣖 𩣗 𩣘 𩣙 𩣚 𩣛 𩣜 𩣝 𩣞 𩣟 𩣠 𩣡 𩣢 𩣣 𩣤 𩣥 𩣦 𩣧 𩣨 𩣩 𩣪 𩣫 𩣬 𩣭</t>
        </is>
      </c>
      <c r="Q671" s="38" t="inlineStr">
        <is>
          <t>𩟯 𩟰 𩟱 𩟲 𩟳 𩟴 𩟵 𩟶 𩟷 𩟸 𩟹 𩟺 𩟻 𩟼 𩟽 𩟾 𩟿 𩠀 𩠁 𩠂 𩠃 𩠄 𩠅 𩠆 𩠇 𩠈 𩠉 𩠊 𩠋 𩠌 𩠍 𩠎 𩠏 𩠐 𩠑 𩠒 𩠓 𩠔 𩠕 𩠖 𩠗 𩠘 𩠙 𩠚 𩠛 𩠜 𩠝 𩠞 𩠟 𩠠 𩠡 𩠢 𩠣 𩠤 𩠥 𩠦 𩠧 𩠨 𩠩 𩠪 𩠫 𩠬 𩠭 𩠮 𩠯 𩠰 𩠱 𩠲 𩠳 𩠴 𩠵 𩠶 𩠷 𩠸 𩠹 𩠺 𩠻 𩠼 𩠽 𩠾 𩠿 𩡀 𩡁 𩡂 𩡃 𩡄 𩡅 𩡆 𩡇 𩡈 𩡉 𩡊 𩡋 𩡌 𩡍 𩡎 𩡏 𩡐 𩡑 𩡒 𩡓 𩡔 𩡕 𩡖 𩡗 𩡘 𩡙 𩡚 𩡛 𩡜 𩡝 𩡞 𩡟 𩡠 𩡡 𩡢 𩡣 𩡤 𩡥 𩡦 𩡧 𩡨 𩡩 𩡪 𩡫 𩡬 𩡭 𩡮 𩡯 𩡰 𩡱 𩡲 𩡳 𩡴 𩡵 𩡶 𩡷 𩡸 𩡹 𩡺 𩡻 𩡼 𩡽 𩡾 𩡿 𩢀 𩢁 𩢂 𩢃 𩢄 𩢅 𩢆 𩢇 𩢈 𩢉 𩢊 𩢋 𩢌 𩢍 𩢎 𩢏 𩢐 𩢑 𩢒 𩢓 𩢔 𩢕 𩢖 𩢗 𩢘 𩢙 𩢚 𩢛 𩢜 𩢝 𩢞 𩢟 𩢠 𩢡 𩢢 𩢣 𩢤 𩢥 𩢦 𩢧 𩢨 𩢩 𩢪 𩢫 𩢬 𩢭 𩢮 𩢯 𩢰 𩢱 𩢲 𩢳 𩢴 𩢵 𩢶 𩢷 𩢸 𩢹 𩢺 𩢻 𩢼 𩢽 𩢾 𩢿 𩣀 𩣁 𩣂 𩣃 𩣄 𩣅 𩣆 𩣇 𩣈 𩣉 𩣊 𩣋 𩣌 𩣍 𩣎 𩣏 𩣐 𩣑 𩣒 𩣓 𩣔 𩣕 𩣖 𩣗 𩣘 𩣙 𩣚 𩣛 𩣜 𩣝 𩣞 𩣟 𩣠 𩣡 𩣢 𩣣 𩣤 𩣥 𩣦 𩣧 𩣨 𩣩 𩣪 𩣫 𩣬 𩣭</t>
        </is>
      </c>
      <c r="R671" s="43" t="inlineStr">
        <is>
          <t>𩠌 𩠍 𩠐 𩣆</t>
        </is>
      </c>
      <c r="S671" s="40" t="n"/>
      <c r="V671" s="14">
        <f>(LEN(O671)+1)/2</f>
        <v/>
      </c>
      <c r="W671" s="14">
        <f>ROUNDDOWN((LEN(P671)+1)/2,0)</f>
        <v/>
      </c>
      <c r="X671" s="14">
        <f>ROUNDDOWN((LEN(Q671)+1)/2,0)</f>
        <v/>
      </c>
      <c r="Y671" s="14">
        <f>ROUNDDOWN((LEN(R671)+1)/2,0)</f>
        <v/>
      </c>
      <c r="Z671" s="14">
        <f>ROUNDDOWN((LEN(S671)+1)/2,0)</f>
        <v/>
      </c>
      <c r="AA671" s="56" t="n">
        <v>46150.55887813169</v>
      </c>
    </row>
    <row r="672" ht="102" customHeight="1">
      <c r="B672" s="46" t="inlineStr">
        <is>
          <t>U+299ED-U+29AEB</t>
        </is>
      </c>
      <c r="C672" s="46" t="inlineStr">
        <is>
          <t>CJK Unified Ideographs Extension B</t>
        </is>
      </c>
      <c r="D672" s="54">
        <f>HEX2DEC(MID(B672,3,FIND("-",E672)-3))</f>
        <v/>
      </c>
      <c r="E672" s="46" t="inlineStr">
        <is>
          <t>U+20000-U+2A6DF</t>
        </is>
      </c>
      <c r="F672" s="12" t="n">
        <v>4</v>
      </c>
      <c r="J672" s="19">
        <f>ROUNDDOWN(W672,0)/$V672</f>
        <v/>
      </c>
      <c r="K672" s="19">
        <f>ROUNDDOWN(X672,0)/$V672</f>
        <v/>
      </c>
      <c r="L672" s="19">
        <f>ROUNDDOWN(Y672,0)/$V672</f>
        <v/>
      </c>
      <c r="M672" s="19">
        <f>ROUNDDOWN(Z672,0)/$V672</f>
        <v/>
      </c>
      <c r="O672" s="36" t="inlineStr">
        <is>
          <t>𩣮 𩣯 𩣰 𩣱 𩣲 𩣳 𩣴 𩣵 𩣶 𩣷 𩣸 𩣹 𩣺 𩣻 𩣼 𩣽 𩣾 𩣿 𩤀 𩤁 𩤂 𩤃 𩤄 𩤅 𩤆 𩤇 𩤈 𩤉 𩤊 𩤋 𩤌 𩤍 𩤎 𩤏 𩤐 𩤑 𩤒 𩤓 𩤔 𩤕 𩤖 𩤗 𩤘 𩤙 𩤚 𩤛 𩤜 𩤝 𩤞 𩤟 𩤠 𩤡 𩤢 𩤣 𩤤 𩤥 𩤦 𩤧 𩤨 𩤩 𩤪 𩤫 𩤬 𩤭 𩤮 𩤯 𩤰 𩤱 𩤲 𩤳 𩤴 𩤵 𩤶 𩤷 𩤸 𩤹 𩤺 𩤻 𩤼 𩤽 𩤾 𩤿 𩥀 𩥁 𩥂 𩥃 𩥄 𩥅 𩥆 𩥇 𩥈 𩥉 𩥊 𩥋 𩥌 𩥍 𩥎 𩥏 𩥐 𩥑 𩥒 𩥓 𩥔 𩥕 𩥖 𩥗 𩥘 𩥙 𩥚 𩥛 𩥜 𩥝 𩥞 𩥟 𩥠 𩥡 𩥢 𩥣 𩥤 𩥥 𩥦 𩥧 𩥨 𩥩 𩥪 𩥫 𩥬 𩥭 𩥮 𩥯 𩥰 𩥱 𩥲 𩥳 𩥴 𩥵 𩥶 𩥷 𩥸 𩥹 𩥺 𩥻 𩥼 𩥽 𩥾 𩥿 𩦀 𩦁 𩦂 𩦃 𩦄 𩦅 𩦆 𩦇 𩦈 𩦉 𩦊 𩦋 𩦌 𩦍 𩦎 𩦏 𩦐 𩦑 𩦒 𩦓 𩦔 𩦕 𩦖 𩦗 𩦘 𩦙 𩦚 𩦛 𩦜 𩦝 𩦞 𩦟 𩦠 𩦡 𩦢 𩦣 𩦤 𩦥 𩦦 𩦧 𩦨 𩦩 𩦪 𩦫 𩦬 𩦭 𩦮 𩦯 𩦰 𩦱 𩦲 𩦳 𩦴 𩦵 𩦶 𩦷 𩦸 𩦹 𩦺 𩦻 𩦼 𩦽 𩦾 𩦿 𩧀 𩧁 𩧂 𩧃 𩧄 𩧅 𩧆 𩧇 𩧈 𩧉 𩧊 𩧋 𩧌 𩧍 𩧎 𩧏 𩧐 𩧑 𩧒 𩧓 𩧔 𩧕 𩧖 𩧗 𩧘 𩧙 𩧚 𩧛 𩧜 𩧝 𩧞 𩧟 𩧠 𩧡 𩧢 𩧣 𩧤 𩧥 𩧦 𩧧 𩧨 𩧩 𩧪 𩧫 𩧬</t>
        </is>
      </c>
      <c r="P672" s="37" t="inlineStr">
        <is>
          <t>𩣮 𩣯 𩣰 𩣱 𩣲 𩣳 𩣴 𩣵 𩣶 𩣷 𩣸 𩣹 𩣺 𩣻 𩣼 𩣽 𩣾 𩣿 𩤀 𩤁 𩤂 𩤃 𩤄 𩤅 𩤆 𩤇 𩤈 𩤉 𩤊 𩤋 𩤌 𩤍 𩤎 𩤏 𩤐 𩤑 𩤒 𩤓 𩤔 𩤕 𩤖 𩤗 𩤘 𩤙 𩤚 𩤛 𩤜 𩤝 𩤞 𩤟 𩤠 𩤡 𩤢 𩤣 𩤤 𩤥 𩤦 𩤧 𩤨 𩤩 𩤪 𩤫 𩤬 𩤭 𩤮 𩤯 𩤰 𩤱 𩤲 𩤳 𩤴 𩤵 𩤶 𩤷 𩤸 𩤹 𩤺 𩤻 𩤼 𩤽 𩤾 𩤿 𩥀 𩥁 𩥂 𩥃 𩥄 𩥅 𩥆 𩥇 𩥈 𩥉 𩥊 𩥋 𩥌 𩥍 𩥎 𩥏 𩥐 𩥑 𩥒 𩥓 𩥔 𩥕 𩥖 𩥗 𩥘 𩥙 𩥚 𩥛 𩥜 𩥝 𩥞 𩥟 𩥠 𩥡 𩥢 𩥣 𩥤 𩥥 𩥦 𩥧 𩥨 𩥩 𩥪 𩥫 𩥬 𩥭 𩥮 𩥯 𩥰 𩥱 𩥲 𩥳 𩥴 𩥵 𩥶 𩥷 𩥸 𩥹 𩥺 𩥻 𩥼 𩥽 𩥾 𩥿 𩦀 𩦁 𩦂 𩦃 𩦄 𩦅 𩦆 𩦇 𩦈 𩦉 𩦊 𩦋 𩦌 𩦍 𩦎 𩦏 𩦐 𩦑 𩦒 𩦓 𩦔 𩦕 𩦖 𩦗 𩦘 𩦙 𩦚 𩦛 𩦜 𩦝 𩦞 𩦟 𩦠 𩦡 𩦢 𩦣 𩦤 𩦥 𩦦 𩦧 𩦨 𩦩 𩦪 𩦫 𩦬 𩦭 𩦮 𩦯 𩦰 𩦱 𩦲 𩦳 𩦴 𩦵 𩦶 𩦷 𩦸 𩦹 𩦺 𩦻 𩦼 𩦽 𩦾 𩦿 𩧀 𩧁 𩧂 𩧃 𩧄 𩧅 𩧆 𩧇 𩧈 𩧉 𩧊 𩧋 𩧌 𩧍 𩧎 𩧏 𩧐 𩧑 𩧒 𩧓 𩧔 𩧕 𩧖 𩧗 𩧘 𩧙 𩧚 𩧛 𩧜 𩧝 𩧞 𩧟 𩧠 𩧡 𩧢 𩧣 𩧤 𩧥 𩧦 𩧧 𩧨 𩧩 𩧪 𩧫 𩧬</t>
        </is>
      </c>
      <c r="Q672" s="38" t="inlineStr">
        <is>
          <t>𩣮 𩣯 𩣰 𩣱 𩣲 𩣳 𩣴 𩣵 𩣶 𩣷 𩣸 𩣹 𩣺 𩣻 𩣼 𩣽 𩣾 𩣿 𩤀 𩤁 𩤂 𩤃 𩤄 𩤅 𩤆 𩤇 𩤈 𩤉 𩤊 𩤋 𩤌 𩤍 𩤎 𩤏 𩤐 𩤑 𩤒 𩤓 𩤔 𩤕 𩤖 𩤗 𩤘 𩤙 𩤚 𩤛 𩤜 𩤝 𩤞 𩤟 𩤠 𩤡 𩤢 𩤣 𩤤 𩤥 𩤦 𩤧 𩤨 𩤩 𩤪 𩤫 𩤬 𩤭 𩤮 𩤯 𩤰 𩤱 𩤲 𩤳 𩤴 𩤵 𩤶 𩤷 𩤸 𩤹 𩤺 𩤻 𩤼 𩤽 𩤾 𩤿 𩥀 𩥁 𩥂 𩥃 𩥄 𩥅 𩥆 𩥇 𩥈 𩥉 𩥊 𩥋 𩥌 𩥍 𩥎 𩥏 𩥐 𩥑 𩥒 𩥓 𩥔 𩥕 𩥖 𩥗 𩥘 𩥙 𩥚 𩥛 𩥜 𩥝 𩥞 𩥟 𩥠 𩥡 𩥢 𩥣 𩥤 𩥥 𩥦 𩥧 𩥨 𩥩 𩥪 𩥫 𩥬 𩥭 𩥮 𩥯 𩥰 𩥱 𩥲 𩥳 𩥴 𩥵 𩥶 𩥷 𩥸 𩥹 𩥺 𩥻 𩥼 𩥽 𩥾 𩥿 𩦀 𩦁 𩦂 𩦃 𩦄 𩦅 𩦆 𩦇 𩦈 𩦉 𩦊 𩦋 𩦌 𩦍 𩦎 𩦏 𩦐 𩦑 𩦒 𩦓 𩦔 𩦕 𩦖 𩦗 𩦘 𩦙 𩦚 𩦛 𩦜 𩦝 𩦞 𩦟 𩦠 𩦡 𩦢 𩦣 𩦤 𩦥 𩦦 𩦧 𩦨 𩦩 𩦪 𩦫 𩦬 𩦭 𩦮 𩦯 𩦰 𩦱 𩦲 𩦳 𩦴 𩦵 𩦶 𩦷 𩦸 𩦹 𩦺 𩦻 𩦼 𩦽 𩦾 𩦿 𩧀 𩧁 𩧂 𩧃 𩧄 𩧅 𩧆 𩧇 𩧈 𩧉 𩧊 𩧋 𩧌 𩧍 𩧎 𩧏 𩧐 𩧑 𩧒 𩧓 𩧔 𩧕 𩧖 𩧗 𩧘 𩧙 𩧚 𩧛 𩧜 𩧝 𩧞 𩧟 𩧠 𩧡 𩧢 𩧣 𩧤 𩧥 𩧦 𩧧 𩧨 𩧩 𩧪 𩧫 𩧬</t>
        </is>
      </c>
      <c r="R672" s="43" t="inlineStr"/>
      <c r="S672" s="40" t="n"/>
      <c r="V672" s="14">
        <f>(LEN(O672)+1)/2</f>
        <v/>
      </c>
      <c r="W672" s="14">
        <f>ROUNDDOWN((LEN(P672)+1)/2,0)</f>
        <v/>
      </c>
      <c r="X672" s="14">
        <f>ROUNDDOWN((LEN(Q672)+1)/2,0)</f>
        <v/>
      </c>
      <c r="Y672" s="14">
        <f>ROUNDDOWN((LEN(R672)+1)/2,0)</f>
        <v/>
      </c>
      <c r="Z672" s="14">
        <f>ROUNDDOWN((LEN(S672)+1)/2,0)</f>
        <v/>
      </c>
      <c r="AA672" s="56" t="n">
        <v>46150.55887919068</v>
      </c>
    </row>
    <row r="673" ht="102" customHeight="1">
      <c r="B673" s="46" t="inlineStr">
        <is>
          <t>U+29AEC-U+29BEA</t>
        </is>
      </c>
      <c r="C673" s="46" t="inlineStr">
        <is>
          <t>CJK Unified Ideographs Extension B</t>
        </is>
      </c>
      <c r="D673" s="54">
        <f>HEX2DEC(MID(B673,3,FIND("-",E673)-3))</f>
        <v/>
      </c>
      <c r="E673" s="46" t="inlineStr">
        <is>
          <t>U+20000-U+2A6DF</t>
        </is>
      </c>
      <c r="F673" s="12" t="n">
        <v>4</v>
      </c>
      <c r="J673" s="19">
        <f>ROUNDDOWN(W673,0)/$V673</f>
        <v/>
      </c>
      <c r="K673" s="19">
        <f>ROUNDDOWN(X673,0)/$V673</f>
        <v/>
      </c>
      <c r="L673" s="19">
        <f>ROUNDDOWN(Y673,0)/$V673</f>
        <v/>
      </c>
      <c r="M673" s="19">
        <f>ROUNDDOWN(Z673,0)/$V673</f>
        <v/>
      </c>
      <c r="O673" s="36" t="inlineStr">
        <is>
          <t>𩧭 𩧮 𩧯 𩧰 𩧱 𩧲 𩧳 𩧴 𩧵 𩧶 𩧷 𩧸 𩧹 𩧺 𩧻 𩧼 𩧽 𩧾 𩧿 𩨀 𩨁 𩨂 𩨃 𩨄 𩨅 𩨆 𩨇 𩨈 𩨉 𩨊 𩨋 𩨌 𩨍 𩨎 𩨏 𩨐 𩨑 𩨒 𩨓 𩨔 𩨕 𩨖 𩨗 𩨘 𩨙 𩨚 𩨛 𩨜 𩨝 𩨞 𩨟 𩨠 𩨡 𩨢 𩨣 𩨤 𩨥 𩨦 𩨧 𩨨 𩨩 𩨪 𩨫 𩨬 𩨭 𩨮 𩨯 𩨰 𩨱 𩨲 𩨳 𩨴 𩨵 𩨶 𩨷 𩨸 𩨹 𩨺 𩨻 𩨼 𩨽 𩨾 𩨿 𩩀 𩩁 𩩂 𩩃 𩩄 𩩅 𩩆 𩩇 𩩈 𩩉 𩩊 𩩋 𩩌 𩩍 𩩎 𩩏 𩩐 𩩑 𩩒 𩩓 𩩔 𩩕 𩩖 𩩗 𩩘 𩩙 𩩚 𩩛 𩩜 𩩝 𩩞 𩩟 𩩠 𩩡 𩩢 𩩣 𩩤 𩩥 𩩦 𩩧 𩩨 𩩩 𩩪 𩩫 𩩬 𩩭 𩩮 𩩯 𩩰 𩩱 𩩲 𩩳 𩩴 𩩵 𩩶 𩩷 𩩸 𩩹 𩩺 𩩻 𩩼 𩩽 𩩾 𩩿 𩪀 𩪁 𩪂 𩪃 𩪄 𩪅 𩪆 𩪇 𩪈 𩪉 𩪊 𩪋 𩪌 𩪍 𩪎 𩪏 𩪐 𩪑 𩪒 𩪓 𩪔 𩪕 𩪖 𩪗 𩪘 𩪙 𩪚 𩪛 𩪜 𩪝 𩪞 𩪟 𩪠 𩪡 𩪢 𩪣 𩪤 𩪥 𩪦 𩪧 𩪨 𩪩 𩪪 𩪫 𩪬 𩪭 𩪮 𩪯 𩪰 𩪱 𩪲 𩪳 𩪴 𩪵 𩪶 𩪷 𩪸 𩪹 𩪺 𩪻 𩪼 𩪽 𩪾 𩪿 𩫀 𩫁 𩫂 𩫃 𩫄 𩫅 𩫆 𩫇 𩫈 𩫉 𩫊 𩫋 𩫌 𩫍 𩫎 𩫏 𩫐 𩫑 𩫒 𩫓 𩫔 𩫕 𩫖 𩫗 𩫘 𩫙 𩫚 𩫛 𩫜 𩫝 𩫞 𩫟 𩫠 𩫡 𩫢 𩫣 𩫤 𩫥 𩫦 𩫧 𩫨 𩫩 𩫪 𩫫</t>
        </is>
      </c>
      <c r="P673" s="37" t="inlineStr">
        <is>
          <t>𩧭 𩧮 𩧯 𩧰 𩧱 𩧲 𩧳 𩧴 𩧵 𩧶 𩧷 𩧸 𩧹 𩧺 𩧻 𩧼 𩧽 𩧾 𩧿 𩨀 𩨁 𩨂 𩨃 𩨄 𩨅 𩨆 𩨇 𩨈 𩨉 𩨊 𩨋 𩨌 𩨍 𩨎 𩨏 𩨐 𩨑 𩨒 𩨓 𩨔 𩨕 𩨖 𩨗 𩨘 𩨙 𩨚 𩨛 𩨜 𩨝 𩨞 𩨟 𩨠 𩨡 𩨢 𩨣 𩨤 𩨥 𩨦 𩨧 𩨨 𩨩 𩨪 𩨫 𩨬 𩨭 𩨮 𩨯 𩨰 𩨱 𩨲 𩨳 𩨴 𩨵 𩨶 𩨷 𩨸 𩨹 𩨺 𩨻 𩨼 𩨽 𩨾 𩨿 𩩀 𩩁 𩩂 𩩃 𩩄 𩩅 𩩆 𩩇 𩩈 𩩉 𩩊 𩩋 𩩌 𩩍 𩩎 𩩏 𩩐 𩩑 𩩒 𩩓 𩩔 𩩕 𩩖 𩩗 𩩘 𩩙 𩩚 𩩛 𩩜 𩩝 𩩞 𩩟 𩩠 𩩡 𩩢 𩩣 𩩤 𩩥 𩩦 𩩧 𩩨 𩩩 𩩪 𩩫 𩩬 𩩭 𩩮 𩩯 𩩰 𩩱 𩩲 𩩳 𩩴 𩩵 𩩶 𩩷 𩩸 𩩹 𩩺 𩩻 𩩼 𩩽 𩩾 𩩿 𩪀 𩪁 𩪂 𩪃 𩪄 𩪅 𩪆 𩪇 𩪈 𩪉 𩪊 𩪋 𩪌 𩪍 𩪎 𩪏 𩪐 𩪑 𩪒 𩪓 𩪔 𩪕 𩪖 𩪗 𩪘 𩪙 𩪚 𩪛 𩪜 𩪝 𩪞 𩪟 𩪠 𩪡 𩪢 𩪣 𩪤 𩪥 𩪦 𩪧 𩪨 𩪩 𩪪 𩪫 𩪬 𩪭 𩪮 𩪯 𩪰 𩪱 𩪲 𩪳 𩪴 𩪵 𩪶 𩪷 𩪸 𩪹 𩪺 𩪻 𩪼 𩪽 𩪾 𩪿 𩫀 𩫁 𩫂 𩫃 𩫄 𩫅 𩫆 𩫇 𩫈 𩫉 𩫊 𩫋 𩫌 𩫍 𩫎 𩫏 𩫐 𩫑 𩫒 𩫓 𩫔 𩫕 𩫖 𩫗 𩫘 𩫙 𩫚 𩫛 𩫜 𩫝 𩫞 𩫟 𩫠 𩫡 𩫢 𩫣 𩫤 𩫥 𩫦 𩫧 𩫨 𩫩 𩫪 𩫫</t>
        </is>
      </c>
      <c r="Q673" s="38" t="inlineStr">
        <is>
          <t>𩧭 𩧮 𩧯 𩧰 𩧱 𩧲 𩧳 𩧴 𩧵 𩧶 𩧷 𩧸 𩧹 𩧺 𩧻 𩧼 𩧽 𩧾 𩧿 𩨀 𩨁 𩨂 𩨃 𩨄 𩨅 𩨆 𩨇 𩨈 𩨉 𩨊 𩨋 𩨌 𩨍 𩨎 𩨏 𩨐 𩨑 𩨒 𩨓 𩨔 𩨕 𩨖 𩨗 𩨘 𩨙 𩨚 𩨛 𩨜 𩨝 𩨞 𩨟 𩨠 𩨡 𩨢 𩨣 𩨤 𩨥 𩨦 𩨧 𩨨 𩨩 𩨪 𩨫 𩨬 𩨭 𩨮 𩨯 𩨰 𩨱 𩨲 𩨳 𩨴 𩨵 𩨶 𩨷 𩨸 𩨹 𩨺 𩨻 𩨼 𩨽 𩨾 𩨿 𩩀 𩩁 𩩂 𩩃 𩩄 𩩅 𩩆 𩩇 𩩈 𩩉 𩩊 𩩋 𩩌 𩩍 𩩎 𩩏 𩩐 𩩑 𩩒 𩩓 𩩔 𩩕 𩩖 𩩗 𩩘 𩩙 𩩚 𩩛 𩩜 𩩝 𩩞 𩩟 𩩠 𩩡 𩩢 𩩣 𩩤 𩩥 𩩦 𩩧 𩩨 𩩩 𩩪 𩩫 𩩬 𩩭 𩩮 𩩯 𩩰 𩩱 𩩲 𩩳 𩩴 𩩵 𩩶 𩩷 𩩸 𩩹 𩩺 𩩻 𩩼 𩩽 𩩾 𩩿 𩪀 𩪁 𩪂 𩪃 𩪄 𩪅 𩪆 𩪇 𩪈 𩪉 𩪊 𩪋 𩪌 𩪍 𩪎 𩪏 𩪐 𩪑 𩪒 𩪓 𩪔 𩪕 𩪖 𩪗 𩪘 𩪙 𩪚 𩪛 𩪜 𩪝 𩪞 𩪟 𩪠 𩪡 𩪢 𩪣 𩪤 𩪥 𩪦 𩪧 𩪨 𩪩 𩪪 𩪫 𩪬 𩪭 𩪮 𩪯 𩪰 𩪱 𩪲 𩪳 𩪴 𩪵 𩪶 𩪷 𩪸 𩪹 𩪺 𩪻 𩪼 𩪽 𩪾 𩪿 𩫀 𩫁 𩫂 𩫃 𩫄 𩫅 𩫆 𩫇 𩫈 𩫉 𩫊 𩫋 𩫌 𩫍 𩫎 𩫏 𩫐 𩫑 𩫒 𩫓 𩫔 𩫕 𩫖 𩫗 𩫘 𩫙 𩫚 𩫛 𩫜 𩫝 𩫞 𩫟 𩫠 𩫡 𩫢 𩫣 𩫤 𩫥 𩫦 𩫧 𩫨 𩫩 𩫪 𩫫</t>
        </is>
      </c>
      <c r="R673" s="43" t="inlineStr">
        <is>
          <t>𩨂 𩩲</t>
        </is>
      </c>
      <c r="S673" s="40" t="n"/>
      <c r="V673" s="14">
        <f>(LEN(O673)+1)/2</f>
        <v/>
      </c>
      <c r="W673" s="14">
        <f>ROUNDDOWN((LEN(P673)+1)/2,0)</f>
        <v/>
      </c>
      <c r="X673" s="14">
        <f>ROUNDDOWN((LEN(Q673)+1)/2,0)</f>
        <v/>
      </c>
      <c r="Y673" s="14">
        <f>ROUNDDOWN((LEN(R673)+1)/2,0)</f>
        <v/>
      </c>
      <c r="Z673" s="14">
        <f>ROUNDDOWN((LEN(S673)+1)/2,0)</f>
        <v/>
      </c>
      <c r="AA673" s="56" t="n">
        <v>46150.55888026558</v>
      </c>
    </row>
    <row r="674" ht="102" customHeight="1">
      <c r="B674" s="46" t="inlineStr">
        <is>
          <t>U+29BEB-U+29CE9</t>
        </is>
      </c>
      <c r="C674" s="46" t="inlineStr">
        <is>
          <t>CJK Unified Ideographs Extension B</t>
        </is>
      </c>
      <c r="D674" s="54">
        <f>HEX2DEC(MID(B674,3,FIND("-",E674)-3))</f>
        <v/>
      </c>
      <c r="E674" s="46" t="inlineStr">
        <is>
          <t>U+20000-U+2A6DF</t>
        </is>
      </c>
      <c r="F674" s="12" t="n">
        <v>4</v>
      </c>
      <c r="J674" s="19">
        <f>ROUNDDOWN(W674,0)/$V674</f>
        <v/>
      </c>
      <c r="K674" s="19">
        <f>ROUNDDOWN(X674,0)/$V674</f>
        <v/>
      </c>
      <c r="L674" s="19">
        <f>ROUNDDOWN(Y674,0)/$V674</f>
        <v/>
      </c>
      <c r="M674" s="19">
        <f>ROUNDDOWN(Z674,0)/$V674</f>
        <v/>
      </c>
      <c r="O674" s="36" t="inlineStr">
        <is>
          <t>𩫬 𩫭 𩫮 𩫯 𩫰 𩫱 𩫲 𩫳 𩫴 𩫵 𩫶 𩫷 𩫸 𩫹 𩫺 𩫻 𩫼 𩫽 𩫾 𩫿 𩬀 𩬁 𩬂 𩬃 𩬄 𩬅 𩬆 𩬇 𩬈 𩬉 𩬊 𩬋 𩬌 𩬍 𩬎 𩬏 𩬐 𩬑 𩬒 𩬓 𩬔 𩬕 𩬖 𩬗 𩬘 𩬙 𩬚 𩬛 𩬜 𩬝 𩬞 𩬟 𩬠 𩬡 𩬢 𩬣 𩬤 𩬥 𩬦 𩬧 𩬨 𩬩 𩬪 𩬫 𩬬 𩬭 𩬮 𩬯 𩬰 𩬱 𩬲 𩬳 𩬴 𩬵 𩬶 𩬷 𩬸 𩬹 𩬺 𩬻 𩬼 𩬽 𩬾 𩬿 𩭀 𩭁 𩭂 𩭃 𩭄 𩭅 𩭆 𩭇 𩭈 𩭉 𩭊 𩭋 𩭌 𩭍 𩭎 𩭏 𩭐 𩭑 𩭒 𩭓 𩭔 𩭕 𩭖 𩭗 𩭘 𩭙 𩭚 𩭛 𩭜 𩭝 𩭞 𩭟 𩭠 𩭡 𩭢 𩭣 𩭤 𩭥 𩭦 𩭧 𩭨 𩭩 𩭪 𩭫 𩭬 𩭭 𩭮 𩭯 𩭰 𩭱 𩭲 𩭳 𩭴 𩭵 𩭶 𩭷 𩭸 𩭹 𩭺 𩭻 𩭼 𩭽 𩭾 𩭿 𩮀 𩮁 𩮂 𩮃 𩮄 𩮅 𩮆 𩮇 𩮈 𩮉 𩮊 𩮋 𩮌 𩮍 𩮎 𩮏 𩮐 𩮑 𩮒 𩮓 𩮔 𩮕 𩮖 𩮗 𩮘 𩮙 𩮚 𩮛 𩮜 𩮝 𩮞 𩮟 𩮠 𩮡 𩮢 𩮣 𩮤 𩮥 𩮦 𩮧 𩮨 𩮩 𩮪 𩮫 𩮬 𩮭 𩮮 𩮯 𩮰 𩮱 𩮲 𩮳 𩮴 𩮵 𩮶 𩮷 𩮸 𩮹 𩮺 𩮻 𩮼 𩮽 𩮾 𩮿 𩯀 𩯁 𩯂 𩯃 𩯄 𩯅 𩯆 𩯇 𩯈 𩯉 𩯊 𩯋 𩯌 𩯍 𩯎 𩯏 𩯐 𩯑 𩯒 𩯓 𩯔 𩯕 𩯖 𩯗 𩯘 𩯙 𩯚 𩯛 𩯜 𩯝 𩯞 𩯟 𩯠 𩯡 𩯢 𩯣 𩯤 𩯥 𩯦 𩯧 𩯨 𩯩 𩯪</t>
        </is>
      </c>
      <c r="P674" s="37" t="inlineStr">
        <is>
          <t>𩫬 𩫭 𩫮 𩫯 𩫰 𩫱 𩫲 𩫳 𩫴 𩫵 𩫶 𩫷 𩫸 𩫹 𩫺 𩫻 𩫼 𩫽 𩫾 𩫿 𩬀 𩬁 𩬂 𩬃 𩬄 𩬅 𩬆 𩬇 𩬈 𩬉 𩬊 𩬋 𩬌 𩬍 𩬎 𩬏 𩬐 𩬑 𩬒 𩬓 𩬔 𩬕 𩬖 𩬗 𩬘 𩬙 𩬚 𩬛 𩬜 𩬝 𩬞 𩬟 𩬠 𩬡 𩬢 𩬣 𩬤 𩬥 𩬦 𩬧 𩬨 𩬩 𩬪 𩬫 𩬬 𩬭 𩬮 𩬯 𩬰 𩬱 𩬲 𩬳 𩬴 𩬵 𩬶 𩬷 𩬸 𩬹 𩬺 𩬻 𩬼 𩬽 𩬾 𩬿 𩭀 𩭁 𩭂 𩭃 𩭄 𩭅 𩭆 𩭇 𩭈 𩭉 𩭊 𩭋 𩭌 𩭍 𩭎 𩭏 𩭐 𩭑 𩭒 𩭓 𩭔 𩭕 𩭖 𩭗 𩭘 𩭙 𩭚 𩭛 𩭜 𩭝 𩭞 𩭟 𩭠 𩭡 𩭢 𩭣 𩭤 𩭥 𩭦 𩭧 𩭨 𩭩 𩭪 𩭫 𩭬 𩭭 𩭮 𩭯 𩭰 𩭱 𩭲 𩭳 𩭴 𩭵 𩭶 𩭷 𩭸 𩭹 𩭺 𩭻 𩭼 𩭽 𩭾 𩭿 𩮀 𩮁 𩮂 𩮃 𩮄 𩮅 𩮆 𩮇 𩮈 𩮉 𩮊 𩮋 𩮌 𩮍 𩮎 𩮏 𩮐 𩮑 𩮒 𩮓 𩮔 𩮕 𩮖 𩮗 𩮘 𩮙 𩮚 𩮛 𩮜 𩮝 𩮞 𩮟 𩮠 𩮡 𩮢 𩮣 𩮤 𩮥 𩮦 𩮧 𩮨 𩮩 𩮪 𩮫 𩮬 𩮭 𩮮 𩮯 𩮰 𩮱 𩮲 𩮳 𩮴 𩮵 𩮶 𩮷 𩮸 𩮹 𩮺 𩮻 𩮼 𩮽 𩮾 𩮿 𩯀 𩯁 𩯂 𩯃 𩯄 𩯅 𩯆 𩯇 𩯈 𩯉 𩯊 𩯋 𩯌 𩯍 𩯎 𩯏 𩯐 𩯑 𩯒 𩯓 𩯔 𩯕 𩯖 𩯗 𩯘 𩯙 𩯚 𩯛 𩯜 𩯝 𩯞 𩯟 𩯠 𩯡 𩯢 𩯣 𩯤 𩯥 𩯦 𩯧 𩯨 𩯩 𩯪</t>
        </is>
      </c>
      <c r="Q674" s="38" t="inlineStr">
        <is>
          <t>𩫬 𩫭 𩫮 𩫯 𩫰 𩫱 𩫲 𩫳 𩫴 𩫵 𩫶 𩫷 𩫸 𩫹 𩫺 𩫻 𩫼 𩫽 𩫾 𩫿 𩬀 𩬁 𩬂 𩬃 𩬄 𩬅 𩬆 𩬇 𩬈 𩬉 𩬊 𩬋 𩬌 𩬍 𩬎 𩬏 𩬐 𩬑 𩬒 𩬓 𩬔 𩬕 𩬖 𩬗 𩬘 𩬙 𩬚 𩬛 𩬜 𩬝 𩬞 𩬟 𩬠 𩬡 𩬢 𩬣 𩬤 𩬥 𩬦 𩬧 𩬨 𩬩 𩬪 𩬫 𩬬 𩬭 𩬮 𩬯 𩬰 𩬱 𩬲 𩬳 𩬴 𩬵 𩬶 𩬷 𩬸 𩬹 𩬺 𩬻 𩬼 𩬽 𩬾 𩬿 𩭀 𩭁 𩭂 𩭃 𩭄 𩭅 𩭆 𩭇 𩭈 𩭉 𩭊 𩭋 𩭌 𩭍 𩭎 𩭏 𩭐 𩭑 𩭒 𩭓 𩭔 𩭕 𩭖 𩭗 𩭘 𩭙 𩭚 𩭛 𩭜 𩭝 𩭞 𩭟 𩭠 𩭡 𩭢 𩭣 𩭤 𩭥 𩭦 𩭧 𩭨 𩭩 𩭪 𩭫 𩭬 𩭭 𩭮 𩭯 𩭰 𩭱 𩭲 𩭳 𩭴 𩭵 𩭶 𩭷 𩭸 𩭹 𩭺 𩭻 𩭼 𩭽 𩭾 𩭿 𩮀 𩮁 𩮂 𩮃 𩮄 𩮅 𩮆 𩮇 𩮈 𩮉 𩮊 𩮋 𩮌 𩮍 𩮎 𩮏 𩮐 𩮑 𩮒 𩮓 𩮔 𩮕 𩮖 𩮗 𩮘 𩮙 𩮚 𩮛 𩮜 𩮝 𩮞 𩮟 𩮠 𩮡 𩮢 𩮣 𩮤 𩮥 𩮦 𩮧 𩮨 𩮩 𩮪 𩮫 𩮬 𩮭 𩮮 𩮯 𩮰 𩮱 𩮲 𩮳 𩮴 𩮵 𩮶 𩮷 𩮸 𩮹 𩮺 𩮻 𩮼 𩮽 𩮾 𩮿 𩯀 𩯁 𩯂 𩯃 𩯄 𩯅 𩯆 𩯇 𩯈 𩯉 𩯊 𩯋 𩯌 𩯍 𩯎 𩯏 𩯐 𩯑 𩯒 𩯓 𩯔 𩯕 𩯖 𩯗 𩯘 𩯙 𩯚 𩯛 𩯜 𩯝 𩯞 𩯟 𩯠 𩯡 𩯢 𩯣 𩯤 𩯥 𩯦 𩯧 𩯨 𩯩 𩯪</t>
        </is>
      </c>
      <c r="R674" s="43" t="inlineStr"/>
      <c r="S674" s="40" t="n"/>
      <c r="V674" s="14">
        <f>(LEN(O674)+1)/2</f>
        <v/>
      </c>
      <c r="W674" s="14">
        <f>ROUNDDOWN((LEN(P674)+1)/2,0)</f>
        <v/>
      </c>
      <c r="X674" s="14">
        <f>ROUNDDOWN((LEN(Q674)+1)/2,0)</f>
        <v/>
      </c>
      <c r="Y674" s="14">
        <f>ROUNDDOWN((LEN(R674)+1)/2,0)</f>
        <v/>
      </c>
      <c r="Z674" s="14">
        <f>ROUNDDOWN((LEN(S674)+1)/2,0)</f>
        <v/>
      </c>
      <c r="AA674" s="56" t="n">
        <v>46150.55888133285</v>
      </c>
    </row>
    <row r="675" ht="102" customHeight="1">
      <c r="B675" s="46" t="inlineStr">
        <is>
          <t>U+29CEA-U+29DE8</t>
        </is>
      </c>
      <c r="C675" s="46" t="inlineStr">
        <is>
          <t>CJK Unified Ideographs Extension B</t>
        </is>
      </c>
      <c r="D675" s="54">
        <f>HEX2DEC(MID(B675,3,FIND("-",E675)-3))</f>
        <v/>
      </c>
      <c r="E675" s="46" t="inlineStr">
        <is>
          <t>U+20000-U+2A6DF</t>
        </is>
      </c>
      <c r="F675" s="12" t="n">
        <v>4</v>
      </c>
      <c r="J675" s="19">
        <f>ROUNDDOWN(W675,0)/$V675</f>
        <v/>
      </c>
      <c r="K675" s="19">
        <f>ROUNDDOWN(X675,0)/$V675</f>
        <v/>
      </c>
      <c r="L675" s="19">
        <f>ROUNDDOWN(Y675,0)/$V675</f>
        <v/>
      </c>
      <c r="M675" s="19">
        <f>ROUNDDOWN(Z675,0)/$V675</f>
        <v/>
      </c>
      <c r="O675" s="36" t="inlineStr">
        <is>
          <t>𩯫 𩯬 𩯭 𩯮 𩯯 𩯰 𩯱 𩯲 𩯳 𩯴 𩯵 𩯶 𩯷 𩯸 𩯹 𩯺 𩯻 𩯼 𩯽 𩯾 𩯿 𩰀 𩰁 𩰂 𩰃 𩰄 𩰅 𩰆 𩰇 𩰈 𩰉 𩰊 𩰋 𩰌 𩰍 𩰎 𩰏 𩰐 𩰑 𩰒 𩰓 𩰔 𩰕 𩰖 𩰗 𩰘 𩰙 𩰚 𩰛 𩰜 𩰝 𩰞 𩰟 𩰠 𩰡 𩰢 𩰣 𩰤 𩰥 𩰦 𩰧 𩰨 𩰩 𩰪 𩰫 𩰬 𩰭 𩰮 𩰯 𩰰 𩰱 𩰲 𩰳 𩰴 𩰵 𩰶 𩰷 𩰸 𩰹 𩰺 𩰻 𩰼 𩰽 𩰾 𩰿 𩱀 𩱁 𩱂 𩱃 𩱄 𩱅 𩱆 𩱇 𩱈 𩱉 𩱊 𩱋 𩱌 𩱍 𩱎 𩱏 𩱐 𩱑 𩱒 𩱓 𩱔 𩱕 𩱖 𩱗 𩱘 𩱙 𩱚 𩱛 𩱜 𩱝 𩱞 𩱟 𩱠 𩱡 𩱢 𩱣 𩱤 𩱥 𩱦 𩱧 𩱨 𩱩 𩱪 𩱫 𩱬 𩱭 𩱮 𩱯 𩱰 𩱱 𩱲 𩱳 𩱴 𩱵 𩱶 𩱷 𩱸 𩱹 𩱺 𩱻 𩱼 𩱽 𩱾 𩱿 𩲀 𩲁 𩲂 𩲃 𩲄 𩲅 𩲆 𩲇 𩲈 𩲉 𩲊 𩲋 𩲌 𩲍 𩲎 𩲏 𩲐 𩲑 𩲒 𩲓 𩲔 𩲕 𩲖 𩲗 𩲘 𩲙 𩲚 𩲛 𩲜 𩲝 𩲞 𩲟 𩲠 𩲡 𩲢 𩲣 𩲤 𩲥 𩲦 𩲧 𩲨 𩲩 𩲪 𩲫 𩲬 𩲭 𩲮 𩲯 𩲰 𩲱 𩲲 𩲳 𩲴 𩲵 𩲶 𩲷 𩲸 𩲹 𩲺 𩲻 𩲼 𩲽 𩲾 𩲿 𩳀 𩳁 𩳂 𩳃 𩳄 𩳅 𩳆 𩳇 𩳈 𩳉 𩳊 𩳋 𩳌 𩳍 𩳎 𩳏 𩳐 𩳑 𩳒 𩳓 𩳔 𩳕 𩳖 𩳗 𩳘 𩳙 𩳚 𩳛 𩳜 𩳝 𩳞 𩳟 𩳠 𩳡 𩳢 𩳣 𩳤 𩳥 𩳦 𩳧 𩳨 𩳩</t>
        </is>
      </c>
      <c r="P675" s="37" t="inlineStr">
        <is>
          <t>𩯫 𩯬 𩯭 𩯮 𩯯 𩯰 𩯱 𩯲 𩯳 𩯴 𩯵 𩯶 𩯷 𩯸 𩯹 𩯺 𩯻 𩯼 𩯽 𩯾 𩯿 𩰀 𩰁 𩰂 𩰃 𩰄 𩰅 𩰆 𩰇 𩰈 𩰉 𩰊 𩰋 𩰌 𩰍 𩰎 𩰏 𩰐 𩰑 𩰒 𩰓 𩰔 𩰕 𩰖 𩰗 𩰘 𩰙 𩰚 𩰛 𩰜 𩰝 𩰞 𩰟 𩰠 𩰡 𩰢 𩰣 𩰤 𩰥 𩰦 𩰧 𩰨 𩰩 𩰪 𩰫 𩰬 𩰭 𩰮 𩰯 𩰰 𩰱 𩰲 𩰳 𩰴 𩰵 𩰶 𩰷 𩰸 𩰹 𩰺 𩰻 𩰼 𩰽 𩰾 𩰿 𩱀 𩱁 𩱂 𩱃 𩱄 𩱅 𩱆 𩱇 𩱈 𩱉 𩱊 𩱋 𩱌 𩱍 𩱎 𩱏 𩱐 𩱑 𩱒 𩱓 𩱔 𩱕 𩱖 𩱗 𩱘 𩱙 𩱚 𩱛 𩱜 𩱝 𩱞 𩱟 𩱠 𩱡 𩱢 𩱣 𩱤 𩱥 𩱦 𩱧 𩱨 𩱩 𩱪 𩱫 𩱬 𩱭 𩱮 𩱯 𩱰 𩱱 𩱲 𩱳 𩱴 𩱵 𩱶 𩱷 𩱸 𩱹 𩱺 𩱻 𩱼 𩱽 𩱾 𩱿 𩲀 𩲁 𩲂 𩲃 𩲄 𩲅 𩲆 𩲇 𩲈 𩲉 𩲊 𩲋 𩲌 𩲍 𩲎 𩲏 𩲐 𩲑 𩲒 𩲓 𩲔 𩲕 𩲖 𩲗 𩲘 𩲙 𩲚 𩲛 𩲜 𩲝 𩲞 𩲟 𩲠 𩲡 𩲢 𩲣 𩲤 𩲥 𩲦 𩲧 𩲨 𩲩 𩲪 𩲫 𩲬 𩲭 𩲮 𩲯 𩲰 𩲱 𩲲 𩲳 𩲴 𩲵 𩲶 𩲷 𩲸 𩲹 𩲺 𩲻 𩲼 𩲽 𩲾 𩲿 𩳀 𩳁 𩳂 𩳃 𩳄 𩳅 𩳆 𩳇 𩳈 𩳉 𩳊 𩳋 𩳌 𩳍 𩳎 𩳏 𩳐 𩳑 𩳒 𩳓 𩳔 𩳕 𩳖 𩳗 𩳘 𩳙 𩳚 𩳛 𩳜 𩳝 𩳞 𩳟 𩳠 𩳡 𩳢 𩳣 𩳤 𩳥 𩳦 𩳧 𩳨 𩳩</t>
        </is>
      </c>
      <c r="Q675" s="38" t="inlineStr">
        <is>
          <t>𩯫 𩯬 𩯭 𩯮 𩯯 𩯰 𩯱 𩯲 𩯳 𩯴 𩯵 𩯶 𩯷 𩯸 𩯹 𩯺 𩯻 𩯼 𩯽 𩯾 𩯿 𩰀 𩰁 𩰂 𩰃 𩰄 𩰅 𩰆 𩰇 𩰈 𩰉 𩰊 𩰋 𩰌 𩰍 𩰎 𩰏 𩰐 𩰑 𩰒 𩰓 𩰔 𩰕 𩰖 𩰗 𩰘 𩰙 𩰚 𩰛 𩰜 𩰝 𩰞 𩰟 𩰠 𩰡 𩰢 𩰣 𩰤 𩰥 𩰦 𩰧 𩰨 𩰩 𩰪 𩰫 𩰬 𩰭 𩰮 𩰯 𩰰 𩰱 𩰲 𩰳 𩰴 𩰵 𩰶 𩰷 𩰸 𩰹 𩰺 𩰻 𩰼 𩰽 𩰾 𩰿 𩱀 𩱁 𩱂 𩱃 𩱄 𩱅 𩱆 𩱇 𩱈 𩱉 𩱊 𩱋 𩱌 𩱍 𩱎 𩱏 𩱐 𩱑 𩱒 𩱓 𩱔 𩱕 𩱖 𩱗 𩱘 𩱙 𩱚 𩱛 𩱜 𩱝 𩱞 𩱟 𩱠 𩱡 𩱢 𩱣 𩱤 𩱥 𩱦 𩱧 𩱨 𩱩 𩱪 𩱫 𩱬 𩱭 𩱮 𩱯 𩱰 𩱱 𩱲 𩱳 𩱴 𩱵 𩱶 𩱷 𩱸 𩱹 𩱺 𩱻 𩱼 𩱽 𩱾 𩱿 𩲀 𩲁 𩲂 𩲃 𩲄 𩲅 𩲆 𩲇 𩲈 𩲉 𩲊 𩲋 𩲌 𩲍 𩲎 𩲏 𩲐 𩲑 𩲒 𩲓 𩲔 𩲕 𩲖 𩲗 𩲘 𩲙 𩲚 𩲛 𩲜 𩲝 𩲞 𩲟 𩲠 𩲡 𩲢 𩲣 𩲤 𩲥 𩲦 𩲧 𩲨 𩲩 𩲪 𩲫 𩲬 𩲭 𩲮 𩲯 𩲰 𩲱 𩲲 𩲳 𩲴 𩲵 𩲶 𩲷 𩲸 𩲹 𩲺 𩲻 𩲼 𩲽 𩲾 𩲿 𩳀 𩳁 𩳂 𩳃 𩳄 𩳅 𩳆 𩳇 𩳈 𩳉 𩳊 𩳋 𩳌 𩳍 𩳎 𩳏 𩳐 𩳑 𩳒 𩳓 𩳔 𩳕 𩳖 𩳗 𩳘 𩳙 𩳚 𩳛 𩳜 𩳝 𩳞 𩳟 𩳠 𩳡 𩳢 𩳣 𩳤 𩳥 𩳦 𩳧 𩳨 𩳩</t>
        </is>
      </c>
      <c r="R675" s="43" t="inlineStr"/>
      <c r="S675" s="40" t="n"/>
      <c r="V675" s="14">
        <f>(LEN(O675)+1)/2</f>
        <v/>
      </c>
      <c r="W675" s="14">
        <f>ROUNDDOWN((LEN(P675)+1)/2,0)</f>
        <v/>
      </c>
      <c r="X675" s="14">
        <f>ROUNDDOWN((LEN(Q675)+1)/2,0)</f>
        <v/>
      </c>
      <c r="Y675" s="14">
        <f>ROUNDDOWN((LEN(R675)+1)/2,0)</f>
        <v/>
      </c>
      <c r="Z675" s="14">
        <f>ROUNDDOWN((LEN(S675)+1)/2,0)</f>
        <v/>
      </c>
      <c r="AA675" s="56" t="n">
        <v>46150.5588824017</v>
      </c>
    </row>
    <row r="676" ht="102" customHeight="1">
      <c r="B676" s="46" t="inlineStr">
        <is>
          <t>U+29DE9-U+29EE7</t>
        </is>
      </c>
      <c r="C676" s="46" t="inlineStr">
        <is>
          <t>CJK Unified Ideographs Extension B</t>
        </is>
      </c>
      <c r="D676" s="54">
        <f>HEX2DEC(MID(B676,3,FIND("-",E676)-3))</f>
        <v/>
      </c>
      <c r="E676" s="46" t="inlineStr">
        <is>
          <t>U+20000-U+2A6DF</t>
        </is>
      </c>
      <c r="F676" s="12" t="n">
        <v>4</v>
      </c>
      <c r="J676" s="19">
        <f>ROUNDDOWN(W676,0)/$V676</f>
        <v/>
      </c>
      <c r="K676" s="19">
        <f>ROUNDDOWN(X676,0)/$V676</f>
        <v/>
      </c>
      <c r="L676" s="19">
        <f>ROUNDDOWN(Y676,0)/$V676</f>
        <v/>
      </c>
      <c r="M676" s="19">
        <f>ROUNDDOWN(Z676,0)/$V676</f>
        <v/>
      </c>
      <c r="O676" s="36" t="inlineStr">
        <is>
          <t>𩳪 𩳫 𩳬 𩳭 𩳮 𩳯 𩳰 𩳱 𩳲 𩳳 𩳴 𩳵 𩳶 𩳷 𩳸 𩳹 𩳺 𩳻 𩳼 𩳽 𩳾 𩳿 𩴀 𩴁 𩴂 𩴃 𩴄 𩴅 𩴆 𩴇 𩴈 𩴉 𩴊 𩴋 𩴌 𩴍 𩴎 𩴏 𩴐 𩴑 𩴒 𩴓 𩴔 𩴕 𩴖 𩴗 𩴘 𩴙 𩴚 𩴛 𩴜 𩴝 𩴞 𩴟 𩴠 𩴡 𩴢 𩴣 𩴤 𩴥 𩴦 𩴧 𩴨 𩴩 𩴪 𩴫 𩴬 𩴭 𩴮 𩴯 𩴰 𩴱 𩴲 𩴳 𩴴 𩴵 𩴶 𩴷 𩴸 𩴹 𩴺 𩴻 𩴼 𩴽 𩴾 𩴿 𩵀 𩵁 𩵂 𩵃 𩵄 𩵅 𩵆 𩵇 𩵈 𩵉 𩵊 𩵋 𩵌 𩵍 𩵎 𩵏 𩵐 𩵑 𩵒 𩵓 𩵔 𩵕 𩵖 𩵗 𩵘 𩵙 𩵚 𩵛 𩵜 𩵝 𩵞 𩵟 𩵠 𩵡 𩵢 𩵣 𩵤 𩵥 𩵦 𩵧 𩵨 𩵩 𩵪 𩵫 𩵬 𩵭 𩵮 𩵯 𩵰 𩵱 𩵲 𩵳 𩵴 𩵵 𩵶 𩵷 𩵸 𩵹 𩵺 𩵻 𩵼 𩵽 𩵾 𩵿 𩶀 𩶁 𩶂 𩶃 𩶄 𩶅 𩶆 𩶇 𩶈 𩶉 𩶊 𩶋 𩶌 𩶍 𩶎 𩶏 𩶐 𩶑 𩶒 𩶓 𩶔 𩶕 𩶖 𩶗 𩶘 𩶙 𩶚 𩶛 𩶜 𩶝 𩶞 𩶟 𩶠 𩶡 𩶢 𩶣 𩶤 𩶥 𩶦 𩶧 𩶨 𩶩 𩶪 𩶫 𩶬 𩶭 𩶮 𩶯 𩶰 𩶱 𩶲 𩶳 𩶴 𩶵 𩶶 𩶷 𩶸 𩶹 𩶺 𩶻 𩶼 𩶽 𩶾 𩶿 𩷀 𩷁 𩷂 𩷃 𩷄 𩷅 𩷆 𩷇 𩷈 𩷉 𩷊 𩷋 𩷌 𩷍 𩷎 𩷏 𩷐 𩷑 𩷒 𩷓 𩷔 𩷕 𩷖 𩷗 𩷘 𩷙 𩷚 𩷛 𩷜 𩷝 𩷞 𩷟 𩷠 𩷡 𩷢 𩷣 𩷤 𩷥 𩷦 𩷧 𩷨</t>
        </is>
      </c>
      <c r="P676" s="37" t="inlineStr">
        <is>
          <t>𩳪 𩳫 𩳬 𩳭 𩳮 𩳯 𩳰 𩳱 𩳲 𩳳 𩳴 𩳵 𩳶 𩳷 𩳸 𩳹 𩳺 𩳻 𩳼 𩳽 𩳾 𩳿 𩴀 𩴁 𩴂 𩴃 𩴄 𩴅 𩴆 𩴇 𩴈 𩴉 𩴊 𩴋 𩴌 𩴍 𩴎 𩴏 𩴐 𩴑 𩴒 𩴓 𩴔 𩴕 𩴖 𩴗 𩴘 𩴙 𩴚 𩴛 𩴜 𩴝 𩴞 𩴟 𩴠 𩴡 𩴢 𩴣 𩴤 𩴥 𩴦 𩴧 𩴨 𩴩 𩴪 𩴫 𩴬 𩴭 𩴮 𩴯 𩴰 𩴱 𩴲 𩴳 𩴴 𩴵 𩴶 𩴷 𩴸 𩴹 𩴺 𩴻 𩴼 𩴽 𩴾 𩴿 𩵀 𩵁 𩵂 𩵃 𩵄 𩵅 𩵆 𩵇 𩵈 𩵉 𩵊 𩵋 𩵌 𩵍 𩵎 𩵏 𩵐 𩵑 𩵒 𩵓 𩵔 𩵕 𩵖 𩵗 𩵘 𩵙 𩵚 𩵛 𩵜 𩵝 𩵞 𩵟 𩵠 𩵡 𩵢 𩵣 𩵤 𩵥 𩵦 𩵧 𩵨 𩵩 𩵪 𩵫 𩵬 𩵭 𩵮 𩵯 𩵰 𩵱 𩵲 𩵳 𩵴 𩵵 𩵶 𩵷 𩵸 𩵹 𩵺 𩵻 𩵼 𩵽 𩵾 𩵿 𩶀 𩶁 𩶂 𩶃 𩶄 𩶅 𩶆 𩶇 𩶈 𩶉 𩶊 𩶋 𩶌 𩶍 𩶎 𩶏 𩶐 𩶑 𩶒 𩶓 𩶔 𩶕 𩶖 𩶗 𩶘 𩶙 𩶚 𩶛 𩶜 𩶝 𩶞 𩶟 𩶠 𩶡 𩶢 𩶣 𩶤 𩶥 𩶦 𩶧 𩶨 𩶩 𩶪 𩶫 𩶬 𩶭 𩶮 𩶯 𩶰 𩶱 𩶲 𩶳 𩶴 𩶵 𩶶 𩶷 𩶸 𩶹 𩶺 𩶻 𩶼 𩶽 𩶾 𩶿 𩷀 𩷁 𩷂 𩷃 𩷄 𩷅 𩷆 𩷇 𩷈 𩷉 𩷊 𩷋 𩷌 𩷍 𩷎 𩷏 𩷐 𩷑 𩷒 𩷓 𩷔 𩷕 𩷖 𩷗 𩷘 𩷙 𩷚 𩷛 𩷜 𩷝 𩷞 𩷟 𩷠 𩷡 𩷢 𩷣 𩷤 𩷥 𩷦 𩷧 𩷨</t>
        </is>
      </c>
      <c r="Q676" s="38" t="inlineStr">
        <is>
          <t>𩳪 𩳫 𩳬 𩳭 𩳮 𩳯 𩳰 𩳱 𩳲 𩳳 𩳴 𩳵 𩳶 𩳷 𩳸 𩳹 𩳺 𩳻 𩳼 𩳽 𩳾 𩳿 𩴀 𩴁 𩴂 𩴃 𩴄 𩴅 𩴆 𩴇 𩴈 𩴉 𩴊 𩴋 𩴌 𩴍 𩴎 𩴏 𩴐 𩴑 𩴒 𩴓 𩴔 𩴕 𩴖 𩴗 𩴘 𩴙 𩴚 𩴛 𩴜 𩴝 𩴞 𩴟 𩴠 𩴡 𩴢 𩴣 𩴤 𩴥 𩴦 𩴧 𩴨 𩴩 𩴪 𩴫 𩴬 𩴭 𩴮 𩴯 𩴰 𩴱 𩴲 𩴳 𩴴 𩴵 𩴶 𩴷 𩴸 𩴹 𩴺 𩴻 𩴼 𩴽 𩴾 𩴿 𩵀 𩵁 𩵂 𩵃 𩵄 𩵅 𩵆 𩵇 𩵈 𩵉 𩵊 𩵋 𩵌 𩵍 𩵎 𩵏 𩵐 𩵑 𩵒 𩵓 𩵔 𩵕 𩵖 𩵗 𩵘 𩵙 𩵚 𩵛 𩵜 𩵝 𩵞 𩵟 𩵠 𩵡 𩵢 𩵣 𩵤 𩵥 𩵦 𩵧 𩵨 𩵩 𩵪 𩵫 𩵬 𩵭 𩵮 𩵯 𩵰 𩵱 𩵲 𩵳 𩵴 𩵵 𩵶 𩵷 𩵸 𩵹 𩵺 𩵻 𩵼 𩵽 𩵾 𩵿 𩶀 𩶁 𩶂 𩶃 𩶄 𩶅 𩶆 𩶇 𩶈 𩶉 𩶊 𩶋 𩶌 𩶍 𩶎 𩶏 𩶐 𩶑 𩶒 𩶓 𩶔 𩶕 𩶖 𩶗 𩶘 𩶙 𩶚 𩶛 𩶜 𩶝 𩶞 𩶟 𩶠 𩶡 𩶢 𩶣 𩶤 𩶥 𩶦 𩶧 𩶨 𩶩 𩶪 𩶫 𩶬 𩶭 𩶮 𩶯 𩶰 𩶱 𩶲 𩶳 𩶴 𩶵 𩶶 𩶷 𩶸 𩶹 𩶺 𩶻 𩶼 𩶽 𩶾 𩶿 𩷀 𩷁 𩷂 𩷃 𩷄 𩷅 𩷆 𩷇 𩷈 𩷉 𩷊 𩷋 𩷌 𩷍 𩷎 𩷏 𩷐 𩷑 𩷒 𩷓 𩷔 𩷕 𩷖 𩷗 𩷘 𩷙 𩷚 𩷛 𩷜 𩷝 𩷞 𩷟 𩷠 𩷡 𩷢 𩷣 𩷤 𩷥 𩷦 𩷧 𩷨</t>
        </is>
      </c>
      <c r="R676" s="43" t="inlineStr">
        <is>
          <t>𩵱 𩶘 𩷓 𩷕</t>
        </is>
      </c>
      <c r="S676" s="40" t="n"/>
      <c r="V676" s="14">
        <f>(LEN(O676)+1)/2</f>
        <v/>
      </c>
      <c r="W676" s="14">
        <f>ROUNDDOWN((LEN(P676)+1)/2,0)</f>
        <v/>
      </c>
      <c r="X676" s="14">
        <f>ROUNDDOWN((LEN(Q676)+1)/2,0)</f>
        <v/>
      </c>
      <c r="Y676" s="14">
        <f>ROUNDDOWN((LEN(R676)+1)/2,0)</f>
        <v/>
      </c>
      <c r="Z676" s="14">
        <f>ROUNDDOWN((LEN(S676)+1)/2,0)</f>
        <v/>
      </c>
      <c r="AA676" s="56" t="n">
        <v>46150.55888349822</v>
      </c>
    </row>
    <row r="677" ht="102" customHeight="1">
      <c r="B677" s="46" t="inlineStr">
        <is>
          <t>U+29EE8-U+29FE6</t>
        </is>
      </c>
      <c r="C677" s="46" t="inlineStr">
        <is>
          <t>CJK Unified Ideographs Extension B</t>
        </is>
      </c>
      <c r="D677" s="54">
        <f>HEX2DEC(MID(B677,3,FIND("-",E677)-3))</f>
        <v/>
      </c>
      <c r="E677" s="46" t="inlineStr">
        <is>
          <t>U+20000-U+2A6DF</t>
        </is>
      </c>
      <c r="F677" s="12" t="n">
        <v>4</v>
      </c>
      <c r="J677" s="19">
        <f>ROUNDDOWN(W677,0)/$V677</f>
        <v/>
      </c>
      <c r="K677" s="19">
        <f>ROUNDDOWN(X677,0)/$V677</f>
        <v/>
      </c>
      <c r="L677" s="19">
        <f>ROUNDDOWN(Y677,0)/$V677</f>
        <v/>
      </c>
      <c r="M677" s="19">
        <f>ROUNDDOWN(Z677,0)/$V677</f>
        <v/>
      </c>
      <c r="O677" s="36" t="inlineStr">
        <is>
          <t>𩷩 𩷪 𩷫 𩷬 𩷭 𩷮 𩷯 𩷰 𩷱 𩷲 𩷳 𩷴 𩷵 𩷶 𩷷 𩷸 𩷹 𩷺 𩷻 𩷼 𩷽 𩷾 𩷿 𩸀 𩸁 𩸂 𩸃 𩸄 𩸅 𩸆 𩸇 𩸈 𩸉 𩸊 𩸋 𩸌 𩸍 𩸎 𩸏 𩸐 𩸑 𩸒 𩸓 𩸔 𩸕 𩸖 𩸗 𩸘 𩸙 𩸚 𩸛 𩸜 𩸝 𩸞 𩸟 𩸠 𩸡 𩸢 𩸣 𩸤 𩸥 𩸦 𩸧 𩸨 𩸩 𩸪 𩸫 𩸬 𩸭 𩸮 𩸯 𩸰 𩸱 𩸲 𩸳 𩸴 𩸵 𩸶 𩸷 𩸸 𩸹 𩸺 𩸻 𩸼 𩸽 𩸾 𩸿 𩹀 𩹁 𩹂 𩹃 𩹄 𩹅 𩹆 𩹇 𩹈 𩹉 𩹊 𩹋 𩹌 𩹍 𩹎 𩹏 𩹐 𩹑 𩹒 𩹓 𩹔 𩹕 𩹖 𩹗 𩹘 𩹙 𩹚 𩹛 𩹜 𩹝 𩹞 𩹟 𩹠 𩹡 𩹢 𩹣 𩹤 𩹥 𩹦 𩹧 𩹨 𩹩 𩹪 𩹫 𩹬 𩹭 𩹮 𩹯 𩹰 𩹱 𩹲 𩹳 𩹴 𩹵 𩹶 𩹷 𩹸 𩹹 𩹺 𩹻 𩹼 𩹽 𩹾 𩹿 𩺀 𩺁 𩺂 𩺃 𩺄 𩺅 𩺆 𩺇 𩺈 𩺉 𩺊 𩺋 𩺌 𩺍 𩺎 𩺏 𩺐 𩺑 𩺒 𩺓 𩺔 𩺕 𩺖 𩺗 𩺘 𩺙 𩺚 𩺛 𩺜 𩺝 𩺞 𩺟 𩺠 𩺡 𩺢 𩺣 𩺤 𩺥 𩺦 𩺧 𩺨 𩺩 𩺪 𩺫 𩺬 𩺭 𩺮 𩺯 𩺰 𩺱 𩺲 𩺳 𩺴 𩺵 𩺶 𩺷 𩺸 𩺹 𩺺 𩺻 𩺼 𩺽 𩺾 𩺿 𩻀 𩻁 𩻂 𩻃 𩻄 𩻅 𩻆 𩻇 𩻈 𩻉 𩻊 𩻋 𩻌 𩻍 𩻎 𩻏 𩻐 𩻑 𩻒 𩻓 𩻔 𩻕 𩻖 𩻗 𩻘 𩻙 𩻚 𩻛 𩻜 𩻝 𩻞 𩻟 𩻠 𩻡 𩻢 𩻣 𩻤 𩻥 𩻦 𩻧</t>
        </is>
      </c>
      <c r="P677" s="37" t="inlineStr">
        <is>
          <t>𩷩 𩷪 𩷫 𩷬 𩷭 𩷮 𩷯 𩷰 𩷱 𩷲 𩷳 𩷴 𩷵 𩷶 𩷷 𩷸 𩷹 𩷺 𩷻 𩷼 𩷽 𩷾 𩷿 𩸀 𩸁 𩸂 𩸃 𩸄 𩸅 𩸆 𩸇 𩸈 𩸉 𩸊 𩸋 𩸌 𩸍 𩸎 𩸏 𩸐 𩸑 𩸒 𩸓 𩸔 𩸕 𩸖 𩸗 𩸘 𩸙 𩸚 𩸛 𩸜 𩸝 𩸞 𩸟 𩸠 𩸡 𩸢 𩸣 𩸤 𩸥 𩸦 𩸧 𩸨 𩸩 𩸪 𩸫 𩸬 𩸭 𩸮 𩸯 𩸰 𩸱 𩸲 𩸳 𩸴 𩸵 𩸶 𩸷 𩸸 𩸹 𩸺 𩸻 𩸼 𩸽 𩸾 𩸿 𩹀 𩹁 𩹂 𩹃 𩹄 𩹅 𩹆 𩹇 𩹈 𩹉 𩹊 𩹋 𩹌 𩹍 𩹎 𩹏 𩹐 𩹑 𩹒 𩹓 𩹔 𩹕 𩹖 𩹗 𩹘 𩹙 𩹚 𩹛 𩹜 𩹝 𩹞 𩹟 𩹠 𩹡 𩹢 𩹣 𩹤 𩹥 𩹦 𩹧 𩹨 𩹩 𩹪 𩹫 𩹬 𩹭 𩹮 𩹯 𩹰 𩹱 𩹲 𩹳 𩹴 𩹵 𩹶 𩹷 𩹸 𩹹 𩹺 𩹻 𩹼 𩹽 𩹾 𩹿 𩺀 𩺁 𩺂 𩺃 𩺄 𩺅 𩺆 𩺇 𩺈 𩺉 𩺊 𩺋 𩺌 𩺍 𩺎 𩺏 𩺐 𩺑 𩺒 𩺓 𩺔 𩺕 𩺖 𩺗 𩺘 𩺙 𩺚 𩺛 𩺜 𩺝 𩺞 𩺟 𩺠 𩺡 𩺢 𩺣 𩺤 𩺥 𩺦 𩺧 𩺨 𩺩 𩺪 𩺫 𩺬 𩺭 𩺮 𩺯 𩺰 𩺱 𩺲 𩺳 𩺴 𩺵 𩺶 𩺷 𩺸 𩺹 𩺺 𩺻 𩺼 𩺽 𩺾 𩺿 𩻀 𩻁 𩻂 𩻃 𩻄 𩻅 𩻆 𩻇 𩻈 𩻉 𩻊 𩻋 𩻌 𩻍 𩻎 𩻏 𩻐 𩻑 𩻒 𩻓 𩻔 𩻕 𩻖 𩻗 𩻘 𩻙 𩻚 𩻛 𩻜 𩻝 𩻞 𩻟 𩻠 𩻡 𩻢 𩻣 𩻤 𩻥 𩻦 𩻧</t>
        </is>
      </c>
      <c r="Q677" s="38" t="inlineStr">
        <is>
          <t>𩷩 𩷪 𩷫 𩷬 𩷭 𩷮 𩷯 𩷰 𩷱 𩷲 𩷳 𩷴 𩷵 𩷶 𩷷 𩷸 𩷹 𩷺 𩷻 𩷼 𩷽 𩷾 𩷿 𩸀 𩸁 𩸂 𩸃 𩸄 𩸅 𩸆 𩸇 𩸈 𩸉 𩸊 𩸋 𩸌 𩸍 𩸎 𩸏 𩸐 𩸑 𩸒 𩸓 𩸔 𩸕 𩸖 𩸗 𩸘 𩸙 𩸚 𩸛 𩸜 𩸝 𩸞 𩸟 𩸠 𩸡 𩸢 𩸣 𩸤 𩸥 𩸦 𩸧 𩸨 𩸩 𩸪 𩸫 𩸬 𩸭 𩸮 𩸯 𩸰 𩸱 𩸲 𩸳 𩸴 𩸵 𩸶 𩸷 𩸸 𩸹 𩸺 𩸻 𩸼 𩸽 𩸾 𩸿 𩹀 𩹁 𩹂 𩹃 𩹄 𩹅 𩹆 𩹇 𩹈 𩹉 𩹊 𩹋 𩹌 𩹍 𩹎 𩹏 𩹐 𩹑 𩹒 𩹓 𩹔 𩹕 𩹖 𩹗 𩹘 𩹙 𩹚 𩹛 𩹜 𩹝 𩹞 𩹟 𩹠 𩹡 𩹢 𩹣 𩹤 𩹥 𩹦 𩹧 𩹨 𩹩 𩹪 𩹫 𩹬 𩹭 𩹮 𩹯 𩹰 𩹱 𩹲 𩹳 𩹴 𩹵 𩹶 𩹷 𩹸 𩹹 𩹺 𩹻 𩹼 𩹽 𩹾 𩹿 𩺀 𩺁 𩺂 𩺃 𩺄 𩺅 𩺆 𩺇 𩺈 𩺉 𩺊 𩺋 𩺌 𩺍 𩺎 𩺏 𩺐 𩺑 𩺒 𩺓 𩺔 𩺕 𩺖 𩺗 𩺘 𩺙 𩺚 𩺛 𩺜 𩺝 𩺞 𩺟 𩺠 𩺡 𩺢 𩺣 𩺤 𩺥 𩺦 𩺧 𩺨 𩺩 𩺪 𩺫 𩺬 𩺭 𩺮 𩺯 𩺰 𩺱 𩺲 𩺳 𩺴 𩺵 𩺶 𩺷 𩺸 𩺹 𩺺 𩺻 𩺼 𩺽 𩺾 𩺿 𩻀 𩻁 𩻂 𩻃 𩻄 𩻅 𩻆 𩻇 𩻈 𩻉 𩻊 𩻋 𩻌 𩻍 𩻎 𩻏 𩻐 𩻑 𩻒 𩻓 𩻔 𩻕 𩻖 𩻗 𩻘 𩻙 𩻚 𩻛 𩻜 𩻝 𩻞 𩻟 𩻠 𩻡 𩻢 𩻣 𩻤 𩻥 𩻦 𩻧</t>
        </is>
      </c>
      <c r="R677" s="43" t="inlineStr">
        <is>
          <t>𩸕 𩸙 𩸶 𩸽 𩹉 𩺬 𩻄 𩻛</t>
        </is>
      </c>
      <c r="S677" s="40" t="n"/>
      <c r="V677" s="14">
        <f>(LEN(O677)+1)/2</f>
        <v/>
      </c>
      <c r="W677" s="14">
        <f>ROUNDDOWN((LEN(P677)+1)/2,0)</f>
        <v/>
      </c>
      <c r="X677" s="14">
        <f>ROUNDDOWN((LEN(Q677)+1)/2,0)</f>
        <v/>
      </c>
      <c r="Y677" s="14">
        <f>ROUNDDOWN((LEN(R677)+1)/2,0)</f>
        <v/>
      </c>
      <c r="Z677" s="14">
        <f>ROUNDDOWN((LEN(S677)+1)/2,0)</f>
        <v/>
      </c>
      <c r="AA677" s="56" t="n">
        <v>46150.55888461074</v>
      </c>
    </row>
    <row r="678" ht="102" customHeight="1">
      <c r="B678" s="46" t="inlineStr">
        <is>
          <t>U+29FE7-U+2A0E5</t>
        </is>
      </c>
      <c r="C678" s="46" t="inlineStr">
        <is>
          <t>CJK Unified Ideographs Extension B</t>
        </is>
      </c>
      <c r="D678" s="54">
        <f>HEX2DEC(MID(B678,3,FIND("-",E678)-3))</f>
        <v/>
      </c>
      <c r="E678" s="46" t="inlineStr">
        <is>
          <t>U+20000-U+2A6DF</t>
        </is>
      </c>
      <c r="F678" s="12" t="n">
        <v>4</v>
      </c>
      <c r="J678" s="19">
        <f>ROUNDDOWN(W678,0)/$V678</f>
        <v/>
      </c>
      <c r="K678" s="19">
        <f>ROUNDDOWN(X678,0)/$V678</f>
        <v/>
      </c>
      <c r="L678" s="19">
        <f>ROUNDDOWN(Y678,0)/$V678</f>
        <v/>
      </c>
      <c r="M678" s="19">
        <f>ROUNDDOWN(Z678,0)/$V678</f>
        <v/>
      </c>
      <c r="O678" s="36" t="inlineStr">
        <is>
          <t>𩻨 𩻩 𩻪 𩻫 𩻬 𩻭 𩻮 𩻯 𩻰 𩻱 𩻲 𩻳 𩻴 𩻵 𩻶 𩻷 𩻸 𩻹 𩻺 𩻻 𩻼 𩻽 𩻾 𩻿 𩼀 𩼁 𩼂 𩼃 𩼄 𩼅 𩼆 𩼇 𩼈 𩼉 𩼊 𩼋 𩼌 𩼍 𩼎 𩼏 𩼐 𩼑 𩼒 𩼓 𩼔 𩼕 𩼖 𩼗 𩼘 𩼙 𩼚 𩼛 𩼜 𩼝 𩼞 𩼟 𩼠 𩼡 𩼢 𩼣 𩼤 𩼥 𩼦 𩼧 𩼨 𩼩 𩼪 𩼫 𩼬 𩼭 𩼮 𩼯 𩼰 𩼱 𩼲 𩼳 𩼴 𩼵 𩼶 𩼷 𩼸 𩼹 𩼺 𩼻 𩼼 𩼽 𩼾 𩼿 𩽀 𩽁 𩽂 𩽃 𩽄 𩽅 𩽆 𩽇 𩽈 𩽉 𩽊 𩽋 𩽌 𩽍 𩽎 𩽏 𩽐 𩽑 𩽒 𩽓 𩽔 𩽕 𩽖 𩽗 𩽘 𩽙 𩽚 𩽛 𩽜 𩽝 𩽞 𩽟 𩽠 𩽡 𩽢 𩽣 𩽤 𩽥 𩽦 𩽧 𩽨 𩽩 𩽪 𩽫 𩽬 𩽭 𩽮 𩽯 𩽰 𩽱 𩽲 𩽳 𩽴 𩽵 𩽶 𩽷 𩽸 𩽹 𩽺 𩽻 𩽼 𩽽 𩽾 𩽿 𩾀 𩾁 𩾂 𩾃 𩾄 𩾅 𩾆 𩾇 𩾈 𩾉 𩾊 𩾋 𩾌 𩾍 𩾎 𩾏 𩾐 𩾑 𩾒 𩾓 𩾔 𩾕 𩾖 𩾗 𩾘 𩾙 𩾚 𩾛 𩾜 𩾝 𩾞 𩾟 𩾠 𩾡 𩾢 𩾣 𩾤 𩾥 𩾦 𩾧 𩾨 𩾩 𩾪 𩾫 𩾬 𩾭 𩾮 𩾯 𩾰 𩾱 𩾲 𩾳 𩾴 𩾵 𩾶 𩾷 𩾸 𩾹 𩾺 𩾻 𩾼 𩾽 𩾾 𩾿 𩿀 𩿁 𩿂 𩿃 𩿄 𩿅 𩿆 𩿇 𩿈 𩿉 𩿊 𩿋 𩿌 𩿍 𩿎 𩿏 𩿐 𩿑 𩿒 𩿓 𩿔 𩿕 𩿖 𩿗 𩿘 𩿙 𩿚 𩿛 𩿜 𩿝 𩿞 𩿟 𩿠 𩿡 𩿢 𩿣 𩿤 𩿥 𩿦</t>
        </is>
      </c>
      <c r="P678" s="37" t="inlineStr">
        <is>
          <t>𩻨 𩻩 𩻪 𩻫 𩻬 𩻭 𩻮 𩻯 𩻰 𩻱 𩻲 𩻳 𩻴 𩻵 𩻶 𩻷 𩻸 𩻹 𩻺 𩻻 𩻼 𩻽 𩻾 𩻿 𩼀 𩼁 𩼂 𩼃 𩼄 𩼅 𩼆 𩼇 𩼈 𩼉 𩼊 𩼋 𩼌 𩼍 𩼎 𩼏 𩼐 𩼑 𩼒 𩼓 𩼔 𩼕 𩼖 𩼗 𩼘 𩼙 𩼚 𩼛 𩼜 𩼝 𩼞 𩼟 𩼠 𩼡 𩼢 𩼣 𩼤 𩼥 𩼦 𩼧 𩼨 𩼩 𩼪 𩼫 𩼬 𩼭 𩼮 𩼯 𩼰 𩼱 𩼲 𩼳 𩼴 𩼵 𩼶 𩼷 𩼸 𩼹 𩼺 𩼻 𩼼 𩼽 𩼾 𩼿 𩽀 𩽁 𩽂 𩽃 𩽄 𩽅 𩽆 𩽇 𩽈 𩽉 𩽊 𩽋 𩽌 𩽍 𩽎 𩽏 𩽐 𩽑 𩽒 𩽓 𩽔 𩽕 𩽖 𩽗 𩽘 𩽙 𩽚 𩽛 𩽜 𩽝 𩽞 𩽟 𩽠 𩽡 𩽢 𩽣 𩽤 𩽥 𩽦 𩽧 𩽨 𩽩 𩽪 𩽫 𩽬 𩽭 𩽮 𩽯 𩽰 𩽱 𩽲 𩽳 𩽴 𩽵 𩽶 𩽷 𩽸 𩽹 𩽺 𩽻 𩽼 𩽽 𩽾 𩽿 𩾀 𩾁 𩾂 𩾃 𩾄 𩾅 𩾆 𩾇 𩾈 𩾉 𩾊 𩾋 𩾌 𩾍 𩾎 𩾏 𩾐 𩾑 𩾒 𩾓 𩾔 𩾕 𩾖 𩾗 𩾘 𩾙 𩾚 𩾛 𩾜 𩾝 𩾞 𩾟 𩾠 𩾡 𩾢 𩾣 𩾤 𩾥 𩾦 𩾧 𩾨 𩾩 𩾪 𩾫 𩾬 𩾭 𩾮 𩾯 𩾰 𩾱 𩾲 𩾳 𩾴 𩾵 𩾶 𩾷 𩾸 𩾹 𩾺 𩾻 𩾼 𩾽 𩾾 𩾿 𩿀 𩿁 𩿂 𩿃 𩿄 𩿅 𩿆 𩿇 𩿈 𩿉 𩿊 𩿋 𩿌 𩿍 𩿎 𩿏 𩿐 𩿑 𩿒 𩿓 𩿔 𩿕 𩿖 𩿗 𩿘 𩿙 𩿚 𩿛 𩿜 𩿝 𩿞 𩿟 𩿠 𩿡 𩿢 𩿣 𩿤 𩿥 𩿦</t>
        </is>
      </c>
      <c r="Q678" s="38" t="inlineStr">
        <is>
          <t>𩻨 𩻩 𩻪 𩻫 𩻬 𩻭 𩻮 𩻯 𩻰 𩻱 𩻲 𩻳 𩻴 𩻵 𩻶 𩻷 𩻸 𩻹 𩻺 𩻻 𩻼 𩻽 𩻾 𩻿 𩼀 𩼁 𩼂 𩼃 𩼄 𩼅 𩼆 𩼇 𩼈 𩼉 𩼊 𩼋 𩼌 𩼍 𩼎 𩼏 𩼐 𩼑 𩼒 𩼓 𩼔 𩼕 𩼖 𩼗 𩼘 𩼙 𩼚 𩼛 𩼜 𩼝 𩼞 𩼟 𩼠 𩼡 𩼢 𩼣 𩼤 𩼥 𩼦 𩼧 𩼨 𩼩 𩼪 𩼫 𩼬 𩼭 𩼮 𩼯 𩼰 𩼱 𩼲 𩼳 𩼴 𩼵 𩼶 𩼷 𩼸 𩼹 𩼺 𩼻 𩼼 𩼽 𩼾 𩼿 𩽀 𩽁 𩽂 𩽃 𩽄 𩽅 𩽆 𩽇 𩽈 𩽉 𩽊 𩽋 𩽌 𩽍 𩽎 𩽏 𩽐 𩽑 𩽒 𩽓 𩽔 𩽕 𩽖 𩽗 𩽘 𩽙 𩽚 𩽛 𩽜 𩽝 𩽞 𩽟 𩽠 𩽡 𩽢 𩽣 𩽤 𩽥 𩽦 𩽧 𩽨 𩽩 𩽪 𩽫 𩽬 𩽭 𩽮 𩽯 𩽰 𩽱 𩽲 𩽳 𩽴 𩽵 𩽶 𩽷 𩽸 𩽹 𩽺 𩽻 𩽼 𩽽 𩽾 𩽿 𩾀 𩾁 𩾂 𩾃 𩾄 𩾅 𩾆 𩾇 𩾈 𩾉 𩾊 𩾋 𩾌 𩾍 𩾎 𩾏 𩾐 𩾑 𩾒 𩾓 𩾔 𩾕 𩾖 𩾗 𩾘 𩾙 𩾚 𩾛 𩾜 𩾝 𩾞 𩾟 𩾠 𩾡 𩾢 𩾣 𩾤 𩾥 𩾦 𩾧 𩾨 𩾩 𩾪 𩾫 𩾬 𩾭 𩾮 𩾯 𩾰 𩾱 𩾲 𩾳 𩾴 𩾵 𩾶 𩾷 𩾸 𩾹 𩾺 𩾻 𩾼 𩾽 𩾾 𩾿 𩿀 𩿁 𩿂 𩿃 𩿄 𩿅 𩿆 𩿇 𩿈 𩿉 𩿊 𩿋 𩿌 𩿍 𩿎 𩿏 𩿐 𩿑 𩿒 𩿓 𩿔 𩿕 𩿖 𩿗 𩿘 𩿙 𩿚 𩿛 𩿜 𩿝 𩿞 𩿟 𩿠 𩿡 𩿢 𩿣 𩿤 𩿥 𩿦</t>
        </is>
      </c>
      <c r="R678" s="43" t="inlineStr">
        <is>
          <t>𩻩 𩼧 𩼰 𩽰 𩽼 𩾃 𩾇 𩾌 𩿎</t>
        </is>
      </c>
      <c r="S678" s="40" t="n"/>
      <c r="V678" s="14">
        <f>(LEN(O678)+1)/2</f>
        <v/>
      </c>
      <c r="W678" s="14">
        <f>ROUNDDOWN((LEN(P678)+1)/2,0)</f>
        <v/>
      </c>
      <c r="X678" s="14">
        <f>ROUNDDOWN((LEN(Q678)+1)/2,0)</f>
        <v/>
      </c>
      <c r="Y678" s="14">
        <f>ROUNDDOWN((LEN(R678)+1)/2,0)</f>
        <v/>
      </c>
      <c r="Z678" s="14">
        <f>ROUNDDOWN((LEN(S678)+1)/2,0)</f>
        <v/>
      </c>
      <c r="AA678" s="56" t="n">
        <v>46150.55888574881</v>
      </c>
    </row>
    <row r="679" ht="102" customHeight="1">
      <c r="B679" s="46" t="inlineStr">
        <is>
          <t>U+2A0E6-U+2A1E4</t>
        </is>
      </c>
      <c r="C679" s="46" t="inlineStr">
        <is>
          <t>CJK Unified Ideographs Extension B</t>
        </is>
      </c>
      <c r="D679" s="54">
        <f>HEX2DEC(MID(B679,3,FIND("-",E679)-3))</f>
        <v/>
      </c>
      <c r="E679" s="46" t="inlineStr">
        <is>
          <t>U+20000-U+2A6DF</t>
        </is>
      </c>
      <c r="F679" s="12" t="n">
        <v>4</v>
      </c>
      <c r="J679" s="19">
        <f>ROUNDDOWN(W679,0)/$V679</f>
        <v/>
      </c>
      <c r="K679" s="19">
        <f>ROUNDDOWN(X679,0)/$V679</f>
        <v/>
      </c>
      <c r="L679" s="19">
        <f>ROUNDDOWN(Y679,0)/$V679</f>
        <v/>
      </c>
      <c r="M679" s="19">
        <f>ROUNDDOWN(Z679,0)/$V679</f>
        <v/>
      </c>
      <c r="O679" s="36" t="inlineStr">
        <is>
          <t>𩿧 𩿨 𩿩 𩿪 𩿫 𩿬 𩿭 𩿮 𩿯 𩿰 𩿱 𩿲 𩿳 𩿴 𩿵 𩿶 𩿷 𩿸 𩿹 𩿺 𩿻 𩿼 𩿽 𩿾 𩿿 𪀀 𪀁 𪀂 𪀃 𪀄 𪀅 𪀆 𪀇 𪀈 𪀉 𪀊 𪀋 𪀌 𪀍 𪀎 𪀏 𪀐 𪀑 𪀒 𪀓 𪀔 𪀕 𪀖 𪀗 𪀘 𪀙 𪀚 𪀛 𪀜 𪀝 𪀞 𪀟 𪀠 𪀡 𪀢 𪀣 𪀤 𪀥 𪀦 𪀧 𪀨 𪀩 𪀪 𪀫 𪀬 𪀭 𪀮 𪀯 𪀰 𪀱 𪀲 𪀳 𪀴 𪀵 𪀶 𪀷 𪀸 𪀹 𪀺 𪀻 𪀼 𪀽 𪀾 𪀿 𪁀 𪁁 𪁂 𪁃 𪁄 𪁅 𪁆 𪁇 𪁈 𪁉 𪁊 𪁋 𪁌 𪁍 𪁎 𪁏 𪁐 𪁑 𪁒 𪁓 𪁔 𪁕 𪁖 𪁗 𪁘 𪁙 𪁚 𪁛 𪁜 𪁝 𪁞 𪁟 𪁠 𪁡 𪁢 𪁣 𪁤 𪁥 𪁦 𪁧 𪁨 𪁩 𪁪 𪁫 𪁬 𪁭 𪁮 𪁯 𪁰 𪁱 𪁲 𪁳 𪁴 𪁵 𪁶 𪁷 𪁸 𪁹 𪁺 𪁻 𪁼 𪁽 𪁾 𪁿 𪂀 𪂁 𪂂 𪂃 𪂄 𪂅 𪂆 𪂇 𪂈 𪂉 𪂊 𪂋 𪂌 𪂍 𪂎 𪂏 𪂐 𪂑 𪂒 𪂓 𪂔 𪂕 𪂖 𪂗 𪂘 𪂙 𪂚 𪂛 𪂜 𪂝 𪂞 𪂟 𪂠 𪂡 𪂢 𪂣 𪂤 𪂥 𪂦 𪂧 𪂨 𪂩 𪂪 𪂫 𪂬 𪂭 𪂮 𪂯 𪂰 𪂱 𪂲 𪂳 𪂴 𪂵 𪂶 𪂷 𪂸 𪂹 𪂺 𪂻 𪂼 𪂽 𪂾 𪂿 𪃀 𪃁 𪃂 𪃃 𪃄 𪃅 𪃆 𪃇 𪃈 𪃉 𪃊 𪃋 𪃌 𪃍 𪃎 𪃏 𪃐 𪃑 𪃒 𪃓 𪃔 𪃕 𪃖 𪃗 𪃘 𪃙 𪃚 𪃛 𪃜 𪃝 𪃞 𪃟 𪃠 𪃡 𪃢 𪃣 𪃤 𪃥</t>
        </is>
      </c>
      <c r="P679" s="37" t="inlineStr">
        <is>
          <t>𩿧 𩿨 𩿩 𩿪 𩿫 𩿬 𩿭 𩿮 𩿯 𩿰 𩿱 𩿲 𩿳 𩿴 𩿵 𩿶 𩿷 𩿸 𩿹 𩿺 𩿻 𩿼 𩿽 𩿾 𩿿 𪀀 𪀁 𪀂 𪀃 𪀄 𪀅 𪀆 𪀇 𪀈 𪀉 𪀊 𪀋 𪀌 𪀍 𪀎 𪀏 𪀐 𪀑 𪀒 𪀓 𪀔 𪀕 𪀖 𪀗 𪀘 𪀙 𪀚 𪀛 𪀜 𪀝 𪀞 𪀟 𪀠 𪀡 𪀢 𪀣 𪀤 𪀥 𪀦 𪀧 𪀨 𪀩 𪀪 𪀫 𪀬 𪀭 𪀮 𪀯 𪀰 𪀱 𪀲 𪀳 𪀴 𪀵 𪀶 𪀷 𪀸 𪀹 𪀺 𪀻 𪀼 𪀽 𪀾 𪀿 𪁀 𪁁 𪁂 𪁃 𪁄 𪁅 𪁆 𪁇 𪁈 𪁉 𪁊 𪁋 𪁌 𪁍 𪁎 𪁏 𪁐 𪁑 𪁒 𪁓 𪁔 𪁕 𪁖 𪁗 𪁘 𪁙 𪁚 𪁛 𪁜 𪁝 𪁞 𪁟 𪁠 𪁡 𪁢 𪁣 𪁤 𪁥 𪁦 𪁧 𪁨 𪁩 𪁪 𪁫 𪁬 𪁭 𪁮 𪁯 𪁰 𪁱 𪁲 𪁳 𪁴 𪁵 𪁶 𪁷 𪁸 𪁹 𪁺 𪁻 𪁼 𪁽 𪁾 𪁿 𪂀 𪂁 𪂂 𪂃 𪂄 𪂅 𪂆 𪂇 𪂈 𪂉 𪂊 𪂋 𪂌 𪂍 𪂎 𪂏 𪂐 𪂑 𪂒 𪂓 𪂔 𪂕 𪂖 𪂗 𪂘 𪂙 𪂚 𪂛 𪂜 𪂝 𪂞 𪂟 𪂠 𪂡 𪂢 𪂣 𪂤 𪂥 𪂦 𪂧 𪂨 𪂩 𪂪 𪂫 𪂬 𪂭 𪂮 𪂯 𪂰 𪂱 𪂲 𪂳 𪂴 𪂵 𪂶 𪂷 𪂸 𪂹 𪂺 𪂻 𪂼 𪂽 𪂾 𪂿 𪃀 𪃁 𪃂 𪃃 𪃄 𪃅 𪃆 𪃇 𪃈 𪃉 𪃊 𪃋 𪃌 𪃍 𪃎 𪃏 𪃐 𪃑 𪃒 𪃓 𪃔 𪃕 𪃖 𪃗 𪃘 𪃙 𪃚 𪃛 𪃜 𪃝 𪃞 𪃟 𪃠 𪃡 𪃢 𪃣 𪃤 𪃥</t>
        </is>
      </c>
      <c r="Q679" s="38" t="inlineStr">
        <is>
          <t>𩿧 𩿨 𩿩 𩿪 𩿫 𩿬 𩿭 𩿮 𩿯 𩿰 𩿱 𩿲 𩿳 𩿴 𩿵 𩿶 𩿷 𩿸 𩿹 𩿺 𩿻 𩿼 𩿽 𩿾 𩿿 𪀀 𪀁 𪀂 𪀃 𪀄 𪀅 𪀆 𪀇 𪀈 𪀉 𪀊 𪀋 𪀌 𪀍 𪀎 𪀏 𪀐 𪀑 𪀒 𪀓 𪀔 𪀕 𪀖 𪀗 𪀘 𪀙 𪀚 𪀛 𪀜 𪀝 𪀞 𪀟 𪀠 𪀡 𪀢 𪀣 𪀤 𪀥 𪀦 𪀧 𪀨 𪀩 𪀪 𪀫 𪀬 𪀭 𪀮 𪀯 𪀰 𪀱 𪀲 𪀳 𪀴 𪀵 𪀶 𪀷 𪀸 𪀹 𪀺 𪀻 𪀼 𪀽 𪀾 𪀿 𪁀 𪁁 𪁂 𪁃 𪁄 𪁅 𪁆 𪁇 𪁈 𪁉 𪁊 𪁋 𪁌 𪁍 𪁎 𪁏 𪁐 𪁑 𪁒 𪁓 𪁔 𪁕 𪁖 𪁗 𪁘 𪁙 𪁚 𪁛 𪁜 𪁝 𪁞 𪁟 𪁠 𪁡 𪁢 𪁣 𪁤 𪁥 𪁦 𪁧 𪁨 𪁩 𪁪 𪁫 𪁬 𪁭 𪁮 𪁯 𪁰 𪁱 𪁲 𪁳 𪁴 𪁵 𪁶 𪁷 𪁸 𪁹 𪁺 𪁻 𪁼 𪁽 𪁾 𪁿 𪂀 𪂁 𪂂 𪂃 𪂄 𪂅 𪂆 𪂇 𪂈 𪂉 𪂊 𪂋 𪂌 𪂍 𪂎 𪂏 𪂐 𪂑 𪂒 𪂓 𪂔 𪂕 𪂖 𪂗 𪂘 𪂙 𪂚 𪂛 𪂜 𪂝 𪂞 𪂟 𪂠 𪂡 𪂢 𪂣 𪂤 𪂥 𪂦 𪂧 𪂨 𪂩 𪂪 𪂫 𪂬 𪂭 𪂮 𪂯 𪂰 𪂱 𪂲 𪂳 𪂴 𪂵 𪂶 𪂷 𪂸 𪂹 𪂺 𪂻 𪂼 𪂽 𪂾 𪂿 𪃀 𪃁 𪃂 𪃃 𪃄 𪃅 𪃆 𪃇 𪃈 𪃉 𪃊 𪃋 𪃌 𪃍 𪃎 𪃏 𪃐 𪃑 𪃒 𪃓 𪃔 𪃕 𪃖 𪃗 𪃘 𪃙 𪃚 𪃛 𪃜 𪃝 𪃞 𪃟 𪃠 𪃡 𪃢 𪃣 𪃤 𪃥</t>
        </is>
      </c>
      <c r="R679" s="43" t="inlineStr">
        <is>
          <t>𪀚 𪀯 𪁏 𪂂 𪂺</t>
        </is>
      </c>
      <c r="S679" s="40" t="n"/>
      <c r="V679" s="14">
        <f>(LEN(O679)+1)/2</f>
        <v/>
      </c>
      <c r="W679" s="14">
        <f>ROUNDDOWN((LEN(P679)+1)/2,0)</f>
        <v/>
      </c>
      <c r="X679" s="14">
        <f>ROUNDDOWN((LEN(Q679)+1)/2,0)</f>
        <v/>
      </c>
      <c r="Y679" s="14">
        <f>ROUNDDOWN((LEN(R679)+1)/2,0)</f>
        <v/>
      </c>
      <c r="Z679" s="14">
        <f>ROUNDDOWN((LEN(S679)+1)/2,0)</f>
        <v/>
      </c>
      <c r="AA679" s="56" t="n">
        <v>46150.55888685083</v>
      </c>
    </row>
    <row r="680" ht="102" customHeight="1">
      <c r="B680" s="46" t="inlineStr">
        <is>
          <t>U+2A1E5-U+2A2E3</t>
        </is>
      </c>
      <c r="C680" s="46" t="inlineStr">
        <is>
          <t>CJK Unified Ideographs Extension B</t>
        </is>
      </c>
      <c r="D680" s="54">
        <f>HEX2DEC(MID(B680,3,FIND("-",E680)-3))</f>
        <v/>
      </c>
      <c r="E680" s="46" t="inlineStr">
        <is>
          <t>U+20000-U+2A6DF</t>
        </is>
      </c>
      <c r="F680" s="12" t="n">
        <v>4</v>
      </c>
      <c r="J680" s="19">
        <f>ROUNDDOWN(W680,0)/$V680</f>
        <v/>
      </c>
      <c r="K680" s="19">
        <f>ROUNDDOWN(X680,0)/$V680</f>
        <v/>
      </c>
      <c r="L680" s="19">
        <f>ROUNDDOWN(Y680,0)/$V680</f>
        <v/>
      </c>
      <c r="M680" s="19">
        <f>ROUNDDOWN(Z680,0)/$V680</f>
        <v/>
      </c>
      <c r="O680" s="36" t="inlineStr">
        <is>
          <t>𪃦 𪃧 𪃨 𪃩 𪃪 𪃫 𪃬 𪃭 𪃮 𪃯 𪃰 𪃱 𪃲 𪃳 𪃴 𪃵 𪃶 𪃷 𪃸 𪃹 𪃺 𪃻 𪃼 𪃽 𪃾 𪃿 𪄀 𪄁 𪄂 𪄃 𪄄 𪄅 𪄆 𪄇 𪄈 𪄉 𪄊 𪄋 𪄌 𪄍 𪄎 𪄏 𪄐 𪄑 𪄒 𪄓 𪄔 𪄕 𪄖 𪄗 𪄘 𪄙 𪄚 𪄛 𪄜 𪄝 𪄞 𪄟 𪄠 𪄡 𪄢 𪄣 𪄤 𪄥 𪄦 𪄧 𪄨 𪄩 𪄪 𪄫 𪄬 𪄭 𪄮 𪄯 𪄰 𪄱 𪄲 𪄳 𪄴 𪄵 𪄶 𪄷 𪄸 𪄹 𪄺 𪄻 𪄼 𪄽 𪄾 𪄿 𪅀 𪅁 𪅂 𪅃 𪅄 𪅅 𪅆 𪅇 𪅈 𪅉 𪅊 𪅋 𪅌 𪅍 𪅎 𪅏 𪅐 𪅑 𪅒 𪅓 𪅔 𪅕 𪅖 𪅗 𪅘 𪅙 𪅚 𪅛 𪅜 𪅝 𪅞 𪅟 𪅠 𪅡 𪅢 𪅣 𪅤 𪅥 𪅦 𪅧 𪅨 𪅩 𪅪 𪅫 𪅬 𪅭 𪅮 𪅯 𪅰 𪅱 𪅲 𪅳 𪅴 𪅵 𪅶 𪅷 𪅸 𪅹 𪅺 𪅻 𪅼 𪅽 𪅾 𪅿 𪆀 𪆁 𪆂 𪆃 𪆄 𪆅 𪆆 𪆇 𪆈 𪆉 𪆊 𪆋 𪆌 𪆍 𪆎 𪆏 𪆐 𪆑 𪆒 𪆓 𪆔 𪆕 𪆖 𪆗 𪆘 𪆙 𪆚 𪆛 𪆜 𪆝 𪆞 𪆟 𪆠 𪆡 𪆢 𪆣 𪆤 𪆥 𪆦 𪆧 𪆨 𪆩 𪆪 𪆫 𪆬 𪆭 𪆮 𪆯 𪆰 𪆱 𪆲 𪆳 𪆴 𪆵 𪆶 𪆷 𪆸 𪆹 𪆺 𪆻 𪆼 𪆽 𪆾 𪆿 𪇀 𪇁 𪇂 𪇃 𪇄 𪇅 𪇆 𪇇 𪇈 𪇉 𪇊 𪇋 𪇌 𪇍 𪇎 𪇏 𪇐 𪇑 𪇒 𪇓 𪇔 𪇕 𪇖 𪇗 𪇘 𪇙 𪇚 𪇛 𪇜 𪇝 𪇞 𪇟 𪇠 𪇡 𪇢 𪇣 𪇤</t>
        </is>
      </c>
      <c r="P680" s="37" t="inlineStr">
        <is>
          <t>𪃦 𪃧 𪃨 𪃩 𪃪 𪃫 𪃬 𪃭 𪃮 𪃯 𪃰 𪃱 𪃲 𪃳 𪃴 𪃵 𪃶 𪃷 𪃸 𪃹 𪃺 𪃻 𪃼 𪃽 𪃾 𪃿 𪄀 𪄁 𪄂 𪄃 𪄄 𪄅 𪄆 𪄇 𪄈 𪄉 𪄊 𪄋 𪄌 𪄍 𪄎 𪄏 𪄐 𪄑 𪄒 𪄓 𪄔 𪄕 𪄖 𪄗 𪄘 𪄙 𪄚 𪄛 𪄜 𪄝 𪄞 𪄟 𪄠 𪄡 𪄢 𪄣 𪄤 𪄥 𪄦 𪄧 𪄨 𪄩 𪄪 𪄫 𪄬 𪄭 𪄮 𪄯 𪄰 𪄱 𪄲 𪄳 𪄴 𪄵 𪄶 𪄷 𪄸 𪄹 𪄺 𪄻 𪄼 𪄽 𪄾 𪄿 𪅀 𪅁 𪅂 𪅃 𪅄 𪅅 𪅆 𪅇 𪅈 𪅉 𪅊 𪅋 𪅌 𪅍 𪅎 𪅏 𪅐 𪅑 𪅒 𪅓 𪅔 𪅕 𪅖 𪅗 𪅘 𪅙 𪅚 𪅛 𪅜 𪅝 𪅞 𪅟 𪅠 𪅡 𪅢 𪅣 𪅤 𪅥 𪅦 𪅧 𪅨 𪅩 𪅪 𪅫 𪅬 𪅭 𪅮 𪅯 𪅰 𪅱 𪅲 𪅳 𪅴 𪅵 𪅶 𪅷 𪅸 𪅹 𪅺 𪅻 𪅼 𪅽 𪅾 𪅿 𪆀 𪆁 𪆂 𪆃 𪆄 𪆅 𪆆 𪆇 𪆈 𪆉 𪆊 𪆋 𪆌 𪆍 𪆎 𪆏 𪆐 𪆑 𪆒 𪆓 𪆔 𪆕 𪆖 𪆗 𪆘 𪆙 𪆚 𪆛 𪆜 𪆝 𪆞 𪆟 𪆠 𪆡 𪆢 𪆣 𪆤 𪆥 𪆦 𪆧 𪆨 𪆩 𪆪 𪆫 𪆬 𪆭 𪆮 𪆯 𪆰 𪆱 𪆲 𪆳 𪆴 𪆵 𪆶 𪆷 𪆸 𪆹 𪆺 𪆻 𪆼 𪆽 𪆾 𪆿 𪇀 𪇁 𪇂 𪇃 𪇄 𪇅 𪇆 𪇇 𪇈 𪇉 𪇊 𪇋 𪇌 𪇍 𪇎 𪇏 𪇐 𪇑 𪇒 𪇓 𪇔 𪇕 𪇖 𪇗 𪇘 𪇙 𪇚 𪇛 𪇜 𪇝 𪇞 𪇟 𪇠 𪇡 𪇢 𪇣 𪇤</t>
        </is>
      </c>
      <c r="Q680" s="38" t="inlineStr">
        <is>
          <t>𪃦 𪃧 𪃨 𪃩 𪃪 𪃫 𪃬 𪃭 𪃮 𪃯 𪃰 𪃱 𪃲 𪃳 𪃴 𪃵 𪃶 𪃷 𪃸 𪃹 𪃺 𪃻 𪃼 𪃽 𪃾 𪃿 𪄀 𪄁 𪄂 𪄃 𪄄 𪄅 𪄆 𪄇 𪄈 𪄉 𪄊 𪄋 𪄌 𪄍 𪄎 𪄏 𪄐 𪄑 𪄒 𪄓 𪄔 𪄕 𪄖 𪄗 𪄘 𪄙 𪄚 𪄛 𪄜 𪄝 𪄞 𪄟 𪄠 𪄡 𪄢 𪄣 𪄤 𪄥 𪄦 𪄧 𪄨 𪄩 𪄪 𪄫 𪄬 𪄭 𪄮 𪄯 𪄰 𪄱 𪄲 𪄳 𪄴 𪄵 𪄶 𪄷 𪄸 𪄹 𪄺 𪄻 𪄼 𪄽 𪄾 𪄿 𪅀 𪅁 𪅂 𪅃 𪅄 𪅅 𪅆 𪅇 𪅈 𪅉 𪅊 𪅋 𪅌 𪅍 𪅎 𪅏 𪅐 𪅑 𪅒 𪅓 𪅔 𪅕 𪅖 𪅗 𪅘 𪅙 𪅚 𪅛 𪅜 𪅝 𪅞 𪅟 𪅠 𪅡 𪅢 𪅣 𪅤 𪅥 𪅦 𪅧 𪅨 𪅩 𪅪 𪅫 𪅬 𪅭 𪅮 𪅯 𪅰 𪅱 𪅲 𪅳 𪅴 𪅵 𪅶 𪅷 𪅸 𪅹 𪅺 𪅻 𪅼 𪅽 𪅾 𪅿 𪆀 𪆁 𪆂 𪆃 𪆄 𪆅 𪆆 𪆇 𪆈 𪆉 𪆊 𪆋 𪆌 𪆍 𪆎 𪆏 𪆐 𪆑 𪆒 𪆓 𪆔 𪆕 𪆖 𪆗 𪆘 𪆙 𪆚 𪆛 𪆜 𪆝 𪆞 𪆟 𪆠 𪆡 𪆢 𪆣 𪆤 𪆥 𪆦 𪆧 𪆨 𪆩 𪆪 𪆫 𪆬 𪆭 𪆮 𪆯 𪆰 𪆱 𪆲 𪆳 𪆴 𪆵 𪆶 𪆷 𪆸 𪆹 𪆺 𪆻 𪆼 𪆽 𪆾 𪆿 𪇀 𪇁 𪇂 𪇃 𪇄 𪇅 𪇆 𪇇 𪇈 𪇉 𪇊 𪇋 𪇌 𪇍 𪇎 𪇏 𪇐 𪇑 𪇒 𪇓 𪇔 𪇕 𪇖 𪇗 𪇘 𪇙 𪇚 𪇛 𪇜 𪇝 𪇞 𪇟 𪇠 𪇡 𪇢 𪇣 𪇤</t>
        </is>
      </c>
      <c r="R680" s="43" t="inlineStr">
        <is>
          <t>𪃹 𪆐 𪇡</t>
        </is>
      </c>
      <c r="S680" s="40" t="n"/>
      <c r="V680" s="14">
        <f>(LEN(O680)+1)/2</f>
        <v/>
      </c>
      <c r="W680" s="14">
        <f>ROUNDDOWN((LEN(P680)+1)/2,0)</f>
        <v/>
      </c>
      <c r="X680" s="14">
        <f>ROUNDDOWN((LEN(Q680)+1)/2,0)</f>
        <v/>
      </c>
      <c r="Y680" s="14">
        <f>ROUNDDOWN((LEN(R680)+1)/2,0)</f>
        <v/>
      </c>
      <c r="Z680" s="14">
        <f>ROUNDDOWN((LEN(S680)+1)/2,0)</f>
        <v/>
      </c>
      <c r="AA680" s="56" t="n">
        <v>46150.55888793877</v>
      </c>
    </row>
    <row r="681" ht="102" customHeight="1">
      <c r="B681" s="46" t="inlineStr">
        <is>
          <t>U+2A2E4-U+2A3E2</t>
        </is>
      </c>
      <c r="C681" s="46" t="inlineStr">
        <is>
          <t>CJK Unified Ideographs Extension B</t>
        </is>
      </c>
      <c r="D681" s="54">
        <f>HEX2DEC(MID(B681,3,FIND("-",E681)-3))</f>
        <v/>
      </c>
      <c r="E681" s="46" t="inlineStr">
        <is>
          <t>U+20000-U+2A6DF</t>
        </is>
      </c>
      <c r="F681" s="12" t="n">
        <v>4</v>
      </c>
      <c r="J681" s="19">
        <f>ROUNDDOWN(W681,0)/$V681</f>
        <v/>
      </c>
      <c r="K681" s="19">
        <f>ROUNDDOWN(X681,0)/$V681</f>
        <v/>
      </c>
      <c r="L681" s="19">
        <f>ROUNDDOWN(Y681,0)/$V681</f>
        <v/>
      </c>
      <c r="M681" s="19">
        <f>ROUNDDOWN(Z681,0)/$V681</f>
        <v/>
      </c>
      <c r="O681" s="36" t="inlineStr">
        <is>
          <t>𪇥 𪇦 𪇧 𪇨 𪇩 𪇪 𪇫 𪇬 𪇭 𪇮 𪇯 𪇰 𪇱 𪇲 𪇳 𪇴 𪇵 𪇶 𪇷 𪇸 𪇹 𪇺 𪇻 𪇼 𪇽 𪇾 𪇿 𪈀 𪈁 𪈂 𪈃 𪈄 𪈅 𪈆 𪈇 𪈈 𪈉 𪈊 𪈋 𪈌 𪈍 𪈎 𪈏 𪈐 𪈑 𪈒 𪈓 𪈔 𪈕 𪈖 𪈗 𪈘 𪈙 𪈚 𪈛 𪈜 𪈝 𪈞 𪈟 𪈠 𪈡 𪈢 𪈣 𪈤 𪈥 𪈦 𪈧 𪈨 𪈩 𪈪 𪈫 𪈬 𪈭 𪈮 𪈯 𪈰 𪈱 𪈲 𪈳 𪈴 𪈵 𪈶 𪈷 𪈸 𪈹 𪈺 𪈻 𪈼 𪈽 𪈾 𪈿 𪉀 𪉁 𪉂 𪉃 𪉄 𪉅 𪉆 𪉇 𪉈 𪉉 𪉊 𪉋 𪉌 𪉍 𪉎 𪉏 𪉐 𪉑 𪉒 𪉓 𪉔 𪉕 𪉖 𪉗 𪉘 𪉙 𪉚 𪉛 𪉜 𪉝 𪉞 𪉟 𪉠 𪉡 𪉢 𪉣 𪉤 𪉥 𪉦 𪉧 𪉨 𪉩 𪉪 𪉫 𪉬 𪉭 𪉮 𪉯 𪉰 𪉱 𪉲 𪉳 𪉴 𪉵 𪉶 𪉷 𪉸 𪉹 𪉺 𪉻 𪉼 𪉽 𪉾 𪉿 𪊀 𪊁 𪊂 𪊃 𪊄 𪊅 𪊆 𪊇 𪊈 𪊉 𪊊 𪊋 𪊌 𪊍 𪊎 𪊏 𪊐 𪊑 𪊒 𪊓 𪊔 𪊕 𪊖 𪊗 𪊘 𪊙 𪊚 𪊛 𪊜 𪊝 𪊞 𪊟 𪊠 𪊡 𪊢 𪊣 𪊤 𪊥 𪊦 𪊧 𪊨 𪊩 𪊪 𪊫 𪊬 𪊭 𪊮 𪊯 𪊰 𪊱 𪊲 𪊳 𪊴 𪊵 𪊶 𪊷 𪊸 𪊹 𪊺 𪊻 𪊼 𪊽 𪊾 𪊿 𪋀 𪋁 𪋂 𪋃 𪋄 𪋅 𪋆 𪋇 𪋈 𪋉 𪋊 𪋋 𪋌 𪋍 𪋎 𪋏 𪋐 𪋑 𪋒 𪋓 𪋔 𪋕 𪋖 𪋗 𪋘 𪋙 𪋚 𪋛 𪋜 𪋝 𪋞 𪋟 𪋠 𪋡 𪋢 𪋣</t>
        </is>
      </c>
      <c r="P681" s="37" t="inlineStr">
        <is>
          <t>𪇥 𪇦 𪇧 𪇨 𪇩 𪇪 𪇫 𪇬 𪇭 𪇮 𪇯 𪇰 𪇱 𪇲 𪇳 𪇴 𪇵 𪇶 𪇷 𪇸 𪇹 𪇺 𪇻 𪇼 𪇽 𪇾 𪇿 𪈀 𪈁 𪈂 𪈃 𪈄 𪈅 𪈆 𪈇 𪈈 𪈉 𪈊 𪈋 𪈌 𪈍 𪈎 𪈏 𪈐 𪈑 𪈒 𪈓 𪈔 𪈕 𪈖 𪈗 𪈘 𪈙 𪈚 𪈛 𪈜 𪈝 𪈞 𪈟 𪈠 𪈡 𪈢 𪈣 𪈤 𪈥 𪈦 𪈧 𪈨 𪈩 𪈪 𪈫 𪈬 𪈭 𪈮 𪈯 𪈰 𪈱 𪈲 𪈳 𪈴 𪈵 𪈶 𪈷 𪈸 𪈹 𪈺 𪈻 𪈼 𪈽 𪈾 𪈿 𪉀 𪉁 𪉂 𪉃 𪉄 𪉅 𪉆 𪉇 𪉈 𪉉 𪉊 𪉋 𪉌 𪉍 𪉎 𪉏 𪉐 𪉑 𪉒 𪉓 𪉔 𪉕 𪉖 𪉗 𪉘 𪉙 𪉚 𪉛 𪉜 𪉝 𪉞 𪉟 𪉠 𪉡 𪉢 𪉣 𪉤 𪉥 𪉦 𪉧 𪉨 𪉩 𪉪 𪉫 𪉬 𪉭 𪉮 𪉯 𪉰 𪉱 𪉲 𪉳 𪉴 𪉵 𪉶 𪉷 𪉸 𪉹 𪉺 𪉻 𪉼 𪉽 𪉾 𪉿 𪊀 𪊁 𪊂 𪊃 𪊄 𪊅 𪊆 𪊇 𪊈 𪊉 𪊊 𪊋 𪊌 𪊍 𪊎 𪊏 𪊐 𪊑 𪊒 𪊓 𪊔 𪊕 𪊖 𪊗 𪊘 𪊙 𪊚 𪊛 𪊜 𪊝 𪊞 𪊟 𪊠 𪊡 𪊢 𪊣 𪊤 𪊥 𪊦 𪊧 𪊨 𪊩 𪊪 𪊫 𪊬 𪊭 𪊮 𪊯 𪊰 𪊱 𪊲 𪊳 𪊴 𪊵 𪊶 𪊷 𪊸 𪊹 𪊺 𪊻 𪊼 𪊽 𪊾 𪊿 𪋀 𪋁 𪋂 𪋃 𪋄 𪋅 𪋆 𪋇 𪋈 𪋉 𪋊 𪋋 𪋌 𪋍 𪋎 𪋏 𪋐 𪋑 𪋒 𪋓 𪋔 𪋕 𪋖 𪋗 𪋘 𪋙 𪋚 𪋛 𪋜 𪋝 𪋞 𪋟 𪋠 𪋡 𪋢 𪋣</t>
        </is>
      </c>
      <c r="Q681" s="38" t="inlineStr">
        <is>
          <t>𪇥 𪇦 𪇧 𪇨 𪇩 𪇪 𪇫 𪇬 𪇭 𪇮 𪇯 𪇰 𪇱 𪇲 𪇳 𪇴 𪇵 𪇶 𪇷 𪇸 𪇹 𪇺 𪇻 𪇼 𪇽 𪇾 𪇿 𪈀 𪈁 𪈂 𪈃 𪈄 𪈅 𪈆 𪈇 𪈈 𪈉 𪈊 𪈋 𪈌 𪈍 𪈎 𪈏 𪈐 𪈑 𪈒 𪈓 𪈔 𪈕 𪈖 𪈗 𪈘 𪈙 𪈚 𪈛 𪈜 𪈝 𪈞 𪈟 𪈠 𪈡 𪈢 𪈣 𪈤 𪈥 𪈦 𪈧 𪈨 𪈩 𪈪 𪈫 𪈬 𪈭 𪈮 𪈯 𪈰 𪈱 𪈲 𪈳 𪈴 𪈵 𪈶 𪈷 𪈸 𪈹 𪈺 𪈻 𪈼 𪈽 𪈾 𪈿 𪉀 𪉁 𪉂 𪉃 𪉄 𪉅 𪉆 𪉇 𪉈 𪉉 𪉊 𪉋 𪉌 𪉍 𪉎 𪉏 𪉐 𪉑 𪉒 𪉓 𪉔 𪉕 𪉖 𪉗 𪉘 𪉙 𪉚 𪉛 𪉜 𪉝 𪉞 𪉟 𪉠 𪉡 𪉢 𪉣 𪉤 𪉥 𪉦 𪉧 𪉨 𪉩 𪉪 𪉫 𪉬 𪉭 𪉮 𪉯 𪉰 𪉱 𪉲 𪉳 𪉴 𪉵 𪉶 𪉷 𪉸 𪉹 𪉺 𪉻 𪉼 𪉽 𪉾 𪉿 𪊀 𪊁 𪊂 𪊃 𪊄 𪊅 𪊆 𪊇 𪊈 𪊉 𪊊 𪊋 𪊌 𪊍 𪊎 𪊏 𪊐 𪊑 𪊒 𪊓 𪊔 𪊕 𪊖 𪊗 𪊘 𪊙 𪊚 𪊛 𪊜 𪊝 𪊞 𪊟 𪊠 𪊡 𪊢 𪊣 𪊤 𪊥 𪊦 𪊧 𪊨 𪊩 𪊪 𪊫 𪊬 𪊭 𪊮 𪊯 𪊰 𪊱 𪊲 𪊳 𪊴 𪊵 𪊶 𪊷 𪊸 𪊹 𪊺 𪊻 𪊼 𪊽 𪊾 𪊿 𪋀 𪋁 𪋂 𪋃 𪋄 𪋅 𪋆 𪋇 𪋈 𪋉 𪋊 𪋋 𪋌 𪋍 𪋎 𪋏 𪋐 𪋑 𪋒 𪋓 𪋔 𪋕 𪋖 𪋗 𪋘 𪋙 𪋚 𪋛 𪋜 𪋝 𪋞 𪋟 𪋠 𪋡 𪋢 𪋣</t>
        </is>
      </c>
      <c r="R681" s="43" t="inlineStr">
        <is>
          <t>𪉈</t>
        </is>
      </c>
      <c r="S681" s="40" t="n"/>
      <c r="V681" s="14">
        <f>(LEN(O681)+1)/2</f>
        <v/>
      </c>
      <c r="W681" s="14">
        <f>ROUNDDOWN((LEN(P681)+1)/2,0)</f>
        <v/>
      </c>
      <c r="X681" s="14">
        <f>ROUNDDOWN((LEN(Q681)+1)/2,0)</f>
        <v/>
      </c>
      <c r="Y681" s="14">
        <f>ROUNDDOWN((LEN(R681)+1)/2,0)</f>
        <v/>
      </c>
      <c r="Z681" s="14">
        <f>ROUNDDOWN((LEN(S681)+1)/2,0)</f>
        <v/>
      </c>
      <c r="AA681" s="56" t="n">
        <v>46150.55888901318</v>
      </c>
    </row>
    <row r="682" ht="102" customHeight="1">
      <c r="B682" s="46" t="inlineStr">
        <is>
          <t>U+2A3E3-U+2A4E1</t>
        </is>
      </c>
      <c r="C682" s="46" t="inlineStr">
        <is>
          <t>CJK Unified Ideographs Extension B</t>
        </is>
      </c>
      <c r="D682" s="54">
        <f>HEX2DEC(MID(B682,3,FIND("-",E682)-3))</f>
        <v/>
      </c>
      <c r="E682" s="46" t="inlineStr">
        <is>
          <t>U+20000-U+2A6DF</t>
        </is>
      </c>
      <c r="F682" s="12" t="n">
        <v>4</v>
      </c>
      <c r="J682" s="19">
        <f>ROUNDDOWN(W682,0)/$V682</f>
        <v/>
      </c>
      <c r="K682" s="19">
        <f>ROUNDDOWN(X682,0)/$V682</f>
        <v/>
      </c>
      <c r="L682" s="19">
        <f>ROUNDDOWN(Y682,0)/$V682</f>
        <v/>
      </c>
      <c r="M682" s="19">
        <f>ROUNDDOWN(Z682,0)/$V682</f>
        <v/>
      </c>
      <c r="O682" s="36" t="inlineStr">
        <is>
          <t>𪋤 𪋥 𪋦 𪋧 𪋨 𪋩 𪋪 𪋫 𪋬 𪋭 𪋮 𪋯 𪋰 𪋱 𪋲 𪋳 𪋴 𪋵 𪋶 𪋷 𪋸 𪋹 𪋺 𪋻 𪋼 𪋽 𪋾 𪋿 𪌀 𪌁 𪌂 𪌃 𪌄 𪌅 𪌆 𪌇 𪌈 𪌉 𪌊 𪌋 𪌌 𪌍 𪌎 𪌏 𪌐 𪌑 𪌒 𪌓 𪌔 𪌕 𪌖 𪌗 𪌘 𪌙 𪌚 𪌛 𪌜 𪌝 𪌞 𪌟 𪌠 𪌡 𪌢 𪌣 𪌤 𪌥 𪌦 𪌧 𪌨 𪌩 𪌪 𪌫 𪌬 𪌭 𪌮 𪌯 𪌰 𪌱 𪌲 𪌳 𪌴 𪌵 𪌶 𪌷 𪌸 𪌹 𪌺 𪌻 𪌼 𪌽 𪌾 𪌿 𪍀 𪍁 𪍂 𪍃 𪍄 𪍅 𪍆 𪍇 𪍈 𪍉 𪍊 𪍋 𪍌 𪍍 𪍎 𪍏 𪍐 𪍑 𪍒 𪍓 𪍔 𪍕 𪍖 𪍗 𪍘 𪍙 𪍚 𪍛 𪍜 𪍝 𪍞 𪍟 𪍠 𪍡 𪍢 𪍣 𪍤 𪍥 𪍦 𪍧 𪍨 𪍩 𪍪 𪍫 𪍬 𪍭 𪍮 𪍯 𪍰 𪍱 𪍲 𪍳 𪍴 𪍵 𪍶 𪍷 𪍸 𪍹 𪍺 𪍻 𪍼 𪍽 𪍾 𪍿 𪎀 𪎁 𪎂 𪎃 𪎄 𪎅 𪎆 𪎇 𪎈 𪎉 𪎊 𪎋 𪎌 𪎍 𪎎 𪎏 𪎐 𪎑 𪎒 𪎓 𪎔 𪎕 𪎖 𪎗 𪎘 𪎙 𪎚 𪎛 𪎜 𪎝 𪎞 𪎟 𪎠 𪎡 𪎢 𪎣 𪎤 𪎥 𪎦 𪎧 𪎨 𪎩 𪎪 𪎫 𪎬 𪎭 𪎮 𪎯 𪎰 𪎱 𪎲 𪎳 𪎴 𪎵 𪎶 𪎷 𪎸 𪎹 𪎺 𪎻 𪎼 𪎽 𪎾 𪎿 𪏀 𪏁 𪏂 𪏃 𪏄 𪏅 𪏆 𪏇 𪏈 𪏉 𪏊 𪏋 𪏌 𪏍 𪏎 𪏏 𪏐 𪏑 𪏒 𪏓 𪏔 𪏕 𪏖 𪏗 𪏘 𪏙 𪏚 𪏛 𪏜 𪏝 𪏞 𪏟 𪏠 𪏡 𪏢</t>
        </is>
      </c>
      <c r="P682" s="37" t="inlineStr">
        <is>
          <t>𪋤 𪋥 𪋦 𪋧 𪋨 𪋩 𪋪 𪋫 𪋬 𪋭 𪋮 𪋯 𪋰 𪋱 𪋲 𪋳 𪋴 𪋵 𪋶 𪋷 𪋸 𪋹 𪋺 𪋻 𪋼 𪋽 𪋾 𪋿 𪌀 𪌁 𪌂 𪌃 𪌄 𪌅 𪌆 𪌇 𪌈 𪌉 𪌊 𪌋 𪌌 𪌍 𪌎 𪌏 𪌐 𪌑 𪌒 𪌓 𪌔 𪌕 𪌖 𪌗 𪌘 𪌙 𪌚 𪌛 𪌜 𪌝 𪌞 𪌟 𪌠 𪌡 𪌢 𪌣 𪌤 𪌥 𪌦 𪌧 𪌨 𪌩 𪌪 𪌫 𪌬 𪌭 𪌮 𪌯 𪌰 𪌱 𪌲 𪌳 𪌴 𪌵 𪌶 𪌷 𪌸 𪌹 𪌺 𪌻 𪌼 𪌽 𪌾 𪌿 𪍀 𪍁 𪍂 𪍃 𪍄 𪍅 𪍆 𪍇 𪍈 𪍉 𪍊 𪍋 𪍌 𪍍 𪍎 𪍏 𪍐 𪍑 𪍒 𪍓 𪍔 𪍕 𪍖 𪍗 𪍘 𪍙 𪍚 𪍛 𪍜 𪍝 𪍞 𪍟 𪍠 𪍡 𪍢 𪍣 𪍤 𪍥 𪍦 𪍧 𪍨 𪍩 𪍪 𪍫 𪍬 𪍭 𪍮 𪍯 𪍰 𪍱 𪍲 𪍳 𪍴 𪍵 𪍶 𪍷 𪍸 𪍹 𪍺 𪍻 𪍼 𪍽 𪍾 𪍿 𪎀 𪎁 𪎂 𪎃 𪎄 𪎅 𪎆 𪎇 𪎈 𪎉 𪎊 𪎋 𪎌 𪎍 𪎎 𪎏 𪎐 𪎑 𪎒 𪎓 𪎔 𪎕 𪎖 𪎗 𪎘 𪎙 𪎚 𪎛 𪎜 𪎝 𪎞 𪎟 𪎠 𪎡 𪎢 𪎣 𪎤 𪎥 𪎦 𪎧 𪎨 𪎩 𪎪 𪎫 𪎬 𪎭 𪎮 𪎯 𪎰 𪎱 𪎲 𪎳 𪎴 𪎵 𪎶 𪎷 𪎸 𪎹 𪎺 𪎻 𪎼 𪎽 𪎾 𪎿 𪏀 𪏁 𪏂 𪏃 𪏄 𪏅 𪏆 𪏇 𪏈 𪏉 𪏊 𪏋 𪏌 𪏍 𪏎 𪏏 𪏐 𪏑 𪏒 𪏓 𪏔 𪏕 𪏖 𪏗 𪏘 𪏙 𪏚 𪏛 𪏜 𪏝 𪏞 𪏟 𪏠 𪏡 𪏢</t>
        </is>
      </c>
      <c r="Q682" s="38" t="inlineStr">
        <is>
          <t>𪋤 𪋥 𪋦 𪋧 𪋨 𪋩 𪋪 𪋫 𪋬 𪋭 𪋮 𪋯 𪋰 𪋱 𪋲 𪋳 𪋴 𪋵 𪋶 𪋷 𪋸 𪋹 𪋺 𪋻 𪋼 𪋽 𪋾 𪋿 𪌀 𪌁 𪌂 𪌃 𪌄 𪌅 𪌆 𪌇 𪌈 𪌉 𪌊 𪌋 𪌌 𪌍 𪌎 𪌏 𪌐 𪌑 𪌒 𪌓 𪌔 𪌕 𪌖 𪌗 𪌘 𪌙 𪌚 𪌛 𪌜 𪌝 𪌞 𪌟 𪌠 𪌡 𪌢 𪌣 𪌤 𪌥 𪌦 𪌧 𪌨 𪌩 𪌪 𪌫 𪌬 𪌭 𪌮 𪌯 𪌰 𪌱 𪌲 𪌳 𪌴 𪌵 𪌶 𪌷 𪌸 𪌹 𪌺 𪌻 𪌼 𪌽 𪌾 𪌿 𪍀 𪍁 𪍂 𪍃 𪍄 𪍅 𪍆 𪍇 𪍈 𪍉 𪍊 𪍋 𪍌 𪍍 𪍎 𪍏 𪍐 𪍑 𪍒 𪍓 𪍔 𪍕 𪍖 𪍗 𪍘 𪍙 𪍚 𪍛 𪍜 𪍝 𪍞 𪍟 𪍠 𪍡 𪍢 𪍣 𪍤 𪍥 𪍦 𪍧 𪍨 𪍩 𪍪 𪍫 𪍬 𪍭 𪍮 𪍯 𪍰 𪍱 𪍲 𪍳 𪍴 𪍵 𪍶 𪍷 𪍸 𪍹 𪍺 𪍻 𪍼 𪍽 𪍾 𪍿 𪎀 𪎁 𪎂 𪎃 𪎄 𪎅 𪎆 𪎇 𪎈 𪎉 𪎊 𪎋 𪎌 𪎍 𪎎 𪎏 𪎐 𪎑 𪎒 𪎓 𪎔 𪎕 𪎖 𪎗 𪎘 𪎙 𪎚 𪎛 𪎜 𪎝 𪎞 𪎟 𪎠 𪎡 𪎢 𪎣 𪎤 𪎥 𪎦 𪎧 𪎨 𪎩 𪎪 𪎫 𪎬 𪎭 𪎮 𪎯 𪎰 𪎱 𪎲 𪎳 𪎴 𪎵 𪎶 𪎷 𪎸 𪎹 𪎺 𪎻 𪎼 𪎽 𪎾 𪎿 𪏀 𪏁 𪏂 𪏃 𪏄 𪏅 𪏆 𪏇 𪏈 𪏉 𪏊 𪏋 𪏌 𪏍 𪏎 𪏏 𪏐 𪏑 𪏒 𪏓 𪏔 𪏕 𪏖 𪏗 𪏘 𪏙 𪏚 𪏛 𪏜 𪏝 𪏞 𪏟 𪏠 𪏡 𪏢</t>
        </is>
      </c>
      <c r="R682" s="43" t="inlineStr">
        <is>
          <t>𪎊 𪎌</t>
        </is>
      </c>
      <c r="S682" s="40" t="n"/>
      <c r="V682" s="14">
        <f>(LEN(O682)+1)/2</f>
        <v/>
      </c>
      <c r="W682" s="14">
        <f>ROUNDDOWN((LEN(P682)+1)/2,0)</f>
        <v/>
      </c>
      <c r="X682" s="14">
        <f>ROUNDDOWN((LEN(Q682)+1)/2,0)</f>
        <v/>
      </c>
      <c r="Y682" s="14">
        <f>ROUNDDOWN((LEN(R682)+1)/2,0)</f>
        <v/>
      </c>
      <c r="Z682" s="14">
        <f>ROUNDDOWN((LEN(S682)+1)/2,0)</f>
        <v/>
      </c>
      <c r="AA682" s="56" t="n">
        <v>46150.55889008588</v>
      </c>
    </row>
    <row r="683" ht="102" customHeight="1">
      <c r="B683" s="46" t="inlineStr">
        <is>
          <t>U+2A4E2-U+2A5E0</t>
        </is>
      </c>
      <c r="C683" s="46" t="inlineStr">
        <is>
          <t>CJK Unified Ideographs Extension B</t>
        </is>
      </c>
      <c r="D683" s="54">
        <f>HEX2DEC(MID(B683,3,FIND("-",E683)-3))</f>
        <v/>
      </c>
      <c r="E683" s="46" t="inlineStr">
        <is>
          <t>U+20000-U+2A6DF</t>
        </is>
      </c>
      <c r="F683" s="12" t="n">
        <v>4</v>
      </c>
      <c r="J683" s="19">
        <f>ROUNDDOWN(W683,0)/$V683</f>
        <v/>
      </c>
      <c r="K683" s="19">
        <f>ROUNDDOWN(X683,0)/$V683</f>
        <v/>
      </c>
      <c r="L683" s="19">
        <f>ROUNDDOWN(Y683,0)/$V683</f>
        <v/>
      </c>
      <c r="M683" s="19">
        <f>ROUNDDOWN(Z683,0)/$V683</f>
        <v/>
      </c>
      <c r="O683" s="36" t="inlineStr">
        <is>
          <t>𪏣 𪏤 𪏥 𪏦 𪏧 𪏨 𪏩 𪏪 𪏫 𪏬 𪏭 𪏮 𪏯 𪏰 𪏱 𪏲 𪏳 𪏴 𪏵 𪏶 𪏷 𪏸 𪏹 𪏺 𪏻 𪏼 𪏽 𪏾 𪏿 𪐀 𪐁 𪐂 𪐃 𪐄 𪐅 𪐆 𪐇 𪐈 𪐉 𪐊 𪐋 𪐌 𪐍 𪐎 𪐏 𪐐 𪐑 𪐒 𪐓 𪐔 𪐕 𪐖 𪐗 𪐘 𪐙 𪐚 𪐛 𪐜 𪐝 𪐞 𪐟 𪐠 𪐡 𪐢 𪐣 𪐤 𪐥 𪐦 𪐧 𪐨 𪐩 𪐪 𪐫 𪐬 𪐭 𪐮 𪐯 𪐰 𪐱 𪐲 𪐳 𪐴 𪐵 𪐶 𪐷 𪐸 𪐹 𪐺 𪐻 𪐼 𪐽 𪐾 𪐿 𪑀 𪑁 𪑂 𪑃 𪑄 𪑅 𪑆 𪑇 𪑈 𪑉 𪑊 𪑋 𪑌 𪑍 𪑎 𪑏 𪑐 𪑑 𪑒 𪑓 𪑔 𪑕 𪑖 𪑗 𪑘 𪑙 𪑚 𪑛 𪑜 𪑝 𪑞 𪑟 𪑠 𪑡 𪑢 𪑣 𪑤 𪑥 𪑦 𪑧 𪑨 𪑩 𪑪 𪑫 𪑬 𪑭 𪑮 𪑯 𪑰 𪑱 𪑲 𪑳 𪑴 𪑵 𪑶 𪑷 𪑸 𪑹 𪑺 𪑻 𪑼 𪑽 𪑾 𪑿 𪒀 𪒁 𪒂 𪒃 𪒄 𪒅 𪒆 𪒇 𪒈 𪒉 𪒊 𪒋 𪒌 𪒍 𪒎 𪒏 𪒐 𪒑 𪒒 𪒓 𪒔 𪒕 𪒖 𪒗 𪒘 𪒙 𪒚 𪒛 𪒜 𪒝 𪒞 𪒟 𪒠 𪒡 𪒢 𪒣 𪒤 𪒥 𪒦 𪒧 𪒨 𪒩 𪒪 𪒫 𪒬 𪒭 𪒮 𪒯 𪒰 𪒱 𪒲 𪒳 𪒴 𪒵 𪒶 𪒷 𪒸 𪒹 𪒺 𪒻 𪒼 𪒽 𪒾 𪒿 𪓀 𪓁 𪓂 𪓃 𪓄 𪓅 𪓆 𪓇 𪓈 𪓉 𪓊 𪓋 𪓌 𪓍 𪓎 𪓏 𪓐 𪓑 𪓒 𪓓 𪓔 𪓕 𪓖 𪓗 𪓘 𪓙 𪓚 𪓛 𪓜 𪓝 𪓞 𪓟 𪓠 𪓡</t>
        </is>
      </c>
      <c r="P683" s="37" t="inlineStr">
        <is>
          <t>𪏣 𪏤 𪏥 𪏦 𪏧 𪏨 𪏩 𪏪 𪏫 𪏬 𪏭 𪏮 𪏯 𪏰 𪏱 𪏲 𪏳 𪏴 𪏵 𪏶 𪏷 𪏸 𪏹 𪏺 𪏻 𪏼 𪏽 𪏾 𪏿 𪐀 𪐁 𪐂 𪐃 𪐄 𪐅 𪐆 𪐇 𪐈 𪐉 𪐊 𪐋 𪐌 𪐍 𪐎 𪐏 𪐐 𪐑 𪐒 𪐓 𪐔 𪐕 𪐖 𪐗 𪐘 𪐙 𪐚 𪐛 𪐜 𪐝 𪐞 𪐟 𪐠 𪐡 𪐢 𪐣 𪐤 𪐥 𪐦 𪐧 𪐨 𪐩 𪐪 𪐫 𪐬 𪐭 𪐮 𪐯 𪐰 𪐱 𪐲 𪐳 𪐴 𪐵 𪐶 𪐷 𪐸 𪐹 𪐺 𪐻 𪐼 𪐽 𪐾 𪐿 𪑀 𪑁 𪑂 𪑃 𪑄 𪑅 𪑆 𪑇 𪑈 𪑉 𪑊 𪑋 𪑌 𪑍 𪑎 𪑏 𪑐 𪑑 𪑒 𪑓 𪑔 𪑕 𪑖 𪑗 𪑘 𪑙 𪑚 𪑛 𪑜 𪑝 𪑞 𪑟 𪑠 𪑡 𪑢 𪑣 𪑤 𪑥 𪑦 𪑧 𪑨 𪑩 𪑪 𪑫 𪑬 𪑭 𪑮 𪑯 𪑰 𪑱 𪑲 𪑳 𪑴 𪑵 𪑶 𪑷 𪑸 𪑹 𪑺 𪑻 𪑼 𪑽 𪑾 𪑿 𪒀 𪒁 𪒂 𪒃 𪒄 𪒅 𪒆 𪒇 𪒈 𪒉 𪒊 𪒋 𪒌 𪒍 𪒎 𪒏 𪒐 𪒑 𪒒 𪒓 𪒔 𪒕 𪒖 𪒗 𪒘 𪒙 𪒚 𪒛 𪒜 𪒝 𪒞 𪒟 𪒠 𪒡 𪒢 𪒣 𪒤 𪒥 𪒦 𪒧 𪒨 𪒩 𪒪 𪒫 𪒬 𪒭 𪒮 𪒯 𪒰 𪒱 𪒲 𪒳 𪒴 𪒵 𪒶 𪒷 𪒸 𪒹 𪒺 𪒻 𪒼 𪒽 𪒾 𪒿 𪓀 𪓁 𪓂 𪓃 𪓄 𪓅 𪓆 𪓇 𪓈 𪓉 𪓊 𪓋 𪓌 𪓍 𪓎 𪓏 𪓐 𪓑 𪓒 𪓓 𪓔 𪓕 𪓖 𪓗 𪓘 𪓙 𪓚 𪓛 𪓜 𪓝 𪓞 𪓟 𪓠 𪓡</t>
        </is>
      </c>
      <c r="Q683" s="38" t="inlineStr">
        <is>
          <t>𪏣 𪏤 𪏥 𪏦 𪏧 𪏨 𪏩 𪏪 𪏫 𪏬 𪏭 𪏮 𪏯 𪏰 𪏱 𪏲 𪏳 𪏴 𪏵 𪏶 𪏷 𪏸 𪏹 𪏺 𪏻 𪏼 𪏽 𪏾 𪏿 𪐀 𪐁 𪐂 𪐃 𪐄 𪐅 𪐆 𪐇 𪐈 𪐉 𪐊 𪐋 𪐌 𪐍 𪐎 𪐏 𪐐 𪐑 𪐒 𪐓 𪐔 𪐕 𪐖 𪐗 𪐘 𪐙 𪐚 𪐛 𪐜 𪐝 𪐞 𪐟 𪐠 𪐡 𪐢 𪐣 𪐤 𪐥 𪐦 𪐧 𪐨 𪐩 𪐪 𪐫 𪐬 𪐭 𪐮 𪐯 𪐰 𪐱 𪐲 𪐳 𪐴 𪐵 𪐶 𪐷 𪐸 𪐹 𪐺 𪐻 𪐼 𪐽 𪐾 𪐿 𪑀 𪑁 𪑂 𪑃 𪑄 𪑅 𪑆 𪑇 𪑈 𪑉 𪑊 𪑋 𪑌 𪑍 𪑎 𪑏 𪑐 𪑑 𪑒 𪑓 𪑔 𪑕 𪑖 𪑗 𪑘 𪑙 𪑚 𪑛 𪑜 𪑝 𪑞 𪑟 𪑠 𪑡 𪑢 𪑣 𪑤 𪑥 𪑦 𪑧 𪑨 𪑩 𪑪 𪑫 𪑬 𪑭 𪑮 𪑯 𪑰 𪑱 𪑲 𪑳 𪑴 𪑵 𪑶 𪑷 𪑸 𪑹 𪑺 𪑻 𪑼 𪑽 𪑾 𪑿 𪒀 𪒁 𪒂 𪒃 𪒄 𪒅 𪒆 𪒇 𪒈 𪒉 𪒊 𪒋 𪒌 𪒍 𪒎 𪒏 𪒐 𪒑 𪒒 𪒓 𪒔 𪒕 𪒖 𪒗 𪒘 𪒙 𪒚 𪒛 𪒜 𪒝 𪒞 𪒟 𪒠 𪒡 𪒢 𪒣 𪒤 𪒥 𪒦 𪒧 𪒨 𪒩 𪒪 𪒫 𪒬 𪒭 𪒮 𪒯 𪒰 𪒱 𪒲 𪒳 𪒴 𪒵 𪒶 𪒷 𪒸 𪒹 𪒺 𪒻 𪒼 𪒽 𪒾 𪒿 𪓀 𪓁 𪓂 𪓃 𪓄 𪓅 𪓆 𪓇 𪓈 𪓉 𪓊 𪓋 𪓌 𪓍 𪓎 𪓏 𪓐 𪓑 𪓒 𪓓 𪓔 𪓕 𪓖 𪓗 𪓘 𪓙 𪓚 𪓛 𪓜 𪓝 𪓞 𪓟 𪓠 𪓡</t>
        </is>
      </c>
      <c r="R683" s="43" t="inlineStr">
        <is>
          <t>𪐷</t>
        </is>
      </c>
      <c r="S683" s="40" t="n"/>
      <c r="V683" s="14">
        <f>(LEN(O683)+1)/2</f>
        <v/>
      </c>
      <c r="W683" s="14">
        <f>ROUNDDOWN((LEN(P683)+1)/2,0)</f>
        <v/>
      </c>
      <c r="X683" s="14">
        <f>ROUNDDOWN((LEN(Q683)+1)/2,0)</f>
        <v/>
      </c>
      <c r="Y683" s="14">
        <f>ROUNDDOWN((LEN(R683)+1)/2,0)</f>
        <v/>
      </c>
      <c r="Z683" s="14">
        <f>ROUNDDOWN((LEN(S683)+1)/2,0)</f>
        <v/>
      </c>
      <c r="AA683" s="56" t="n">
        <v>46150.55889116302</v>
      </c>
    </row>
    <row r="684" ht="102" customHeight="1">
      <c r="B684" s="46" t="inlineStr">
        <is>
          <t>U+2A5E1-U+2A6DF</t>
        </is>
      </c>
      <c r="C684" s="46" t="inlineStr">
        <is>
          <t>CJK Unified Ideographs Extension B</t>
        </is>
      </c>
      <c r="D684" s="54">
        <f>HEX2DEC(MID(B684,3,FIND("-",E684)-3))</f>
        <v/>
      </c>
      <c r="E684" s="46" t="inlineStr">
        <is>
          <t>U+20000-U+2A6DF</t>
        </is>
      </c>
      <c r="F684" s="12" t="n">
        <v>4</v>
      </c>
      <c r="J684" s="19">
        <f>ROUNDDOWN(W684,0)/$V684</f>
        <v/>
      </c>
      <c r="K684" s="19">
        <f>ROUNDDOWN(X684,0)/$V684</f>
        <v/>
      </c>
      <c r="L684" s="19">
        <f>ROUNDDOWN(Y684,0)/$V684</f>
        <v/>
      </c>
      <c r="M684" s="19">
        <f>ROUNDDOWN(Z684,0)/$V684</f>
        <v/>
      </c>
      <c r="O684" s="36" t="inlineStr">
        <is>
          <t>𪓢 𪓣 𪓤 𪓥 𪓦 𪓧 𪓨 𪓩 𪓪 𪓫 𪓬 𪓭 𪓮 𪓯 𪓰 𪓱 𪓲 𪓳 𪓴 𪓵 𪓶 𪓷 𪓸 𪓹 𪓺 𪓻 𪓼 𪓽 𪓾 𪓿 𪔀 𪔁 𪔂 𪔃 𪔄 𪔅 𪔆 𪔇 𪔈 𪔉 𪔊 𪔋 𪔌 𪔍 𪔎 𪔏 𪔐 𪔑 𪔒 𪔓 𪔔 𪔕 𪔖 𪔗 𪔘 𪔙 𪔚 𪔛 𪔜 𪔝 𪔞 𪔟 𪔠 𪔡 𪔢 𪔣 𪔤 𪔥 𪔦 𪔧 𪔨 𪔩 𪔪 𪔫 𪔬 𪔭 𪔮 𪔯 𪔰 𪔱 𪔲 𪔳 𪔴 𪔵 𪔶 𪔷 𪔸 𪔹 𪔺 𪔻 𪔼 𪔽 𪔾 𪔿 𪕀 𪕁 𪕂 𪕃 𪕄 𪕅 𪕆 𪕇 𪕈 𪕉 𪕊 𪕋 𪕌 𪕍 𪕎 𪕏 𪕐 𪕑 𪕒 𪕓 𪕔 𪕕 𪕖 𪕗 𪕘 𪕙 𪕚 𪕛 𪕜 𪕝 𪕞 𪕟 𪕠 𪕡 𪕢 𪕣 𪕤 𪕥 𪕦 𪕧 𪕨 𪕩 𪕪 𪕫 𪕬 𪕭 𪕮 𪕯 𪕰 𪕱 𪕲 𪕳 𪕴 𪕵 𪕶 𪕷 𪕸 𪕹 𪕺 𪕻 𪕼 𪕽 𪕾 𪕿 𪖀 𪖁 𪖂 𪖃 𪖄 𪖅 𪖆 𪖇 𪖈 𪖉 𪖊 𪖋 𪖌 𪖍 𪖎 𪖏 𪖐 𪖑 𪖒 𪖓 𪖔 𪖕 𪖖 𪖗 𪖘 𪖙 𪖚 𪖛 𪖜 𪖝 𪖞 𪖟 𪖠 𪖡 𪖢 𪖣 𪖤 𪖥 𪖦 𪖧 𪖨 𪖩 𪖪 𪖫 𪖬 𪖭 𪖮 𪖯 𪖰 𪖱 𪖲 𪖳 𪖴 𪖵 𪖶 𪖷 𪖸 𪖹 𪖺 𪖻 𪖼 𪖽 𪖾 𪖿 𪗀 𪗁 𪗂 𪗃 𪗄 𪗅 𪗆 𪗇 𪗈 𪗉 𪗊 𪗋 𪗌 𪗍 𪗎 𪗏 𪗐 𪗑 𪗒 𪗓 𪗔 𪗕 𪗖 𪗗 𪗘 𪗙 𪗚 𪗛 𪗜 𪗝 𪗞 𪗟 𪗠</t>
        </is>
      </c>
      <c r="P684" s="37" t="inlineStr">
        <is>
          <t>𪓢 𪓣 𪓤 𪓥 𪓦 𪓧 𪓨 𪓩 𪓪 𪓫 𪓬 𪓭 𪓮 𪓯 𪓰 𪓱 𪓲 𪓳 𪓴 𪓵 𪓶 𪓷 𪓸 𪓹 𪓺 𪓻 𪓼 𪓽 𪓾 𪓿 𪔀 𪔁 𪔂 𪔃 𪔄 𪔅 𪔆 𪔇 𪔈 𪔉 𪔊 𪔋 𪔌 𪔍 𪔎 𪔏 𪔐 𪔑 𪔒 𪔓 𪔔 𪔕 𪔖 𪔗 𪔘 𪔙 𪔚 𪔛 𪔜 𪔝 𪔞 𪔟 𪔠 𪔡 𪔢 𪔣 𪔤 𪔥 𪔦 𪔧 𪔨 𪔩 𪔪 𪔫 𪔬 𪔭 𪔮 𪔯 𪔰 𪔱 𪔲 𪔳 𪔴 𪔵 𪔶 𪔷 𪔸 𪔹 𪔺 𪔻 𪔼 𪔽 𪔾 𪔿 𪕀 𪕁 𪕂 𪕃 𪕄 𪕅 𪕆 𪕇 𪕈 𪕉 𪕊 𪕋 𪕌 𪕍 𪕎 𪕏 𪕐 𪕑 𪕒 𪕓 𪕔 𪕕 𪕖 𪕗 𪕘 𪕙 𪕚 𪕛 𪕜 𪕝 𪕞 𪕟 𪕠 𪕡 𪕢 𪕣 𪕤 𪕥 𪕦 𪕧 𪕨 𪕩 𪕪 𪕫 𪕬 𪕭 𪕮 𪕯 𪕰 𪕱 𪕲 𪕳 𪕴 𪕵 𪕶 𪕷 𪕸 𪕹 𪕺 𪕻 𪕼 𪕽 𪕾 𪕿 𪖀 𪖁 𪖂 𪖃 𪖄 𪖅 𪖆 𪖇 𪖈 𪖉 𪖊 𪖋 𪖌 𪖍 𪖎 𪖏 𪖐 𪖑 𪖒 𪖓 𪖔 𪖕 𪖖 𪖗 𪖘 𪖙 𪖚 𪖛 𪖜 𪖝 𪖞 𪖟 𪖠 𪖡 𪖢 𪖣 𪖤 𪖥 𪖦 𪖧 𪖨 𪖩 𪖪 𪖫 𪖬 𪖭 𪖮 𪖯 𪖰 𪖱 𪖲 𪖳 𪖴 𪖵 𪖶 𪖷 𪖸 𪖹 𪖺 𪖻 𪖼 𪖽 𪖾 𪖿 𪗀 𪗁 𪗂 𪗃 𪗄 𪗅 𪗆 𪗇 𪗈 𪗉 𪗊 𪗋 𪗌 𪗍 𪗎 𪗏 𪗐 𪗑 𪗒 𪗓 𪗔 𪗕 𪗖 𪗗 𪗘 𪗙 𪗚 𪗛 𪗜 𪗝 𪗞 𪗟 𪗠</t>
        </is>
      </c>
      <c r="Q684" s="38" t="inlineStr">
        <is>
          <t>𪓢 𪓣 𪓤 𪓥 𪓦 𪓧 𪓨 𪓩 𪓪 𪓫 𪓬 𪓭 𪓮 𪓯 𪓰 𪓱 𪓲 𪓳 𪓴 𪓵 𪓶 𪓷 𪓸 𪓹 𪓺 𪓻 𪓼 𪓽 𪓾 𪓿 𪔀 𪔁 𪔂 𪔃 𪔄 𪔅 𪔆 𪔇 𪔈 𪔉 𪔊 𪔋 𪔌 𪔍 𪔎 𪔏 𪔐 𪔑 𪔒 𪔓 𪔔 𪔕 𪔖 𪔗 𪔘 𪔙 𪔚 𪔛 𪔜 𪔝 𪔞 𪔟 𪔠 𪔡 𪔢 𪔣 𪔤 𪔥 𪔦 𪔧 𪔨 𪔩 𪔪 𪔫 𪔬 𪔭 𪔮 𪔯 𪔰 𪔱 𪔲 𪔳 𪔴 𪔵 𪔶 𪔷 𪔸 𪔹 𪔺 𪔻 𪔼 𪔽 𪔾 𪔿 𪕀 𪕁 𪕂 𪕃 𪕄 𪕅 𪕆 𪕇 𪕈 𪕉 𪕊 𪕋 𪕌 𪕍 𪕎 𪕏 𪕐 𪕑 𪕒 𪕓 𪕔 𪕕 𪕖 𪕗 𪕘 𪕙 𪕚 𪕛 𪕜 𪕝 𪕞 𪕟 𪕠 𪕡 𪕢 𪕣 𪕤 𪕥 𪕦 𪕧 𪕨 𪕩 𪕪 𪕫 𪕬 𪕭 𪕮 𪕯 𪕰 𪕱 𪕲 𪕳 𪕴 𪕵 𪕶 𪕷 𪕸 𪕹 𪕺 𪕻 𪕼 𪕽 𪕾 𪕿 𪖀 𪖁 𪖂 𪖃 𪖄 𪖅 𪖆 𪖇 𪖈 𪖉 𪖊 𪖋 𪖌 𪖍 𪖎 𪖏 𪖐 𪖑 𪖒 𪖓 𪖔 𪖕 𪖖 𪖗 𪖘 𪖙 𪖚 𪖛 𪖜 𪖝 𪖞 𪖟 𪖠 𪖡 𪖢 𪖣 𪖤 𪖥 𪖦 𪖧 𪖨 𪖩 𪖪 𪖫 𪖬 𪖭 𪖮 𪖯 𪖰 𪖱 𪖲 𪖳 𪖴 𪖵 𪖶 𪖷 𪖸 𪖹 𪖺 𪖻 𪖼 𪖽 𪖾 𪖿 𪗀 𪗁 𪗂 𪗃 𪗄 𪗅 𪗆 𪗇 𪗈 𪗉 𪗊 𪗋 𪗌 𪗍 𪗎 𪗏 𪗐 𪗑 𪗒 𪗓 𪗔 𪗕 𪗖 𪗗 𪗘 𪗙 𪗚 𪗛 𪗜 𪗝 𪗞 𪗟 𪗠</t>
        </is>
      </c>
      <c r="R684" s="43" t="inlineStr"/>
      <c r="S684" s="40" t="n"/>
      <c r="V684" s="14">
        <f>(LEN(O684)+1)/2</f>
        <v/>
      </c>
      <c r="W684" s="14">
        <f>ROUNDDOWN((LEN(P684)+1)/2,0)</f>
        <v/>
      </c>
      <c r="X684" s="14">
        <f>ROUNDDOWN((LEN(Q684)+1)/2,0)</f>
        <v/>
      </c>
      <c r="Y684" s="14">
        <f>ROUNDDOWN((LEN(R684)+1)/2,0)</f>
        <v/>
      </c>
      <c r="Z684" s="14">
        <f>ROUNDDOWN((LEN(S684)+1)/2,0)</f>
        <v/>
      </c>
      <c r="AA684" s="56" t="n">
        <v>46150.55889223609</v>
      </c>
    </row>
    <row r="685" ht="102" customHeight="1">
      <c r="B685" s="46" t="inlineStr">
        <is>
          <t>U+2A700-U+2A7F4</t>
        </is>
      </c>
      <c r="C685" s="46" t="inlineStr">
        <is>
          <t>CJK Unified Ideographs Extension C</t>
        </is>
      </c>
      <c r="D685" s="54">
        <f>HEX2DEC(MID(B685,3,FIND("-",E685)-3))</f>
        <v/>
      </c>
      <c r="E685" s="46" t="inlineStr">
        <is>
          <t>U+2A700-U+2B73F</t>
        </is>
      </c>
      <c r="F685" s="12" t="n">
        <v>4</v>
      </c>
      <c r="J685" s="19">
        <f>ROUNDDOWN(W685,0)/$V685</f>
        <v/>
      </c>
      <c r="K685" s="19">
        <f>ROUNDDOWN(X685,0)/$V685</f>
        <v/>
      </c>
      <c r="L685" s="19">
        <f>ROUNDDOWN(Y685,0)/$V685</f>
        <v/>
      </c>
      <c r="M685" s="19">
        <f>ROUNDDOWN(Z685,0)/$V685</f>
        <v/>
      </c>
      <c r="O685" s="36" t="inlineStr">
        <is>
          <t>𪗡 𪗢 𪗣 𪗤 𪗥 𪗦 𪗧 𪗨 𪗩 𪗪 𪗫 𪗬 𪗭 𪗮 𪗯 𪗰 𪗱 𪗲 𪗳 𪗴 𪗵 𪗶 𪗷 𪗸 𪗹 𪗺 𪗻 𪗼 𪗽 𪗾 𪗿 𪘀 𪘁 𪘂 𪘃 𪘄 𪘅 𪘆 𪘇 𪘈 𪘉 𪘊 𪘋 𪘌 𪘍 𪘎 𪘏 𪘐 𪘑 𪘒 𪘓 𪘔 𪘕 𪘖 𪘗 𪘘 𪘙 𪘚 𪘛 𪘜 𪘝 𪘞 𪘟 𪘠 𪘡 𪘢 𪘣 𪘤 𪘥 𪘦 𪘧 𪘨 𪘩 𪘪 𪘫 𪘬 𪘭 𪘮 𪘯 𪘰 𪘱 𪘲 𪘳 𪘴 𪘵 𪘶 𪘷 𪘸 𪘹 𪘺 𪘻 𪘼 𪘽 𪘾 𪘿 𪙀 𪙁 𪙂 𪙃 𪙄 𪙅 𪙆 𪙇 𪙈 𪙉 𪙊 𪙋 𪙌 𪙍 𪙎 𪙏 𪙐 𪙑 𪙒 𪙓 𪙔 𪙕 𪙖 𪙗 𪙘 𪙙 𪙚 𪙛 𪙜 𪙝 𪙞 𪙟 𪙠 𪙡 𪙢 𪙣 𪙤 𪙥 𪙦 𪙧 𪙨 𪙩 𪙪 𪙫 𪙬 𪙭 𪙮 𪙯 𪙰 𪙱 𪙲 𪙳 𪙴 𪙵 𪙶 𪙷 𪙸 𪙹 𪙺 𪙻 𪙼 𪙽 𪙾 𪙿 𪚀 𪚁 𪚂 𪚃 𪚄 𪚅 𪚆 𪚇 𪚈 𪚉 𪚊 𪚋 𪚌 𪚍 𪚎 𪚏 𪚐 𪚑 𪚒 𪚓 𪚔 𪚕 𪚖 𪚗 𪚘 𪚙 𪚚 𪚛 𪚜 𪚝 𪚞 𪚟 𪚠 𪚡 𪚢 𪚣 𪚤 𪚥 𪚦 𪚧 𪚨 𪚩 𪚪 𪚫 𪚬 𪚭 𪚮 𪚯 𪚰 𪚱 𪚲 𪚳 𪚴 𪚵 𪚶 𪚷 𪚸 𪚹 𪚺 𪚻 𪚼 𪚽 𪚾 𪚿 𪛀 𪛁 𪛂 𪛃 𪛄 𪛅 𪛆 𪛇 𪛈 𪛉 𪛊 𪛋 𪛌 𪛍 𪛎 𪛏 𪛐 𪛑 𪛒 𪛓 𪛔 𪛕 𪛖 𪛗 𪛘 𪛙 𪛚 𪛛 𪛜 𪛝 𪛞 𪛟</t>
        </is>
      </c>
      <c r="V685" s="14">
        <f>(LEN(O685)+1)/2</f>
        <v/>
      </c>
      <c r="W685" s="14">
        <f>ROUNDDOWN((LEN(P685)+1)/2,0)</f>
        <v/>
      </c>
      <c r="X685" s="14">
        <f>ROUNDDOWN((LEN(Q685)+1)/2,0)</f>
        <v/>
      </c>
      <c r="Y685" s="14">
        <f>ROUNDDOWN((LEN(R685)+1)/2,0)</f>
        <v/>
      </c>
      <c r="Z685" s="14">
        <f>ROUNDDOWN((LEN(S685)+1)/2,0)</f>
        <v/>
      </c>
    </row>
    <row r="686" ht="102" customHeight="1">
      <c r="B686" s="46" t="inlineStr">
        <is>
          <t>U+2A7F5-U+2A8E9</t>
        </is>
      </c>
      <c r="C686" s="46" t="inlineStr">
        <is>
          <t>CJK Unified Ideographs Extension C</t>
        </is>
      </c>
      <c r="D686" s="54">
        <f>HEX2DEC(MID(B686,3,FIND("-",E686)-3))</f>
        <v/>
      </c>
      <c r="E686" s="46" t="inlineStr">
        <is>
          <t>U+2A700-U+2B73F</t>
        </is>
      </c>
      <c r="F686" s="12" t="n">
        <v>4</v>
      </c>
      <c r="J686" s="19">
        <f>ROUNDDOWN(W686,0)/$V686</f>
        <v/>
      </c>
      <c r="K686" s="19">
        <f>ROUNDDOWN(X686,0)/$V686</f>
        <v/>
      </c>
      <c r="L686" s="19">
        <f>ROUNDDOWN(Y686,0)/$V686</f>
        <v/>
      </c>
      <c r="M686" s="19">
        <f>ROUNDDOWN(Z686,0)/$V686</f>
        <v/>
      </c>
      <c r="O686" s="36" t="inlineStr">
        <is>
          <t>𪜀 𪜁 𪜂 𪜃 𪜄 𪜅 𪜆 𪜇 𪜈 𪜉 𪜊 𪜋 𪜌 𪜍 𪜎 𪜏 𪜐 𪜑 𪜒 𪜓 𪜔 𪜕 𪜖 𪜗 𪜘 𪜙 𪜚 𪜛 𪜜 𪜝 𪜞 𪜟 𪜠 𪜡 𪜢 𪜣 𪜤 𪜥 𪜦 𪜧 𪜨 𪜩 𪜪 𪜫 𪜬 𪜭 𪜮 𪜯 𪜰 𪜱 𪜲 𪜳 𪜴 𪜵 𪜶 𪜷 𪜸 𪜹 𪜺 𪜻 𪜼 𪜽 𪜾 𪜿 𪝀 𪝁 𪝂 𪝃 𪝄 𪝅 𪝆 𪝇 𪝈 𪝉 𪝊 𪝋 𪝌 𪝍 𪝎 𪝏 𪝐 𪝑 𪝒 𪝓 𪝔 𪝕 𪝖 𪝗 𪝘 𪝙 𪝚 𪝛 𪝜 𪝝 𪝞 𪝟 𪝠 𪝡 𪝢 𪝣 𪝤 𪝥 𪝦 𪝧 𪝨 𪝩 𪝪 𪝫 𪝬 𪝭 𪝮 𪝯 𪝰 𪝱 𪝲 𪝳 𪝴 𪝵 𪝶 𪝷 𪝸 𪝹 𪝺 𪝻 𪝼 𪝽 𪝾 𪝿 𪞀 𪞁 𪞂 𪞃 𪞄 𪞅 𪞆 𪞇 𪞈 𪞉 𪞊 𪞋 𪞌 𪞍 𪞎 𪞏 𪞐 𪞑 𪞒 𪞓 𪞔 𪞕 𪞖 𪞗 𪞘 𪞙 𪞚 𪞛 𪞜 𪞝 𪞞 𪞟 𪞠 𪞡 𪞢 𪞣 𪞤 𪞥 𪞦 𪞧 𪞨 𪞩 𪞪 𪞫 𪞬 𪞭 𪞮 𪞯 𪞰 𪞱 𪞲 𪞳 𪞴 𪞵 𪞶 𪞷 𪞸 𪞹 𪞺 𪞻 𪞼 𪞽 𪞾 𪞿 𪟀 𪟁 𪟂 𪟃 𪟄 𪟅 𪟆 𪟇 𪟈 𪟉 𪟊 𪟋 𪟌 𪟍 𪟎 𪟏 𪟐 𪟑 𪟒 𪟓 𪟔 𪟕 𪟖 𪟗 𪟘 𪟙 𪟚 𪟛 𪟜 𪟝 𪟞 𪟟 𪟠 𪟡 𪟢 𪟣 𪟤 𪟥 𪟦 𪟧 𪟨 𪟩 𪟪 𪟫 𪟬 𪟭 𪟮 𪟯 𪟰 𪟱 𪟲 𪟳 𪟴</t>
        </is>
      </c>
      <c r="V686" s="14">
        <f>(LEN(O686)+1)/2</f>
        <v/>
      </c>
      <c r="W686" s="14">
        <f>ROUNDDOWN((LEN(P686)+1)/2,0)</f>
        <v/>
      </c>
      <c r="X686" s="14">
        <f>ROUNDDOWN((LEN(Q686)+1)/2,0)</f>
        <v/>
      </c>
      <c r="Y686" s="14">
        <f>ROUNDDOWN((LEN(R686)+1)/2,0)</f>
        <v/>
      </c>
      <c r="Z686" s="14">
        <f>ROUNDDOWN((LEN(S686)+1)/2,0)</f>
        <v/>
      </c>
    </row>
    <row r="687" ht="102" customHeight="1">
      <c r="B687" s="46" t="inlineStr">
        <is>
          <t>U+2A8EA-U+2A9DE</t>
        </is>
      </c>
      <c r="C687" s="46" t="inlineStr">
        <is>
          <t>CJK Unified Ideographs Extension C</t>
        </is>
      </c>
      <c r="D687" s="54">
        <f>HEX2DEC(MID(B687,3,FIND("-",E687)-3))</f>
        <v/>
      </c>
      <c r="E687" s="46" t="inlineStr">
        <is>
          <t>U+2A700-U+2B73F</t>
        </is>
      </c>
      <c r="F687" s="12" t="n">
        <v>4</v>
      </c>
      <c r="J687" s="19">
        <f>ROUNDDOWN(W687,0)/$V687</f>
        <v/>
      </c>
      <c r="K687" s="19">
        <f>ROUNDDOWN(X687,0)/$V687</f>
        <v/>
      </c>
      <c r="L687" s="19">
        <f>ROUNDDOWN(Y687,0)/$V687</f>
        <v/>
      </c>
      <c r="M687" s="19">
        <f>ROUNDDOWN(Z687,0)/$V687</f>
        <v/>
      </c>
      <c r="O687" s="36" t="inlineStr">
        <is>
          <t>𪟵 𪟶 𪟷 𪟸 𪟹 𪟺 𪟻 𪟼 𪟽 𪟾 𪟿 𪠀 𪠁 𪠂 𪠃 𪠄 𪠅 𪠆 𪠇 𪠈 𪠉 𪠊 𪠋 𪠌 𪠍 𪠎 𪠏 𪠐 𪠑 𪠒 𪠓 𪠔 𪠕 𪠖 𪠗 𪠘 𪠙 𪠚 𪠛 𪠜 𪠝 𪠞 𪠟 𪠠 𪠡 𪠢 𪠣 𪠤 𪠥 𪠦 𪠧 𪠨 𪠩 𪠪 𪠫 𪠬 𪠭 𪠮 𪠯 𪠰 𪠱 𪠲 𪠳 𪠴 𪠵 𪠶 𪠷 𪠸 𪠹 𪠺 𪠻 𪠼 𪠽 𪠾 𪠿 𪡀 𪡁 𪡂 𪡃 𪡄 𪡅 𪡆 𪡇 𪡈 𪡉 𪡊 𪡋 𪡌 𪡍 𪡎 𪡏 𪡐 𪡑 𪡒 𪡓 𪡔 𪡕 𪡖 𪡗 𪡘 𪡙 𪡚 𪡛 𪡜 𪡝 𪡞 𪡟 𪡠 𪡡 𪡢 𪡣 𪡤 𪡥 𪡦 𪡧 𪡨 𪡩 𪡪 𪡫 𪡬 𪡭 𪡮 𪡯 𪡰 𪡱 𪡲 𪡳 𪡴 𪡵 𪡶 𪡷 𪡸 𪡹 𪡺 𪡻 𪡼 𪡽 𪡾 𪡿 𪢀 𪢁 𪢂 𪢃 𪢄 𪢅 𪢆 𪢇 𪢈 𪢉 𪢊 𪢋 𪢌 𪢍 𪢎 𪢏 𪢐 𪢑 𪢒 𪢓 𪢔 𪢕 𪢖 𪢗 𪢘 𪢙 𪢚 𪢛 𪢜 𪢝 𪢞 𪢟 𪢠 𪢡 𪢢 𪢣 𪢤 𪢥 𪢦 𪢧 𪢨 𪢩 𪢪 𪢫 𪢬 𪢭 𪢮 𪢯 𪢰 𪢱 𪢲 𪢳 𪢴 𪢵 𪢶 𪢷 𪢸 𪢹 𪢺 𪢻 𪢼 𪢽 𪢾 𪢿 𪣀 𪣁 𪣂 𪣃 𪣄 𪣅 𪣆 𪣇 𪣈 𪣉 𪣊 𪣋 𪣌 𪣍 𪣎 𪣏 𪣐 𪣑 𪣒 𪣓 𪣔 𪣕 𪣖 𪣗 𪣘 𪣙 𪣚 𪣛 𪣜 𪣝 𪣞 𪣟 𪣠 𪣡 𪣢 𪣣 𪣤 𪣥 𪣦 𪣧 𪣨 𪣩</t>
        </is>
      </c>
      <c r="V687" s="14">
        <f>(LEN(O687)+1)/2</f>
        <v/>
      </c>
      <c r="W687" s="14">
        <f>ROUNDDOWN((LEN(P687)+1)/2,0)</f>
        <v/>
      </c>
      <c r="X687" s="14">
        <f>ROUNDDOWN((LEN(Q687)+1)/2,0)</f>
        <v/>
      </c>
      <c r="Y687" s="14">
        <f>ROUNDDOWN((LEN(R687)+1)/2,0)</f>
        <v/>
      </c>
      <c r="Z687" s="14">
        <f>ROUNDDOWN((LEN(S687)+1)/2,0)</f>
        <v/>
      </c>
    </row>
    <row r="688" ht="102" customHeight="1">
      <c r="B688" s="46" t="inlineStr">
        <is>
          <t>U+2A9DF-U+2AAD3</t>
        </is>
      </c>
      <c r="C688" s="46" t="inlineStr">
        <is>
          <t>CJK Unified Ideographs Extension C</t>
        </is>
      </c>
      <c r="D688" s="54">
        <f>HEX2DEC(MID(B688,3,FIND("-",E688)-3))</f>
        <v/>
      </c>
      <c r="E688" s="46" t="inlineStr">
        <is>
          <t>U+2A700-U+2B73F</t>
        </is>
      </c>
      <c r="F688" s="12" t="n">
        <v>4</v>
      </c>
      <c r="J688" s="19">
        <f>ROUNDDOWN(W688,0)/$V688</f>
        <v/>
      </c>
      <c r="K688" s="19">
        <f>ROUNDDOWN(X688,0)/$V688</f>
        <v/>
      </c>
      <c r="L688" s="19">
        <f>ROUNDDOWN(Y688,0)/$V688</f>
        <v/>
      </c>
      <c r="M688" s="19">
        <f>ROUNDDOWN(Z688,0)/$V688</f>
        <v/>
      </c>
      <c r="O688" s="36" t="inlineStr">
        <is>
          <t>𪣪 𪣫 𪣬 𪣭 𪣮 𪣯 𪣰 𪣱 𪣲 𪣳 𪣴 𪣵 𪣶 𪣷 𪣸 𪣹 𪣺 𪣻 𪣼 𪣽 𪣾 𪣿 𪤀 𪤁 𪤂 𪤃 𪤄 𪤅 𪤆 𪤇 𪤈 𪤉 𪤊 𪤋 𪤌 𪤍 𪤎 𪤏 𪤐 𪤑 𪤒 𪤓 𪤔 𪤕 𪤖 𪤗 𪤘 𪤙 𪤚 𪤛 𪤜 𪤝 𪤞 𪤟 𪤠 𪤡 𪤢 𪤣 𪤤 𪤥 𪤦 𪤧 𪤨 𪤩 𪤪 𪤫 𪤬 𪤭 𪤮 𪤯 𪤰 𪤱 𪤲 𪤳 𪤴 𪤵 𪤶 𪤷 𪤸 𪤹 𪤺 𪤻 𪤼 𪤽 𪤾 𪤿 𪥀 𪥁 𪥂 𪥃 𪥄 𪥅 𪥆 𪥇 𪥈 𪥉 𪥊 𪥋 𪥌 𪥍 𪥎 𪥏 𪥐 𪥑 𪥒 𪥓 𪥔 𪥕 𪥖 𪥗 𪥘 𪥙 𪥚 𪥛 𪥜 𪥝 𪥞 𪥟 𪥠 𪥡 𪥢 𪥣 𪥤 𪥥 𪥦 𪥧 𪥨 𪥩 𪥪 𪥫 𪥬 𪥭 𪥮 𪥯 𪥰 𪥱 𪥲 𪥳 𪥴 𪥵 𪥶 𪥷 𪥸 𪥹 𪥺 𪥻 𪥼 𪥽 𪥾 𪥿 𪦀 𪦁 𪦂 𪦃 𪦄 𪦅 𪦆 𪦇 𪦈 𪦉 𪦊 𪦋 𪦌 𪦍 𪦎 𪦏 𪦐 𪦑 𪦒 𪦓 𪦔 𪦕 𪦖 𪦗 𪦘 𪦙 𪦚 𪦛 𪦜 𪦝 𪦞 𪦟 𪦠 𪦡 𪦢 𪦣 𪦤 𪦥 𪦦 𪦧 𪦨 𪦩 𪦪 𪦫 𪦬 𪦭 𪦮 𪦯 𪦰 𪦱 𪦲 𪦳 𪦴 𪦵 𪦶 𪦷 𪦸 𪦹 𪦺 𪦻 𪦼 𪦽 𪦾 𪦿 𪧀 𪧁 𪧂 𪧃 𪧄 𪧅 𪧆 𪧇 𪧈 𪧉 𪧊 𪧋 𪧌 𪧍 𪧎 𪧏 𪧐 𪧑 𪧒 𪧓 𪧔 𪧕 𪧖 𪧗 𪧘 𪧙 𪧚 𪧛 𪧜 𪧝 𪧞</t>
        </is>
      </c>
      <c r="V688" s="14">
        <f>(LEN(O688)+1)/2</f>
        <v/>
      </c>
      <c r="W688" s="14">
        <f>ROUNDDOWN((LEN(P688)+1)/2,0)</f>
        <v/>
      </c>
      <c r="X688" s="14">
        <f>ROUNDDOWN((LEN(Q688)+1)/2,0)</f>
        <v/>
      </c>
      <c r="Y688" s="14">
        <f>ROUNDDOWN((LEN(R688)+1)/2,0)</f>
        <v/>
      </c>
      <c r="Z688" s="14">
        <f>ROUNDDOWN((LEN(S688)+1)/2,0)</f>
        <v/>
      </c>
    </row>
    <row r="689" ht="102" customHeight="1">
      <c r="B689" s="46" t="inlineStr">
        <is>
          <t>U+2AAD4-U+2ABC8</t>
        </is>
      </c>
      <c r="C689" s="46" t="inlineStr">
        <is>
          <t>CJK Unified Ideographs Extension C</t>
        </is>
      </c>
      <c r="D689" s="54">
        <f>HEX2DEC(MID(B689,3,FIND("-",E689)-3))</f>
        <v/>
      </c>
      <c r="E689" s="46" t="inlineStr">
        <is>
          <t>U+2A700-U+2B73F</t>
        </is>
      </c>
      <c r="F689" s="12" t="n">
        <v>4</v>
      </c>
      <c r="J689" s="19">
        <f>ROUNDDOWN(W689,0)/$V689</f>
        <v/>
      </c>
      <c r="K689" s="19">
        <f>ROUNDDOWN(X689,0)/$V689</f>
        <v/>
      </c>
      <c r="L689" s="19">
        <f>ROUNDDOWN(Y689,0)/$V689</f>
        <v/>
      </c>
      <c r="M689" s="19">
        <f>ROUNDDOWN(Z689,0)/$V689</f>
        <v/>
      </c>
      <c r="O689" s="36" t="inlineStr">
        <is>
          <t>𪧟 𪧠 𪧡 𪧢 𪧣 𪧤 𪧥 𪧦 𪧧 𪧨 𪧩 𪧪 𪧫 𪧬 𪧭 𪧮 𪧯 𪧰 𪧱 𪧲 𪧳 𪧴 𪧵 𪧶 𪧷 𪧸 𪧹 𪧺 𪧻 𪧼 𪧽 𪧾 𪧿 𪨀 𪨁 𪨂 𪨃 𪨄 𪨅 𪨆 𪨇 𪨈 𪨉 𪨊 𪨋 𪨌 𪨍 𪨎 𪨏 𪨐 𪨑 𪨒 𪨓 𪨔 𪨕 𪨖 𪨗 𪨘 𪨙 𪨚 𪨛 𪨜 𪨝 𪨞 𪨟 𪨠 𪨡 𪨢 𪨣 𪨤 𪨥 𪨦 𪨧 𪨨 𪨩 𪨪 𪨫 𪨬 𪨭 𪨮 𪨯 𪨰 𪨱 𪨲 𪨳 𪨴 𪨵 𪨶 𪨷 𪨸 𪨹 𪨺 𪨻 𪨼 𪨽 𪨾 𪨿 𪩀 𪩁 𪩂 𪩃 𪩄 𪩅 𪩆 𪩇 𪩈 𪩉 𪩊 𪩋 𪩌 𪩍 𪩎 𪩏 𪩐 𪩑 𪩒 𪩓 𪩔 𪩕 𪩖 𪩗 𪩘 𪩙 𪩚 𪩛 𪩜 𪩝 𪩞 𪩟 𪩠 𪩡 𪩢 𪩣 𪩤 𪩥 𪩦 𪩧 𪩨 𪩩 𪩪 𪩫 𪩬 𪩭 𪩮 𪩯 𪩰 𪩱 𪩲 𪩳 𪩴 𪩵 𪩶 𪩷 𪩸 𪩹 𪩺 𪩻 𪩼 𪩽 𪩾 𪩿 𪪀 𪪁 𪪂 𪪃 𪪄 𪪅 𪪆 𪪇 𪪈 𪪉 𪪊 𪪋 𪪌 𪪍 𪪎 𪪏 𪪐 𪪑 𪪒 𪪓 𪪔 𪪕 𪪖 𪪗 𪪘 𪪙 𪪚 𪪛 𪪜 𪪝 𪪞 𪪟 𪪠 𪪡 𪪢 𪪣 𪪤 𪪥 𪪦 𪪧 𪪨 𪪩 𪪪 𪪫 𪪬 𪪭 𪪮 𪪯 𪪰 𪪱 𪪲 𪪳 𪪴 𪪵 𪪶 𪪷 𪪸 𪪹 𪪺 𪪻 𪪼 𪪽 𪪾 𪪿 𪫀 𪫁 𪫂 𪫃 𪫄 𪫅 𪫆 𪫇 𪫈 𪫉 𪫊 𪫋 𪫌 𪫍 𪫎 𪫏 𪫐 𪫑 𪫒 𪫓</t>
        </is>
      </c>
      <c r="V689" s="14">
        <f>(LEN(O689)+1)/2</f>
        <v/>
      </c>
      <c r="W689" s="14">
        <f>ROUNDDOWN((LEN(P689)+1)/2,0)</f>
        <v/>
      </c>
      <c r="X689" s="14">
        <f>ROUNDDOWN((LEN(Q689)+1)/2,0)</f>
        <v/>
      </c>
      <c r="Y689" s="14">
        <f>ROUNDDOWN((LEN(R689)+1)/2,0)</f>
        <v/>
      </c>
      <c r="Z689" s="14">
        <f>ROUNDDOWN((LEN(S689)+1)/2,0)</f>
        <v/>
      </c>
    </row>
    <row r="690" ht="102" customHeight="1">
      <c r="B690" s="46" t="inlineStr">
        <is>
          <t>U+2ABC9-U+2ACBD</t>
        </is>
      </c>
      <c r="C690" s="46" t="inlineStr">
        <is>
          <t>CJK Unified Ideographs Extension C</t>
        </is>
      </c>
      <c r="D690" s="54">
        <f>HEX2DEC(MID(B690,3,FIND("-",E690)-3))</f>
        <v/>
      </c>
      <c r="E690" s="46" t="inlineStr">
        <is>
          <t>U+2A700-U+2B73F</t>
        </is>
      </c>
      <c r="F690" s="12" t="n">
        <v>4</v>
      </c>
      <c r="J690" s="19">
        <f>ROUNDDOWN(W690,0)/$V690</f>
        <v/>
      </c>
      <c r="K690" s="19">
        <f>ROUNDDOWN(X690,0)/$V690</f>
        <v/>
      </c>
      <c r="L690" s="19">
        <f>ROUNDDOWN(Y690,0)/$V690</f>
        <v/>
      </c>
      <c r="M690" s="19">
        <f>ROUNDDOWN(Z690,0)/$V690</f>
        <v/>
      </c>
      <c r="O690" s="36" t="inlineStr">
        <is>
          <t>𪫔 𪫕 𪫖 𪫗 𪫘 𪫙 𪫚 𪫛 𪫜 𪫝 𪫞 𪫟 𪫠 𪫡 𪫢 𪫣 𪫤 𪫥 𪫦 𪫧 𪫨 𪫩 𪫪 𪫫 𪫬 𪫭 𪫮 𪫯 𪫰 𪫱 𪫲 𪫳 𪫴 𪫵 𪫶 𪫷 𪫸 𪫹 𪫺 𪫻 𪫼 𪫽 𪫾 𪫿 𪬀 𪬁 𪬂 𪬃 𪬄 𪬅 𪬆 𪬇 𪬈 𪬉 𪬊 𪬋 𪬌 𪬍 𪬎 𪬏 𪬐 𪬑 𪬒 𪬓 𪬔 𪬕 𪬖 𪬗 𪬘 𪬙 𪬚 𪬛 𪬜 𪬝 𪬞 𪬟 𪬠 𪬡 𪬢 𪬣 𪬤 𪬥 𪬦 𪬧 𪬨 𪬩 𪬪 𪬫 𪬬 𪬭 𪬮 𪬯 𪬰 𪬱 𪬲 𪬳 𪬴 𪬵 𪬶 𪬷 𪬸 𪬹 𪬺 𪬻 𪬼 𪬽 𪬾 𪬿 𪭀 𪭁 𪭂 𪭃 𪭄 𪭅 𪭆 𪭇 𪭈 𪭉 𪭊 𪭋 𪭌 𪭍 𪭎 𪭏 𪭐 𪭑 𪭒 𪭓 𪭔 𪭕 𪭖 𪭗 𪭘 𪭙 𪭚 𪭛 𪭜 𪭝 𪭞 𪭟 𪭠 𪭡 𪭢 𪭣 𪭤 𪭥 𪭦 𪭧 𪭨 𪭩 𪭪 𪭫 𪭬 𪭭 𪭮 𪭯 𪭰 𪭱 𪭲 𪭳 𪭴 𪭵 𪭶 𪭷 𪭸 𪭹 𪭺 𪭻 𪭼 𪭽 𪭾 𪭿 𪮀 𪮁 𪮂 𪮃 𪮄 𪮅 𪮆 𪮇 𪮈 𪮉 𪮊 𪮋 𪮌 𪮍 𪮎 𪮏 𪮐 𪮑 𪮒 𪮓 𪮔 𪮕 𪮖 𪮗 𪮘 𪮙 𪮚 𪮛 𪮜 𪮝 𪮞 𪮟 𪮠 𪮡 𪮢 𪮣 𪮤 𪮥 𪮦 𪮧 𪮨 𪮩 𪮪 𪮫 𪮬 𪮭 𪮮 𪮯 𪮰 𪮱 𪮲 𪮳 𪮴 𪮵 𪮶 𪮷 𪮸 𪮹 𪮺 𪮻 𪮼 𪮽 𪮾 𪮿 𪯀 𪯁 𪯂 𪯃 𪯄 𪯅 𪯆 𪯇 𪯈</t>
        </is>
      </c>
      <c r="V690" s="14">
        <f>(LEN(O690)+1)/2</f>
        <v/>
      </c>
      <c r="W690" s="14">
        <f>ROUNDDOWN((LEN(P690)+1)/2,0)</f>
        <v/>
      </c>
      <c r="X690" s="14">
        <f>ROUNDDOWN((LEN(Q690)+1)/2,0)</f>
        <v/>
      </c>
      <c r="Y690" s="14">
        <f>ROUNDDOWN((LEN(R690)+1)/2,0)</f>
        <v/>
      </c>
      <c r="Z690" s="14">
        <f>ROUNDDOWN((LEN(S690)+1)/2,0)</f>
        <v/>
      </c>
    </row>
    <row r="691" ht="102" customHeight="1">
      <c r="B691" s="46" t="inlineStr">
        <is>
          <t>U+2ACBE-U+2ADB1</t>
        </is>
      </c>
      <c r="C691" s="46" t="inlineStr">
        <is>
          <t>CJK Unified Ideographs Extension C</t>
        </is>
      </c>
      <c r="D691" s="54">
        <f>HEX2DEC(MID(B691,3,FIND("-",E691)-3))</f>
        <v/>
      </c>
      <c r="E691" s="46" t="inlineStr">
        <is>
          <t>U+2A700-U+2B73F</t>
        </is>
      </c>
      <c r="F691" s="12" t="n">
        <v>4</v>
      </c>
      <c r="J691" s="19">
        <f>ROUNDDOWN(W691,0)/$V691</f>
        <v/>
      </c>
      <c r="K691" s="19">
        <f>ROUNDDOWN(X691,0)/$V691</f>
        <v/>
      </c>
      <c r="L691" s="19">
        <f>ROUNDDOWN(Y691,0)/$V691</f>
        <v/>
      </c>
      <c r="M691" s="19">
        <f>ROUNDDOWN(Z691,0)/$V691</f>
        <v/>
      </c>
      <c r="O691" s="36" t="inlineStr">
        <is>
          <t>𪯉 𪯊 𪯋 𪯌 𪯍 𪯎 𪯏 𪯐 𪯑 𪯒 𪯓 𪯔 𪯕 𪯖 𪯗 𪯘 𪯙 𪯚 𪯛 𪯜 𪯝 𪯞 𪯟 𪯠 𪯡 𪯢 𪯣 𪯤 𪯥 𪯦 𪯧 𪯨 𪯩 𪯪 𪯫 𪯬 𪯭 𪯮 𪯯 𪯰 𪯱 𪯲 𪯳 𪯴 𪯵 𪯶 𪯷 𪯸 𪯹 𪯺 𪯻 𪯼 𪯽 𪯾 𪯿 𪰀 𪰁 𪰂 𪰃 𪰄 𪰅 𪰆 𪰇 𪰈 𪰉 𪰊 𪰋 𪰌 𪰍 𪰎 𪰏 𪰐 𪰑 𪰒 𪰓 𪰔 𪰕 𪰖 𪰗 𪰘 𪰙 𪰚 𪰛 𪰜 𪰝 𪰞 𪰟 𪰠 𪰡 𪰢 𪰣 𪰤 𪰥 𪰦 𪰧 𪰨 𪰩 𪰪 𪰫 𪰬 𪰭 𪰮 𪰯 𪰰 𪰱 𪰲 𪰳 𪰴 𪰵 𪰶 𪰷 𪰸 𪰹 𪰺 𪰻 𪰼 𪰽 𪰾 𪰿 𪱀 𪱁 𪱂 𪱃 𪱄 𪱅 𪱆 𪱇 𪱈 𪱉 𪱊 𪱋 𪱌 𪱍 𪱎 𪱏 𪱐 𪱑 𪱒 𪱓 𪱔 𪱕 𪱖 𪱗 𪱘 𪱙 𪱚 𪱛 𪱜 𪱝 𪱞 𪱟 𪱠 𪱡 𪱢 𪱣 𪱤 𪱥 𪱦 𪱧 𪱨 𪱩 𪱪 𪱫 𪱬 𪱭 𪱮 𪱯 𪱰 𪱱 𪱲 𪱳 𪱴 𪱵 𪱶 𪱷 𪱸 𪱹 𪱺 𪱻 𪱼 𪱽 𪱾 𪱿 𪲀 𪲁 𪲂 𪲃 𪲄 𪲅 𪲆 𪲇 𪲈 𪲉 𪲊 𪲋 𪲌 𪲍 𪲎 𪲏 𪲐 𪲑 𪲒 𪲓 𪲔 𪲕 𪲖 𪲗 𪲘 𪲙 𪲚 𪲛 𪲜 𪲝 𪲞 𪲟 𪲠 𪲡 𪲢 𪲣 𪲤 𪲥 𪲦 𪲧 𪲨 𪲩 𪲪 𪲫 𪲬 𪲭 𪲮 𪲯 𪲰 𪲱 𪲲 𪲳 𪲴 𪲵 𪲶 𪲷 𪲸 𪲹 𪲺 𪲻 𪲼 𪲽</t>
        </is>
      </c>
      <c r="V691" s="14">
        <f>(LEN(O691)+1)/2</f>
        <v/>
      </c>
      <c r="W691" s="14">
        <f>ROUNDDOWN((LEN(P691)+1)/2,0)</f>
        <v/>
      </c>
      <c r="X691" s="14">
        <f>ROUNDDOWN((LEN(Q691)+1)/2,0)</f>
        <v/>
      </c>
      <c r="Y691" s="14">
        <f>ROUNDDOWN((LEN(R691)+1)/2,0)</f>
        <v/>
      </c>
      <c r="Z691" s="14">
        <f>ROUNDDOWN((LEN(S691)+1)/2,0)</f>
        <v/>
      </c>
    </row>
    <row r="692" ht="102" customHeight="1">
      <c r="B692" s="46" t="inlineStr">
        <is>
          <t>U+2ADB2-U+2AEA5</t>
        </is>
      </c>
      <c r="C692" s="46" t="inlineStr">
        <is>
          <t>CJK Unified Ideographs Extension C</t>
        </is>
      </c>
      <c r="D692" s="54">
        <f>HEX2DEC(MID(B692,3,FIND("-",E692)-3))</f>
        <v/>
      </c>
      <c r="E692" s="46" t="inlineStr">
        <is>
          <t>U+2A700-U+2B73F</t>
        </is>
      </c>
      <c r="F692" s="12" t="n">
        <v>4</v>
      </c>
      <c r="J692" s="19">
        <f>ROUNDDOWN(W692,0)/$V692</f>
        <v/>
      </c>
      <c r="K692" s="19">
        <f>ROUNDDOWN(X692,0)/$V692</f>
        <v/>
      </c>
      <c r="L692" s="19">
        <f>ROUNDDOWN(Y692,0)/$V692</f>
        <v/>
      </c>
      <c r="M692" s="19">
        <f>ROUNDDOWN(Z692,0)/$V692</f>
        <v/>
      </c>
      <c r="O692" s="36" t="inlineStr">
        <is>
          <t>𪲾 𪲿 𪳀 𪳁 𪳂 𪳃 𪳄 𪳅 𪳆 𪳇 𪳈 𪳉 𪳊 𪳋 𪳌 𪳍 𪳎 𪳏 𪳐 𪳑 𪳒 𪳓 𪳔 𪳕 𪳖 𪳗 𪳘 𪳙 𪳚 𪳛 𪳜 𪳝 𪳞 𪳟 𪳠 𪳡 𪳢 𪳣 𪳤 𪳥 𪳦 𪳧 𪳨 𪳩 𪳪 𪳫 𪳬 𪳭 𪳮 𪳯 𪳰 𪳱 𪳲 𪳳 𪳴 𪳵 𪳶 𪳷 𪳸 𪳹 𪳺 𪳻 𪳼 𪳽 𪳾 𪳿 𪴀 𪴁 𪴂 𪴃 𪴄 𪴅 𪴆 𪴇 𪴈 𪴉 𪴊 𪴋 𪴌 𪴍 𪴎 𪴏 𪴐 𪴑 𪴒 𪴓 𪴔 𪴕 𪴖 𪴗 𪴘 𪴙 𪴚 𪴛 𪴜 𪴝 𪴞 𪴟 𪴠 𪴡 𪴢 𪴣 𪴤 𪴥 𪴦 𪴧 𪴨 𪴩 𪴪 𪴫 𪴬 𪴭 𪴮 𪴯 𪴰 𪴱 𪴲 𪴳 𪴴 𪴵 𪴶 𪴷 𪴸 𪴹 𪴺 𪴻 𪴼 𪴽 𪴾 𪴿 𪵀 𪵁 𪵂 𪵃 𪵄 𪵅 𪵆 𪵇 𪵈 𪵉 𪵊 𪵋 𪵌 𪵍 𪵎 𪵏 𪵐 𪵑 𪵒 𪵓 𪵔 𪵕 𪵖 𪵗 𪵘 𪵙 𪵚 𪵛 𪵜 𪵝 𪵞 𪵟 𪵠 𪵡 𪵢 𪵣 𪵤 𪵥 𪵦 𪵧 𪵨 𪵩 𪵪 𪵫 𪵬 𪵭 𪵮 𪵯 𪵰 𪵱 𪵲 𪵳 𪵴 𪵵 𪵶 𪵷 𪵸 𪵹 𪵺 𪵻 𪵼 𪵽 𪵾 𪵿 𪶀 𪶁 𪶂 𪶃 𪶄 𪶅 𪶆 𪶇 𪶈 𪶉 𪶊 𪶋 𪶌 𪶍 𪶎 𪶏 𪶐 𪶑 𪶒 𪶓 𪶔 𪶕 𪶖 𪶗 𪶘 𪶙 𪶚 𪶛 𪶜 𪶝 𪶞 𪶟 𪶠 𪶡 𪶢 𪶣 𪶤 𪶥 𪶦 𪶧 𪶨 𪶩 𪶪 𪶫 𪶬 𪶭 𪶮 𪶯 𪶰 𪶱</t>
        </is>
      </c>
      <c r="V692" s="14">
        <f>(LEN(O692)+1)/2</f>
        <v/>
      </c>
      <c r="W692" s="14">
        <f>ROUNDDOWN((LEN(P692)+1)/2,0)</f>
        <v/>
      </c>
      <c r="X692" s="14">
        <f>ROUNDDOWN((LEN(Q692)+1)/2,0)</f>
        <v/>
      </c>
      <c r="Y692" s="14">
        <f>ROUNDDOWN((LEN(R692)+1)/2,0)</f>
        <v/>
      </c>
      <c r="Z692" s="14">
        <f>ROUNDDOWN((LEN(S692)+1)/2,0)</f>
        <v/>
      </c>
    </row>
    <row r="693" ht="102" customHeight="1">
      <c r="B693" s="46" t="inlineStr">
        <is>
          <t>U+2AEA6-U+2AF99</t>
        </is>
      </c>
      <c r="C693" s="46" t="inlineStr">
        <is>
          <t>CJK Unified Ideographs Extension C</t>
        </is>
      </c>
      <c r="D693" s="54">
        <f>HEX2DEC(MID(B693,3,FIND("-",E693)-3))</f>
        <v/>
      </c>
      <c r="E693" s="46" t="inlineStr">
        <is>
          <t>U+2A700-U+2B73F</t>
        </is>
      </c>
      <c r="F693" s="12" t="n">
        <v>4</v>
      </c>
      <c r="J693" s="19">
        <f>ROUNDDOWN(W693,0)/$V693</f>
        <v/>
      </c>
      <c r="K693" s="19">
        <f>ROUNDDOWN(X693,0)/$V693</f>
        <v/>
      </c>
      <c r="L693" s="19">
        <f>ROUNDDOWN(Y693,0)/$V693</f>
        <v/>
      </c>
      <c r="M693" s="19">
        <f>ROUNDDOWN(Z693,0)/$V693</f>
        <v/>
      </c>
      <c r="O693" s="36" t="inlineStr">
        <is>
          <t>𪶲 𪶳 𪶴 𪶵 𪶶 𪶷 𪶸 𪶹 𪶺 𪶻 𪶼 𪶽 𪶾 𪶿 𪷀 𪷁 𪷂 𪷃 𪷄 𪷅 𪷆 𪷇 𪷈 𪷉 𪷊 𪷋 𪷌 𪷍 𪷎 𪷏 𪷐 𪷑 𪷒 𪷓 𪷔 𪷕 𪷖 𪷗 𪷘 𪷙 𪷚 𪷛 𪷜 𪷝 𪷞 𪷟 𪷠 𪷡 𪷢 𪷣 𪷤 𪷥 𪷦 𪷧 𪷨 𪷩 𪷪 𪷫 𪷬 𪷭 𪷮 𪷯 𪷰 𪷱 𪷲 𪷳 𪷴 𪷵 𪷶 𪷷 𪷸 𪷹 𪷺 𪷻 𪷼 𪷽 𪷾 𪷿 𪸀 𪸁 𪸂 𪸃 𪸄 𪸅 𪸆 𪸇 𪸈 𪸉 𪸊 𪸋 𪸌 𪸍 𪸎 𪸏 𪸐 𪸑 𪸒 𪸓 𪸔 𪸕 𪸖 𪸗 𪸘 𪸙 𪸚 𪸛 𪸜 𪸝 𪸞 𪸟 𪸠 𪸡 𪸢 𪸣 𪸤 𪸥 𪸦 𪸧 𪸨 𪸩 𪸪 𪸫 𪸬 𪸭 𪸮 𪸯 𪸰 𪸱 𪸲 𪸳 𪸴 𪸵 𪸶 𪸷 𪸸 𪸹 𪸺 𪸻 𪸼 𪸽 𪸾 𪸿 𪹀 𪹁 𪹂 𪹃 𪹄 𪹅 𪹆 𪹇 𪹈 𪹉 𪹊 𪹋 𪹌 𪹍 𪹎 𪹏 𪹐 𪹑 𪹒 𪹓 𪹔 𪹕 𪹖 𪹗 𪹘 𪹙 𪹚 𪹛 𪹜 𪹝 𪹞 𪹟 𪹠 𪹡 𪹢 𪹣 𪹤 𪹥 𪹦 𪹧 𪹨 𪹩 𪹪 𪹫 𪹬 𪹭 𪹮 𪹯 𪹰 𪹱 𪹲 𪹳 𪹴 𪹵 𪹶 𪹷 𪹸 𪹹 𪹺 𪹻 𪹼 𪹽 𪹾 𪹿 𪺀 𪺁 𪺂 𪺃 𪺄 𪺅 𪺆 𪺇 𪺈 𪺉 𪺊 𪺋 𪺌 𪺍 𪺎 𪺏 𪺐 𪺑 𪺒 𪺓 𪺔 𪺕 𪺖 𪺗 𪺘 𪺙 𪺚 𪺛 𪺜 𪺝 𪺞 𪺟 𪺠 𪺡 𪺢 𪺣 𪺤 𪺥</t>
        </is>
      </c>
      <c r="V693" s="14">
        <f>(LEN(O693)+1)/2</f>
        <v/>
      </c>
      <c r="W693" s="14">
        <f>ROUNDDOWN((LEN(P693)+1)/2,0)</f>
        <v/>
      </c>
      <c r="X693" s="14">
        <f>ROUNDDOWN((LEN(Q693)+1)/2,0)</f>
        <v/>
      </c>
      <c r="Y693" s="14">
        <f>ROUNDDOWN((LEN(R693)+1)/2,0)</f>
        <v/>
      </c>
      <c r="Z693" s="14">
        <f>ROUNDDOWN((LEN(S693)+1)/2,0)</f>
        <v/>
      </c>
    </row>
    <row r="694" ht="102" customHeight="1">
      <c r="B694" s="46" t="inlineStr">
        <is>
          <t>U+2AF9A-U+2B08D</t>
        </is>
      </c>
      <c r="C694" s="46" t="inlineStr">
        <is>
          <t>CJK Unified Ideographs Extension C</t>
        </is>
      </c>
      <c r="D694" s="54">
        <f>HEX2DEC(MID(B694,3,FIND("-",E694)-3))</f>
        <v/>
      </c>
      <c r="E694" s="46" t="inlineStr">
        <is>
          <t>U+2A700-U+2B73F</t>
        </is>
      </c>
      <c r="F694" s="12" t="n">
        <v>4</v>
      </c>
      <c r="J694" s="19">
        <f>ROUNDDOWN(W694,0)/$V694</f>
        <v/>
      </c>
      <c r="K694" s="19">
        <f>ROUNDDOWN(X694,0)/$V694</f>
        <v/>
      </c>
      <c r="L694" s="19">
        <f>ROUNDDOWN(Y694,0)/$V694</f>
        <v/>
      </c>
      <c r="M694" s="19">
        <f>ROUNDDOWN(Z694,0)/$V694</f>
        <v/>
      </c>
      <c r="O694" s="36" t="inlineStr">
        <is>
          <t>𪺦 𪺧 𪺨 𪺩 𪺪 𪺫 𪺬 𪺭 𪺮 𪺯 𪺰 𪺱 𪺲 𪺳 𪺴 𪺵 𪺶 𪺷 𪺸 𪺹 𪺺 𪺻 𪺼 𪺽 𪺾 𪺿 𪻀 𪻁 𪻂 𪻃 𪻄 𪻅 𪻆 𪻇 𪻈 𪻉 𪻊 𪻋 𪻌 𪻍 𪻎 𪻏 𪻐 𪻑 𪻒 𪻓 𪻔 𪻕 𪻖 𪻗 𪻘 𪻙 𪻚 𪻛 𪻜 𪻝 𪻞 𪻟 𪻠 𪻡 𪻢 𪻣 𪻤 𪻥 𪻦 𪻧 𪻨 𪻩 𪻪 𪻫 𪻬 𪻭 𪻮 𪻯 𪻰 𪻱 𪻲 𪻳 𪻴 𪻵 𪻶 𪻷 𪻸 𪻹 𪻺 𪻻 𪻼 𪻽 𪻾 𪻿 𪼀 𪼁 𪼂 𪼃 𪼄 𪼅 𪼆 𪼇 𪼈 𪼉 𪼊 𪼋 𪼌 𪼍 𪼎 𪼏 𪼐 𪼑 𪼒 𪼓 𪼔 𪼕 𪼖 𪼗 𪼘 𪼙 𪼚 𪼛 𪼜 𪼝 𪼞 𪼟 𪼠 𪼡 𪼢 𪼣 𪼤 𪼥 𪼦 𪼧 𪼨 𪼩 𪼪 𪼫 𪼬 𪼭 𪼮 𪼯 𪼰 𪼱 𪼲 𪼳 𪼴 𪼵 𪼶 𪼷 𪼸 𪼹 𪼺 𪼻 𪼼 𪼽 𪼾 𪼿 𪽀 𪽁 𪽂 𪽃 𪽄 𪽅 𪽆 𪽇 𪽈 𪽉 𪽊 𪽋 𪽌 𪽍 𪽎 𪽏 𪽐 𪽑 𪽒 𪽓 𪽔 𪽕 𪽖 𪽗 𪽘 𪽙 𪽚 𪽛 𪽜 𪽝 𪽞 𪽟 𪽠 𪽡 𪽢 𪽣 𪽤 𪽥 𪽦 𪽧 𪽨 𪽩 𪽪 𪽫 𪽬 𪽭 𪽮 𪽯 𪽰 𪽱 𪽲 𪽳 𪽴 𪽵 𪽶 𪽷 𪽸 𪽹 𪽺 𪽻 𪽼 𪽽 𪽾 𪽿 𪾀 𪾁 𪾂 𪾃 𪾄 𪾅 𪾆 𪾇 𪾈 𪾉 𪾊 𪾋 𪾌 𪾍 𪾎 𪾏 𪾐 𪾑 𪾒 𪾓 𪾔 𪾕 𪾖 𪾗 𪾘 𪾙</t>
        </is>
      </c>
      <c r="V694" s="14">
        <f>(LEN(O694)+1)/2</f>
        <v/>
      </c>
      <c r="W694" s="14">
        <f>ROUNDDOWN((LEN(P694)+1)/2,0)</f>
        <v/>
      </c>
      <c r="X694" s="14">
        <f>ROUNDDOWN((LEN(Q694)+1)/2,0)</f>
        <v/>
      </c>
      <c r="Y694" s="14">
        <f>ROUNDDOWN((LEN(R694)+1)/2,0)</f>
        <v/>
      </c>
      <c r="Z694" s="14">
        <f>ROUNDDOWN((LEN(S694)+1)/2,0)</f>
        <v/>
      </c>
    </row>
    <row r="695" ht="102" customHeight="1">
      <c r="B695" s="46" t="inlineStr">
        <is>
          <t>U+2B08E-U+2B181</t>
        </is>
      </c>
      <c r="C695" s="46" t="inlineStr">
        <is>
          <t>CJK Unified Ideographs Extension C</t>
        </is>
      </c>
      <c r="D695" s="54">
        <f>HEX2DEC(MID(B695,3,FIND("-",E695)-3))</f>
        <v/>
      </c>
      <c r="E695" s="46" t="inlineStr">
        <is>
          <t>U+2A700-U+2B73F</t>
        </is>
      </c>
      <c r="F695" s="12" t="n">
        <v>4</v>
      </c>
      <c r="J695" s="19">
        <f>ROUNDDOWN(W695,0)/$V695</f>
        <v/>
      </c>
      <c r="K695" s="19">
        <f>ROUNDDOWN(X695,0)/$V695</f>
        <v/>
      </c>
      <c r="L695" s="19">
        <f>ROUNDDOWN(Y695,0)/$V695</f>
        <v/>
      </c>
      <c r="M695" s="19">
        <f>ROUNDDOWN(Z695,0)/$V695</f>
        <v/>
      </c>
      <c r="O695" s="36" t="inlineStr">
        <is>
          <t>𪾚 𪾛 𪾜 𪾝 𪾞 𪾟 𪾠 𪾡 𪾢 𪾣 𪾤 𪾥 𪾦 𪾧 𪾨 𪾩 𪾪 𪾫 𪾬 𪾭 𪾮 𪾯 𪾰 𪾱 𪾲 𪾳 𪾴 𪾵 𪾶 𪾷 𪾸 𪾹 𪾺 𪾻 𪾼 𪾽 𪾾 𪾿 𪿀 𪿁 𪿂 𪿃 𪿄 𪿅 𪿆 𪿇 𪿈 𪿉 𪿊 𪿋 𪿌 𪿍 𪿎 𪿏 𪿐 𪿑 𪿒 𪿓 𪿔 𪿕 𪿖 𪿗 𪿘 𪿙 𪿚 𪿛 𪿜 𪿝 𪿞 𪿟 𪿠 𪿡 𪿢 𪿣 𪿤 𪿥 𪿦 𪿧 𪿨 𪿩 𪿪 𪿫 𪿬 𪿭 𪿮 𪿯 𪿰 𪿱 𪿲 𪿳 𪿴 𪿵 𪿶 𪿷 𪿸 𪿹 𪿺 𪿻 𪿼 𪿽 𪿾 𪿿 𫀀 𫀁 𫀂 𫀃 𫀄 𫀅 𫀆 𫀇 𫀈 𫀉 𫀊 𫀋 𫀌 𫀍 𫀎 𫀏 𫀐 𫀑 𫀒 𫀓 𫀔 𫀕 𫀖 𫀗 𫀘 𫀙 𫀚 𫀛 𫀜 𫀝 𫀞 𫀟 𫀠 𫀡 𫀢 𫀣 𫀤 𫀥 𫀦 𫀧 𫀨 𫀩 𫀪 𫀫 𫀬 𫀭 𫀮 𫀯 𫀰 𫀱 𫀲 𫀳 𫀴 𫀵 𫀶 𫀷 𫀸 𫀹 𫀺 𫀻 𫀼 𫀽 𫀾 𫀿 𫁀 𫁁 𫁂 𫁃 𫁄 𫁅 𫁆 𫁇 𫁈 𫁉 𫁊 𫁋 𫁌 𫁍 𫁎 𫁏 𫁐 𫁑 𫁒 𫁓 𫁔 𫁕 𫁖 𫁗 𫁘 𫁙 𫁚 𫁛 𫁜 𫁝 𫁞 𫁟 𫁠 𫁡 𫁢 𫁣 𫁤 𫁥 𫁦 𫁧 𫁨 𫁩 𫁪 𫁫 𫁬 𫁭 𫁮 𫁯 𫁰 𫁱 𫁲 𫁳 𫁴 𫁵 𫁶 𫁷 𫁸 𫁹 𫁺 𫁻 𫁼 𫁽 𫁾 𫁿 𫂀 𫂁 𫂂 𫂃 𫂄 𫂅 𫂆 𫂇 𫂈 𫂉 𫂊 𫂋 𫂌 𫂍</t>
        </is>
      </c>
      <c r="V695" s="14">
        <f>(LEN(O695)+1)/2</f>
        <v/>
      </c>
      <c r="W695" s="14">
        <f>ROUNDDOWN((LEN(P695)+1)/2,0)</f>
        <v/>
      </c>
      <c r="X695" s="14">
        <f>ROUNDDOWN((LEN(Q695)+1)/2,0)</f>
        <v/>
      </c>
      <c r="Y695" s="14">
        <f>ROUNDDOWN((LEN(R695)+1)/2,0)</f>
        <v/>
      </c>
      <c r="Z695" s="14">
        <f>ROUNDDOWN((LEN(S695)+1)/2,0)</f>
        <v/>
      </c>
    </row>
    <row r="696" ht="102" customHeight="1">
      <c r="B696" s="46" t="inlineStr">
        <is>
          <t>U+2B182-U+2B275</t>
        </is>
      </c>
      <c r="C696" s="46" t="inlineStr">
        <is>
          <t>CJK Unified Ideographs Extension C</t>
        </is>
      </c>
      <c r="D696" s="54">
        <f>HEX2DEC(MID(B696,3,FIND("-",E696)-3))</f>
        <v/>
      </c>
      <c r="E696" s="46" t="inlineStr">
        <is>
          <t>U+2A700-U+2B73F</t>
        </is>
      </c>
      <c r="F696" s="12" t="n">
        <v>4</v>
      </c>
      <c r="J696" s="19">
        <f>ROUNDDOWN(W696,0)/$V696</f>
        <v/>
      </c>
      <c r="K696" s="19">
        <f>ROUNDDOWN(X696,0)/$V696</f>
        <v/>
      </c>
      <c r="L696" s="19">
        <f>ROUNDDOWN(Y696,0)/$V696</f>
        <v/>
      </c>
      <c r="M696" s="19">
        <f>ROUNDDOWN(Z696,0)/$V696</f>
        <v/>
      </c>
      <c r="O696" s="36" t="inlineStr">
        <is>
          <t>𫂎 𫂏 𫂐 𫂑 𫂒 𫂓 𫂔 𫂕 𫂖 𫂗 𫂘 𫂙 𫂚 𫂛 𫂜 𫂝 𫂞 𫂟 𫂠 𫂡 𫂢 𫂣 𫂤 𫂥 𫂦 𫂧 𫂨 𫂩 𫂪 𫂫 𫂬 𫂭 𫂮 𫂯 𫂰 𫂱 𫂲 𫂳 𫂴 𫂵 𫂶 𫂷 𫂸 𫂹 𫂺 𫂻 𫂼 𫂽 𫂾 𫂿 𫃀 𫃁 𫃂 𫃃 𫃄 𫃅 𫃆 𫃇 𫃈 𫃉 𫃊 𫃋 𫃌 𫃍 𫃎 𫃏 𫃐 𫃑 𫃒 𫃓 𫃔 𫃕 𫃖 𫃗 𫃘 𫃙 𫃚 𫃛 𫃜 𫃝 𫃞 𫃟 𫃠 𫃡 𫃢 𫃣 𫃤 𫃥 𫃦 𫃧 𫃨 𫃩 𫃪 𫃫 𫃬 𫃭 𫃮 𫃯 𫃰 𫃱 𫃲 𫃳 𫃴 𫃵 𫃶 𫃷 𫃸 𫃹 𫃺 𫃻 𫃼 𫃽 𫃾 𫃿 𫄀 𫄁 𫄂 𫄃 𫄄 𫄅 𫄆 𫄇 𫄈 𫄉 𫄊 𫄋 𫄌 𫄍 𫄎 𫄏 𫄐 𫄑 𫄒 𫄓 𫄔 𫄕 𫄖 𫄗 𫄘 𫄙 𫄚 𫄛 𫄜 𫄝 𫄞 𫄟 𫄠 𫄡 𫄢 𫄣 𫄤 𫄥 𫄦 𫄧 𫄨 𫄩 𫄪 𫄫 𫄬 𫄭 𫄮 𫄯 𫄰 𫄱 𫄲 𫄳 𫄴 𫄵 𫄶 𫄷 𫄸 𫄹 𫄺 𫄻 𫄼 𫄽 𫄾 𫄿 𫅀 𫅁 𫅂 𫅃 𫅄 𫅅 𫅆 𫅇 𫅈 𫅉 𫅊 𫅋 𫅌 𫅍 𫅎 𫅏 𫅐 𫅑 𫅒 𫅓 𫅔 𫅕 𫅖 𫅗 𫅘 𫅙 𫅚 𫅛 𫅜 𫅝 𫅞 𫅟 𫅠 𫅡 𫅢 𫅣 𫅤 𫅥 𫅦 𫅧 𫅨 𫅩 𫅪 𫅫 𫅬 𫅭 𫅮 𫅯 𫅰 𫅱 𫅲 𫅳 𫅴 𫅵 𫅶 𫅷 𫅸 𫅹 𫅺 𫅻 𫅼 𫅽 𫅾 𫅿 𫆀 𫆁</t>
        </is>
      </c>
      <c r="V696" s="14">
        <f>(LEN(O696)+1)/2</f>
        <v/>
      </c>
      <c r="W696" s="14">
        <f>ROUNDDOWN((LEN(P696)+1)/2,0)</f>
        <v/>
      </c>
      <c r="X696" s="14">
        <f>ROUNDDOWN((LEN(Q696)+1)/2,0)</f>
        <v/>
      </c>
      <c r="Y696" s="14">
        <f>ROUNDDOWN((LEN(R696)+1)/2,0)</f>
        <v/>
      </c>
      <c r="Z696" s="14">
        <f>ROUNDDOWN((LEN(S696)+1)/2,0)</f>
        <v/>
      </c>
    </row>
    <row r="697" ht="102" customHeight="1">
      <c r="B697" s="46" t="inlineStr">
        <is>
          <t>U+2B276-U+2B369</t>
        </is>
      </c>
      <c r="C697" s="46" t="inlineStr">
        <is>
          <t>CJK Unified Ideographs Extension C</t>
        </is>
      </c>
      <c r="D697" s="54">
        <f>HEX2DEC(MID(B697,3,FIND("-",E697)-3))</f>
        <v/>
      </c>
      <c r="E697" s="46" t="inlineStr">
        <is>
          <t>U+2A700-U+2B73F</t>
        </is>
      </c>
      <c r="F697" s="12" t="n">
        <v>4</v>
      </c>
      <c r="J697" s="19">
        <f>ROUNDDOWN(W697,0)/$V697</f>
        <v/>
      </c>
      <c r="K697" s="19">
        <f>ROUNDDOWN(X697,0)/$V697</f>
        <v/>
      </c>
      <c r="L697" s="19">
        <f>ROUNDDOWN(Y697,0)/$V697</f>
        <v/>
      </c>
      <c r="M697" s="19">
        <f>ROUNDDOWN(Z697,0)/$V697</f>
        <v/>
      </c>
      <c r="O697" s="36" t="inlineStr">
        <is>
          <t>𫆂 𫆃 𫆄 𫆅 𫆆 𫆇 𫆈 𫆉 𫆊 𫆋 𫆌 𫆍 𫆎 𫆏 𫆐 𫆑 𫆒 𫆓 𫆔 𫆕 𫆖 𫆗 𫆘 𫆙 𫆚 𫆛 𫆜 𫆝 𫆞 𫆟 𫆠 𫆡 𫆢 𫆣 𫆤 𫆥 𫆦 𫆧 𫆨 𫆩 𫆪 𫆫 𫆬 𫆭 𫆮 𫆯 𫆰 𫆱 𫆲 𫆳 𫆴 𫆵 𫆶 𫆷 𫆸 𫆹 𫆺 𫆻 𫆼 𫆽 𫆾 𫆿 𫇀 𫇁 𫇂 𫇃 𫇄 𫇅 𫇆 𫇇 𫇈 𫇉 𫇊 𫇋 𫇌 𫇍 𫇎 𫇏 𫇐 𫇑 𫇒 𫇓 𫇔 𫇕 𫇖 𫇗 𫇘 𫇙 𫇚 𫇛 𫇜 𫇝 𫇞 𫇟 𫇠 𫇡 𫇢 𫇣 𫇤 𫇥 𫇦 𫇧 𫇨 𫇩 𫇪 𫇫 𫇬 𫇭 𫇮 𫇯 𫇰 𫇱 𫇲 𫇳 𫇴 𫇵 𫇶 𫇷 𫇸 𫇹 𫇺 𫇻 𫇼 𫇽 𫇾 𫇿 𫈀 𫈁 𫈂 𫈃 𫈄 𫈅 𫈆 𫈇 𫈈 𫈉 𫈊 𫈋 𫈌 𫈍 𫈎 𫈏 𫈐 𫈑 𫈒 𫈓 𫈔 𫈕 𫈖 𫈗 𫈘 𫈙 𫈚 𫈛 𫈜 𫈝 𫈞 𫈟 𫈠 𫈡 𫈢 𫈣 𫈤 𫈥 𫈦 𫈧 𫈨 𫈩 𫈪 𫈫 𫈬 𫈭 𫈮 𫈯 𫈰 𫈱 𫈲 𫈳 𫈴 𫈵 𫈶 𫈷 𫈸 𫈹 𫈺 𫈻 𫈼 𫈽 𫈾 𫈿 𫉀 𫉁 𫉂 𫉃 𫉄 𫉅 𫉆 𫉇 𫉈 𫉉 𫉊 𫉋 𫉌 𫉍 𫉎 𫉏 𫉐 𫉑 𫉒 𫉓 𫉔 𫉕 𫉖 𫉗 𫉘 𫉙 𫉚 𫉛 𫉜 𫉝 𫉞 𫉟 𫉠 𫉡 𫉢 𫉣 𫉤 𫉥 𫉦 𫉧 𫉨 𫉩 𫉪 𫉫 𫉬 𫉭 𫉮 𫉯 𫉰 𫉱 𫉲 𫉳 𫉴 𫉵</t>
        </is>
      </c>
      <c r="V697" s="14">
        <f>(LEN(O697)+1)/2</f>
        <v/>
      </c>
      <c r="W697" s="14">
        <f>ROUNDDOWN((LEN(P697)+1)/2,0)</f>
        <v/>
      </c>
      <c r="X697" s="14">
        <f>ROUNDDOWN((LEN(Q697)+1)/2,0)</f>
        <v/>
      </c>
      <c r="Y697" s="14">
        <f>ROUNDDOWN((LEN(R697)+1)/2,0)</f>
        <v/>
      </c>
      <c r="Z697" s="14">
        <f>ROUNDDOWN((LEN(S697)+1)/2,0)</f>
        <v/>
      </c>
    </row>
    <row r="698" ht="102" customHeight="1">
      <c r="B698" s="46" t="inlineStr">
        <is>
          <t>U+2B36A-U+2B45D</t>
        </is>
      </c>
      <c r="C698" s="46" t="inlineStr">
        <is>
          <t>CJK Unified Ideographs Extension C</t>
        </is>
      </c>
      <c r="D698" s="54">
        <f>HEX2DEC(MID(B698,3,FIND("-",E698)-3))</f>
        <v/>
      </c>
      <c r="E698" s="46" t="inlineStr">
        <is>
          <t>U+2A700-U+2B73F</t>
        </is>
      </c>
      <c r="F698" s="12" t="n">
        <v>4</v>
      </c>
      <c r="J698" s="19">
        <f>ROUNDDOWN(W698,0)/$V698</f>
        <v/>
      </c>
      <c r="K698" s="19">
        <f>ROUNDDOWN(X698,0)/$V698</f>
        <v/>
      </c>
      <c r="L698" s="19">
        <f>ROUNDDOWN(Y698,0)/$V698</f>
        <v/>
      </c>
      <c r="M698" s="19">
        <f>ROUNDDOWN(Z698,0)/$V698</f>
        <v/>
      </c>
      <c r="O698" s="36" t="inlineStr">
        <is>
          <t>𫉶 𫉷 𫉸 𫉹 𫉺 𫉻 𫉼 𫉽 𫉾 𫉿 𫊀 𫊁 𫊂 𫊃 𫊄 𫊅 𫊆 𫊇 𫊈 𫊉 𫊊 𫊋 𫊌 𫊍 𫊎 𫊏 𫊐 𫊑 𫊒 𫊓 𫊔 𫊕 𫊖 𫊗 𫊘 𫊙 𫊚 𫊛 𫊜 𫊝 𫊞 𫊟 𫊠 𫊡 𫊢 𫊣 𫊤 𫊥 𫊦 𫊧 𫊨 𫊩 𫊪 𫊫 𫊬 𫊭 𫊮 𫊯 𫊰 𫊱 𫊲 𫊳 𫊴 𫊵 𫊶 𫊷 𫊸 𫊹 𫊺 𫊻 𫊼 𫊽 𫊾 𫊿 𫋀 𫋁 𫋂 𫋃 𫋄 𫋅 𫋆 𫋇 𫋈 𫋉 𫋊 𫋋 𫋌 𫋍 𫋎 𫋏 𫋐 𫋑 𫋒 𫋓 𫋔 𫋕 𫋖 𫋗 𫋘 𫋙 𫋚 𫋛 𫋜 𫋝 𫋞 𫋟 𫋠 𫋡 𫋢 𫋣 𫋤 𫋥 𫋦 𫋧 𫋨 𫋩 𫋪 𫋫 𫋬 𫋭 𫋮 𫋯 𫋰 𫋱 𫋲 𫋳 𫋴 𫋵 𫋶 𫋷 𫋸 𫋹 𫋺 𫋻 𫋼 𫋽 𫋾 𫋿 𫌀 𫌁 𫌂 𫌃 𫌄 𫌅 𫌆 𫌇 𫌈 𫌉 𫌊 𫌋 𫌌 𫌍 𫌎 𫌏 𫌐 𫌑 𫌒 𫌓 𫌔 𫌕 𫌖 𫌗 𫌘 𫌙 𫌚 𫌛 𫌜 𫌝 𫌞 𫌟 𫌠 𫌡 𫌢 𫌣 𫌤 𫌥 𫌦 𫌧 𫌨 𫌩 𫌪 𫌫 𫌬 𫌭 𫌮 𫌯 𫌰 𫌱 𫌲 𫌳 𫌴 𫌵 𫌶 𫌷 𫌸 𫌹 𫌺 𫌻 𫌼 𫌽 𫌾 𫌿 𫍀 𫍁 𫍂 𫍃 𫍄 𫍅 𫍆 𫍇 𫍈 𫍉 𫍊 𫍋 𫍌 𫍍 𫍎 𫍏 𫍐 𫍑 𫍒 𫍓 𫍔 𫍕 𫍖 𫍗 𫍘 𫍙 𫍚 𫍛 𫍜 𫍝 𫍞 𫍟 𫍠 𫍡 𫍢 𫍣 𫍤 𫍥 𫍦 𫍧 𫍨 𫍩</t>
        </is>
      </c>
      <c r="V698" s="14">
        <f>(LEN(O698)+1)/2</f>
        <v/>
      </c>
      <c r="W698" s="14">
        <f>ROUNDDOWN((LEN(P698)+1)/2,0)</f>
        <v/>
      </c>
      <c r="X698" s="14">
        <f>ROUNDDOWN((LEN(Q698)+1)/2,0)</f>
        <v/>
      </c>
      <c r="Y698" s="14">
        <f>ROUNDDOWN((LEN(R698)+1)/2,0)</f>
        <v/>
      </c>
      <c r="Z698" s="14">
        <f>ROUNDDOWN((LEN(S698)+1)/2,0)</f>
        <v/>
      </c>
    </row>
    <row r="699" ht="102" customHeight="1">
      <c r="B699" s="46" t="inlineStr">
        <is>
          <t>U+2B45E-U+2B551</t>
        </is>
      </c>
      <c r="C699" s="46" t="inlineStr">
        <is>
          <t>CJK Unified Ideographs Extension C</t>
        </is>
      </c>
      <c r="D699" s="54">
        <f>HEX2DEC(MID(B699,3,FIND("-",E699)-3))</f>
        <v/>
      </c>
      <c r="E699" s="46" t="inlineStr">
        <is>
          <t>U+2A700-U+2B73F</t>
        </is>
      </c>
      <c r="F699" s="12" t="n">
        <v>4</v>
      </c>
      <c r="J699" s="19">
        <f>ROUNDDOWN(W699,0)/$V699</f>
        <v/>
      </c>
      <c r="K699" s="19">
        <f>ROUNDDOWN(X699,0)/$V699</f>
        <v/>
      </c>
      <c r="L699" s="19">
        <f>ROUNDDOWN(Y699,0)/$V699</f>
        <v/>
      </c>
      <c r="M699" s="19">
        <f>ROUNDDOWN(Z699,0)/$V699</f>
        <v/>
      </c>
      <c r="O699" s="36" t="inlineStr">
        <is>
          <t>𫍪 𫍫 𫍬 𫍭 𫍮 𫍯 𫍰 𫍱 𫍲 𫍳 𫍴 𫍵 𫍶 𫍷 𫍸 𫍹 𫍺 𫍻 𫍼 𫍽 𫍾 𫍿 𫎀 𫎁 𫎂 𫎃 𫎄 𫎅 𫎆 𫎇 𫎈 𫎉 𫎊 𫎋 𫎌 𫎍 𫎎 𫎏 𫎐 𫎑 𫎒 𫎓 𫎔 𫎕 𫎖 𫎗 𫎘 𫎙 𫎚 𫎛 𫎜 𫎝 𫎞 𫎟 𫎠 𫎡 𫎢 𫎣 𫎤 𫎥 𫎦 𫎧 𫎨 𫎩 𫎪 𫎫 𫎬 𫎭 𫎮 𫎯 𫎰 𫎱 𫎲 𫎳 𫎴 𫎵 𫎶 𫎷 𫎸 𫎹 𫎺 𫎻 𫎼 𫎽 𫎾 𫎿 𫏀 𫏁 𫏂 𫏃 𫏄 𫏅 𫏆 𫏇 𫏈 𫏉 𫏊 𫏋 𫏌 𫏍 𫏎 𫏏 𫏐 𫏑 𫏒 𫏓 𫏔 𫏕 𫏖 𫏗 𫏘 𫏙 𫏚 𫏛 𫏜 𫏝 𫏞 𫏟 𫏠 𫏡 𫏢 𫏣 𫏤 𫏥 𫏦 𫏧 𫏨 𫏩 𫏪 𫏫 𫏬 𫏭 𫏮 𫏯 𫏰 𫏱 𫏲 𫏳 𫏴 𫏵 𫏶 𫏷 𫏸 𫏹 𫏺 𫏻 𫏼 𫏽 𫏾 𫏿 𫐀 𫐁 𫐂 𫐃 𫐄 𫐅 𫐆 𫐇 𫐈 𫐉 𫐊 𫐋 𫐌 𫐍 𫐎 𫐏 𫐐 𫐑 𫐒 𫐓 𫐔 𫐕 𫐖 𫐗 𫐘 𫐙 𫐚 𫐛 𫐜 𫐝 𫐞 𫐟 𫐠 𫐡 𫐢 𫐣 𫐤 𫐥 𫐦 𫐧 𫐨 𫐩 𫐪 𫐫 𫐬 𫐭 𫐮 𫐯 𫐰 𫐱 𫐲 𫐳 𫐴 𫐵 𫐶 𫐷 𫐸 𫐹 𫐺 𫐻 𫐼 𫐽 𫐾 𫐿 𫑀 𫑁 𫑂 𫑃 𫑄 𫑅 𫑆 𫑇 𫑈 𫑉 𫑊 𫑋 𫑌 𫑍 𫑎 𫑏 𫑐 𫑑 𫑒 𫑓 𫑔 𫑕 𫑖 𫑗 𫑘 𫑙 𫑚 𫑛 𫑜 𫑝</t>
        </is>
      </c>
      <c r="V699" s="14">
        <f>(LEN(O699)+1)/2</f>
        <v/>
      </c>
      <c r="W699" s="14">
        <f>ROUNDDOWN((LEN(P699)+1)/2,0)</f>
        <v/>
      </c>
      <c r="X699" s="14">
        <f>ROUNDDOWN((LEN(Q699)+1)/2,0)</f>
        <v/>
      </c>
      <c r="Y699" s="14">
        <f>ROUNDDOWN((LEN(R699)+1)/2,0)</f>
        <v/>
      </c>
      <c r="Z699" s="14">
        <f>ROUNDDOWN((LEN(S699)+1)/2,0)</f>
        <v/>
      </c>
    </row>
    <row r="700" ht="102" customHeight="1">
      <c r="B700" s="46" t="inlineStr">
        <is>
          <t>U+2B552-U+2B645</t>
        </is>
      </c>
      <c r="C700" s="46" t="inlineStr">
        <is>
          <t>CJK Unified Ideographs Extension C</t>
        </is>
      </c>
      <c r="D700" s="54">
        <f>HEX2DEC(MID(B700,3,FIND("-",E700)-3))</f>
        <v/>
      </c>
      <c r="E700" s="46" t="inlineStr">
        <is>
          <t>U+2A700-U+2B73F</t>
        </is>
      </c>
      <c r="F700" s="12" t="n">
        <v>4</v>
      </c>
      <c r="J700" s="19">
        <f>ROUNDDOWN(W700,0)/$V700</f>
        <v/>
      </c>
      <c r="K700" s="19">
        <f>ROUNDDOWN(X700,0)/$V700</f>
        <v/>
      </c>
      <c r="L700" s="19">
        <f>ROUNDDOWN(Y700,0)/$V700</f>
        <v/>
      </c>
      <c r="M700" s="19">
        <f>ROUNDDOWN(Z700,0)/$V700</f>
        <v/>
      </c>
      <c r="O700" s="36" t="inlineStr">
        <is>
          <t>𫑞 𫑟 𫑠 𫑡 𫑢 𫑣 𫑤 𫑥 𫑦 𫑧 𫑨 𫑩 𫑪 𫑫 𫑬 𫑭 𫑮 𫑯 𫑰 𫑱 𫑲 𫑳 𫑴 𫑵 𫑶 𫑷 𫑸 𫑹 𫑺 𫑻 𫑼 𫑽 𫑾 𫑿 𫒀 𫒁 𫒂 𫒃 𫒄 𫒅 𫒆 𫒇 𫒈 𫒉 𫒊 𫒋 𫒌 𫒍 𫒎 𫒏 𫒐 𫒑 𫒒 𫒓 𫒔 𫒕 𫒖 𫒗 𫒘 𫒙 𫒚 𫒛 𫒜 𫒝 𫒞 𫒟 𫒠 𫒡 𫒢 𫒣 𫒤 𫒥 𫒦 𫒧 𫒨 𫒩 𫒪 𫒫 𫒬 𫒭 𫒮 𫒯 𫒰 𫒱 𫒲 𫒳 𫒴 𫒵 𫒶 𫒷 𫒸 𫒹 𫒺 𫒻 𫒼 𫒽 𫒾 𫒿 𫓀 𫓁 𫓂 𫓃 𫓄 𫓅 𫓆 𫓇 𫓈 𫓉 𫓊 𫓋 𫓌 𫓍 𫓎 𫓏 𫓐 𫓑 𫓒 𫓓 𫓔 𫓕 𫓖 𫓗 𫓘 𫓙 𫓚 𫓛 𫓜 𫓝 𫓞 𫓟 𫓠 𫓡 𫓢 𫓣 𫓤 𫓥 𫓦 𫓧 𫓨 𫓩 𫓪 𫓫 𫓬 𫓭 𫓮 𫓯 𫓰 𫓱 𫓲 𫓳 𫓴 𫓵 𫓶 𫓷 𫓸 𫓹 𫓺 𫓻 𫓼 𫓽 𫓾 𫓿 𫔀 𫔁 𫔂 𫔃 𫔄 𫔅 𫔆 𫔇 𫔈 𫔉 𫔊 𫔋 𫔌 𫔍 𫔎 𫔏 𫔐 𫔑 𫔒 𫔓 𫔔 𫔕 𫔖 𫔗 𫔘 𫔙 𫔚 𫔛 𫔜 𫔝 𫔞 𫔟 𫔠 𫔡 𫔢 𫔣 𫔤 𫔥 𫔦 𫔧 𫔨 𫔩 𫔪 𫔫 𫔬 𫔭 𫔮 𫔯 𫔰 𫔱 𫔲 𫔳 𫔴 𫔵 𫔶 𫔷 𫔸 𫔹 𫔺 𫔻 𫔼 𫔽 𫔾 𫔿 𫕀 𫕁 𫕂 𫕃 𫕄 𫕅 𫕆 𫕇 𫕈 𫕉 𫕊 𫕋 𫕌 𫕍 𫕎 𫕏 𫕐 𫕑</t>
        </is>
      </c>
      <c r="V700" s="14">
        <f>(LEN(O700)+1)/2</f>
        <v/>
      </c>
      <c r="W700" s="14">
        <f>ROUNDDOWN((LEN(P700)+1)/2,0)</f>
        <v/>
      </c>
      <c r="X700" s="14">
        <f>ROUNDDOWN((LEN(Q700)+1)/2,0)</f>
        <v/>
      </c>
      <c r="Y700" s="14">
        <f>ROUNDDOWN((LEN(R700)+1)/2,0)</f>
        <v/>
      </c>
      <c r="Z700" s="14">
        <f>ROUNDDOWN((LEN(S700)+1)/2,0)</f>
        <v/>
      </c>
    </row>
    <row r="701" ht="102" customHeight="1">
      <c r="B701" s="46" t="inlineStr">
        <is>
          <t>U+2B646-U+2B739</t>
        </is>
      </c>
      <c r="C701" s="46" t="inlineStr">
        <is>
          <t>CJK Unified Ideographs Extension C</t>
        </is>
      </c>
      <c r="D701" s="54">
        <f>HEX2DEC(MID(B701,3,FIND("-",E701)-3))</f>
        <v/>
      </c>
      <c r="E701" s="46" t="inlineStr">
        <is>
          <t>U+2A700-U+2B73F</t>
        </is>
      </c>
      <c r="F701" s="12" t="n">
        <v>4</v>
      </c>
      <c r="J701" s="19">
        <f>ROUNDDOWN(W701,0)/$V701</f>
        <v/>
      </c>
      <c r="K701" s="19">
        <f>ROUNDDOWN(X701,0)/$V701</f>
        <v/>
      </c>
      <c r="L701" s="19">
        <f>ROUNDDOWN(Y701,0)/$V701</f>
        <v/>
      </c>
      <c r="M701" s="19">
        <f>ROUNDDOWN(Z701,0)/$V701</f>
        <v/>
      </c>
      <c r="O701" s="36" t="inlineStr">
        <is>
          <t>𫕒 𫕓 𫕔 𫕕 𫕖 𫕗 𫕘 𫕙 𫕚 𫕛 𫕜 𫕝 𫕞 𫕟 𫕠 𫕡 𫕢 𫕣 𫕤 𫕥 𫕦 𫕧 𫕨 𫕩 𫕪 𫕫 𫕬 𫕭 𫕮 𫕯 𫕰 𫕱 𫕲 𫕳 𫕴 𫕵 𫕶 𫕷 𫕸 𫕹 𫕺 𫕻 𫕼 𫕽 𫕾 𫕿 𫖀 𫖁 𫖂 𫖃 𫖄 𫖅 𫖆 𫖇 𫖈 𫖉 𫖊 𫖋 𫖌 𫖍 𫖎 𫖏 𫖐 𫖑 𫖒 𫖓 𫖔 𫖕 𫖖 𫖗 𫖘 𫖙 𫖚 𫖛 𫖜 𫖝 𫖞 𫖟 𫖠 𫖡 𫖢 𫖣 𫖤 𫖥 𫖦 𫖧 𫖨 𫖩 𫖪 𫖫 𫖬 𫖭 𫖮 𫖯 𫖰 𫖱 𫖲 𫖳 𫖴 𫖵 𫖶 𫖷 𫖸 𫖹 𫖺 𫖻 𫖼 𫖽 𫖾 𫖿 𫗀 𫗁 𫗂 𫗃 𫗄 𫗅 𫗆 𫗇 𫗈 𫗉 𫗊 𫗋 𫗌 𫗍 𫗎 𫗏 𫗐 𫗑 𫗒 𫗓 𫗔 𫗕 𫗖 𫗗 𫗘 𫗙 𫗚 𫗛 𫗜 𫗝 𫗞 𫗟 𫗠 𫗡 𫗢 𫗣 𫗤 𫗥 𫗦 𫗧 𫗨 𫗩 𫗪 𫗫 𫗬 𫗭 𫗮 𫗯 𫗰 𫗱 𫗲 𫗳 𫗴 𫗵 𫗶 𫗷 𫗸 𫗹 𫗺 𫗻 𫗼 𫗽 𫗾 𫗿 𫘀 𫘁 𫘂 𫘃 𫘄 𫘅 𫘆 𫘇 𫘈 𫘉 𫘊 𫘋 𫘌 𫘍 𫘎 𫘏 𫘐 𫘑 𫘒 𫘓 𫘔 𫘕 𫘖 𫘗 𫘘 𫘙 𫘚 𫘛 𫘜 𫘝 𫘞 𫘟 𫘠 𫘡 𫘢 𫘣 𫘤 𫘥 𫘦 𫘧 𫘨 𫘩 𫘪 𫘫 𫘬 𫘭 𫘮 𫘯 𫘰 𫘱 𫘲 𫘳 𫘴 𫘵 𫘶 𫘷 𫘸 𫘹 𫘺 𫘻 𫘼 𫘽 𫘾 𫘿 𫙀 𫙁 𫙂 𫙃 𫙄 𫙅</t>
        </is>
      </c>
      <c r="V701" s="14">
        <f>(LEN(O701)+1)/2</f>
        <v/>
      </c>
      <c r="W701" s="14">
        <f>ROUNDDOWN((LEN(P701)+1)/2,0)</f>
        <v/>
      </c>
      <c r="X701" s="14">
        <f>ROUNDDOWN((LEN(Q701)+1)/2,0)</f>
        <v/>
      </c>
      <c r="Y701" s="14">
        <f>ROUNDDOWN((LEN(R701)+1)/2,0)</f>
        <v/>
      </c>
      <c r="Z701" s="14">
        <f>ROUNDDOWN((LEN(S701)+1)/2,0)</f>
        <v/>
      </c>
    </row>
    <row r="702" ht="102" customHeight="1">
      <c r="B702" s="46" t="inlineStr">
        <is>
          <t>U+2B740-U+2B81D</t>
        </is>
      </c>
      <c r="C702" s="46" t="inlineStr">
        <is>
          <t>CJK Unified Ideographs Extension D</t>
        </is>
      </c>
      <c r="D702" s="54">
        <f>HEX2DEC(MID(B702,3,FIND("-",E702)-3))</f>
        <v/>
      </c>
      <c r="E702" s="46" t="inlineStr">
        <is>
          <t>U+2B740-U+2B81F</t>
        </is>
      </c>
      <c r="F702" s="12" t="n">
        <v>4</v>
      </c>
      <c r="J702" s="19">
        <f>ROUNDDOWN(W702,0)/$V702</f>
        <v/>
      </c>
      <c r="K702" s="19">
        <f>ROUNDDOWN(X702,0)/$V702</f>
        <v/>
      </c>
      <c r="L702" s="19">
        <f>ROUNDDOWN(Y702,0)/$V702</f>
        <v/>
      </c>
      <c r="M702" s="19">
        <f>ROUNDDOWN(Z702,0)/$V702</f>
        <v/>
      </c>
      <c r="O702" s="36" t="inlineStr">
        <is>
          <t>𫙆 𫙇 𫙈 𫙉 𫙊 𫙋 𫙌 𫙍 𫙎 𫙏 𫙐 𫙑 𫙒 𫙓 𫙔 𫙕 𫙖 𫙗 𫙘 𫙙 𫙚 𫙛 𫙜 𫙝 𫙞 𫙟 𫙠 𫙡 𫙢 𫙣 𫙤 𫙥 𫙦 𫙧 𫙨 𫙩 𫙪 𫙫 𫙬 𫙭 𫙮 𫙯 𫙰 𫙱 𫙲 𫙳 𫙴 𫙵 𫙶 𫙷 𫙸 𫙹 𫙺 𫙻 𫙼 𫙽 𫙾 𫙿 𫚀 𫚁 𫚂 𫚃 𫚄 𫚅 𫚆 𫚇 𫚈 𫚉 𫚊 𫚋 𫚌 𫚍 𫚎 𫚏 𫚐 𫚑 𫚒 𫚓 𫚔 𫚕 𫚖 𫚗 𫚘 𫚙 𫚚 𫚛 𫚜 𫚝 𫚞 𫚟 𫚠 𫚡 𫚢 𫚣 𫚤 𫚥 𫚦 𫚧 𫚨 𫚩 𫚪 𫚫 𫚬 𫚭 𫚮 𫚯 𫚰 𫚱 𫚲 𫚳 𫚴 𫚵 𫚶 𫚷 𫚸 𫚹 𫚺 𫚻 𫚼 𫚽 𫚾 𫚿 𫛀 𫛁 𫛂 𫛃 𫛄 𫛅 𫛆 𫛇 𫛈 𫛉 𫛊 𫛋 𫛌 𫛍 𫛎 𫛏 𫛐 𫛑 𫛒 𫛓 𫛔 𫛕 𫛖 𫛗 𫛘 𫛙 𫛚 𫛛 𫛜 𫛝 𫛞 𫛟 𫛠 𫛡 𫛢 𫛣 𫛤 𫛥 𫛦 𫛧 𫛨 𫛩 𫛪 𫛫 𫛬 𫛭 𫛮 𫛯 𫛰 𫛱 𫛲 𫛳 𫛴 𫛵 𫛶 𫛷 𫛸 𫛹 𫛺 𫛻 𫛼 𫛽 𫛾 𫛿 𫜀 𫜁 𫜂 𫜃 𫜄 𫜅 𫜆 𫜇 𫜈 𫜉 𫜊 𫜋 𫜌 𫜍 𫜎 𫜏 𫜐 𫜑 𫜒 𫜓 𫜔 𫜕 𫜖 𫜗 𫜘 𫜙 𫜚 𫜛 𫜜 𫜝 𫜞 𫜟 𫜠 𫜡 𫜢 𫜣 𫜤 𫜥 𫜦 𫜧 𫜨 𫜩 𫜪 𫜫 𫜬 𫜭 𫜮 𫜯 𫜰 𫜱 𫜲 𫜳 𫜴 𫜵 𫜶 𫜷 𫜸 𫜹</t>
        </is>
      </c>
      <c r="V702" s="14">
        <f>(LEN(O702)+1)/2</f>
        <v/>
      </c>
      <c r="W702" s="14">
        <f>ROUNDDOWN((LEN(P702)+1)/2,0)</f>
        <v/>
      </c>
      <c r="X702" s="14">
        <f>ROUNDDOWN((LEN(Q702)+1)/2,0)</f>
        <v/>
      </c>
      <c r="Y702" s="14">
        <f>ROUNDDOWN((LEN(R702)+1)/2,0)</f>
        <v/>
      </c>
      <c r="Z702" s="14">
        <f>ROUNDDOWN((LEN(S702)+1)/2,0)</f>
        <v/>
      </c>
    </row>
    <row r="703" ht="89.25" customHeight="1">
      <c r="B703" s="46" t="inlineStr">
        <is>
          <t>U+2B820-U+2B91A</t>
        </is>
      </c>
      <c r="C703" s="46" t="inlineStr">
        <is>
          <t>CJK Unified Ideographs Extension E</t>
        </is>
      </c>
      <c r="D703" s="54">
        <f>HEX2DEC(MID(B703,3,FIND("-",E703)-3))</f>
        <v/>
      </c>
      <c r="E703" s="46" t="inlineStr">
        <is>
          <t>U+2B820-U+2CEAF</t>
        </is>
      </c>
      <c r="F703" s="12" t="n">
        <v>4</v>
      </c>
      <c r="J703" s="19">
        <f>ROUNDDOWN(W703,0)/$V703</f>
        <v/>
      </c>
      <c r="K703" s="19">
        <f>ROUNDDOWN(X703,0)/$V703</f>
        <v/>
      </c>
      <c r="L703" s="19">
        <f>ROUNDDOWN(Y703,0)/$V703</f>
        <v/>
      </c>
      <c r="M703" s="19">
        <f>ROUNDDOWN(Z703,0)/$V703</f>
        <v/>
      </c>
      <c r="O703" s="36" t="inlineStr">
        <is>
          <t>𫝀 𫝁 𫝂 𫝃 𫝄 𫝅 𫝆 𫝇 𫝈 𫝉 𫝊 𫝋 𫝌 𫝍 𫝎 𫝏 𫝐 𫝑 𫝒 𫝓 𫝔 𫝕 𫝖 𫝗 𫝘 𫝙 𫝚 𫝛 𫝜 𫝝 𫝞 𫝟 𫝠 𫝡 𫝢 𫝣 𫝤 𫝥 𫝦 𫝧 𫝨 𫝩 𫝪 𫝫 𫝬 𫝭 𫝮 𫝯 𫝰 𫝱 𫝲 𫝳 𫝴 𫝵 𫝶 𫝷 𫝸 𫝹 𫝺 𫝻 𫝼 𫝽 𫝾 𫝿 𫞀 𫞁 𫞂 𫞃 𫞄 𫞅 𫞆 𫞇 𫞈 𫞉 𫞊 𫞋 𫞌 𫞍 𫞎 𫞏 𫞐 𫞑 𫞒 𫞓 𫞔 𫞕 𫞖 𫞗 𫞘 𫞙 𫞚 𫞛 𫞜 𫞝 𫞞 𫞟 𫞠 𫞡 𫞢 𫞣 𫞤 𫞥 𫞦 𫞧 𫞨 𫞩 𫞪 𫞫 𫞬 𫞭 𫞮 𫞯 𫞰 𫞱 𫞲 𫞳 𫞴 𫞵 𫞶 𫞷 𫞸 𫞹 𫞺 𫞻 𫞼 𫞽 𫞾 𫞿 𫟀 𫟁 𫟂 𫟃 𫟄 𫟅 𫟆 𫟇 𫟈 𫟉 𫟊 𫟋 𫟌 𫟍 𫟎 𫟏 𫟐 𫟑 𫟒 𫟓 𫟔 𫟕 𫟖 𫟗 𫟘 𫟙 𫟚 𫟛 𫟜 𫟝 𫟞 𫟟 𫟠 𫟡 𫟢 𫟣 𫟤 𫟥 𫟦 𫟧 𫟨 𫟩 𫟪 𫟫 𫟬 𫟭 𫟮 𫟯 𫟰 𫟱 𫟲 𫟳 𫟴 𫟵 𫟶 𫟷 𫟸 𫟹 𫟺 𫟻 𫟼 𫟽 𫟾 𫟿 𫠀 𫠁 𫠂 𫠃 𫠄 𫠅 𫠆 𫠇 𫠈 𫠉 𫠊 𫠋 𫠌 𫠍 𫠎 𫠏 𫠐 𫠑 𫠒 𫠓 𫠔 𫠕 𫠖 𫠗 𫠘 𫠙 𫠚 𫠛 𫠜 𫠝</t>
        </is>
      </c>
      <c r="V703" s="14">
        <f>(LEN(O703)+1)/2</f>
        <v/>
      </c>
      <c r="W703" s="14">
        <f>ROUNDDOWN((LEN(P703)+1)/2,0)</f>
        <v/>
      </c>
      <c r="X703" s="14">
        <f>ROUNDDOWN((LEN(Q703)+1)/2,0)</f>
        <v/>
      </c>
      <c r="Y703" s="14">
        <f>ROUNDDOWN((LEN(R703)+1)/2,0)</f>
        <v/>
      </c>
      <c r="Z703" s="14">
        <f>ROUNDDOWN((LEN(S703)+1)/2,0)</f>
        <v/>
      </c>
    </row>
    <row r="704" ht="102" customHeight="1">
      <c r="B704" s="46" t="inlineStr">
        <is>
          <t>U+2B91B-U+2BA15</t>
        </is>
      </c>
      <c r="C704" s="46" t="inlineStr">
        <is>
          <t>CJK Unified Ideographs Extension E</t>
        </is>
      </c>
      <c r="D704" s="54">
        <f>HEX2DEC(MID(B704,3,FIND("-",E704)-3))</f>
        <v/>
      </c>
      <c r="E704" s="46" t="inlineStr">
        <is>
          <t>U+2B820-U+2CEAF</t>
        </is>
      </c>
      <c r="F704" s="12" t="n">
        <v>4</v>
      </c>
      <c r="J704" s="19">
        <f>ROUNDDOWN(W704,0)/$V704</f>
        <v/>
      </c>
      <c r="K704" s="19">
        <f>ROUNDDOWN(X704,0)/$V704</f>
        <v/>
      </c>
      <c r="L704" s="19">
        <f>ROUNDDOWN(Y704,0)/$V704</f>
        <v/>
      </c>
      <c r="M704" s="19">
        <f>ROUNDDOWN(Z704,0)/$V704</f>
        <v/>
      </c>
      <c r="O704" s="36" t="inlineStr">
        <is>
          <t>𫠠 𫠡 𫠢 𫠣 𫠤 𫠥 𫠦 𫠧 𫠨 𫠩 𫠪 𫠫 𫠬 𫠭 𫠮 𫠯 𫠰 𫠱 𫠲 𫠳 𫠴 𫠵 𫠶 𫠷 𫠸 𫠹 𫠺 𫠻 𫠼 𫠽 𫠾 𫠿 𫡀 𫡁 𫡂 𫡃 𫡄 𫡅 𫡆 𫡇 𫡈 𫡉 𫡊 𫡋 𫡌 𫡍 𫡎 𫡏 𫡐 𫡑 𫡒 𫡓 𫡔 𫡕 𫡖 𫡗 𫡘 𫡙 𫡚 𫡛 𫡜 𫡝 𫡞 𫡟 𫡠 𫡡 𫡢 𫡣 𫡤 𫡥 𫡦 𫡧 𫡨 𫡩 𫡪 𫡫 𫡬 𫡭 𫡮 𫡯 𫡰 𫡱 𫡲 𫡳 𫡴 𫡵 𫡶 𫡷 𫡸 𫡹 𫡺 𫡻 𫡼 𫡽 𫡾 𫡿 𫢀 𫢁 𫢂 𫢃 𫢄 𫢅 𫢆 𫢇 𫢈 𫢉 𫢊 𫢋 𫢌 𫢍 𫢎 𫢏 𫢐 𫢑 𫢒 𫢓 𫢔 𫢕 𫢖 𫢗 𫢘 𫢙 𫢚 𫢛 𫢜 𫢝 𫢞 𫢟 𫢠 𫢡 𫢢 𫢣 𫢤 𫢥 𫢦 𫢧 𫢨 𫢩 𫢪 𫢫 𫢬 𫢭 𫢮 𫢯 𫢰 𫢱 𫢲 𫢳 𫢴 𫢵 𫢶 𫢷 𫢸 𫢹 𫢺 𫢻 𫢼 𫢽 𫢾 𫢿 𫣀 𫣁 𫣂 𫣃 𫣄 𫣅 𫣆 𫣇 𫣈 𫣉 𫣊 𫣋 𫣌 𫣍 𫣎 𫣏 𫣐 𫣑 𫣒 𫣓 𫣔 𫣕 𫣖 𫣗 𫣘 𫣙 𫣚 𫣛 𫣜 𫣝 𫣞 𫣟 𫣠 𫣡 𫣢 𫣣 𫣤 𫣥 𫣦 𫣧 𫣨 𫣩 𫣪 𫣫 𫣬 𫣭 𫣮 𫣯 𫣰 𫣱 𫣲 𫣳 𫣴 𫣵 𫣶 𫣷 𫣸 𫣹 𫣺 𫣻 𫣼 𫣽 𫣾 𫣿 𫤀 𫤁 𫤂 𫤃 𫤄 𫤅 𫤆 𫤇 𫤈 𫤉 𫤊 𫤋 𫤌 𫤍 𫤎 𫤏 𫤐 𫤑 𫤒 𫤓 𫤔 𫤕 𫤖 𫤗 𫤘 𫤙 𫤚</t>
        </is>
      </c>
      <c r="V704" s="14">
        <f>(LEN(O704)+1)/2</f>
        <v/>
      </c>
      <c r="W704" s="14">
        <f>ROUNDDOWN((LEN(P704)+1)/2,0)</f>
        <v/>
      </c>
      <c r="X704" s="14">
        <f>ROUNDDOWN((LEN(Q704)+1)/2,0)</f>
        <v/>
      </c>
      <c r="Y704" s="14">
        <f>ROUNDDOWN((LEN(R704)+1)/2,0)</f>
        <v/>
      </c>
      <c r="Z704" s="14">
        <f>ROUNDDOWN((LEN(S704)+1)/2,0)</f>
        <v/>
      </c>
    </row>
    <row r="705" ht="102" customHeight="1">
      <c r="B705" s="46" t="inlineStr">
        <is>
          <t>U+2BA16-U+2BB10</t>
        </is>
      </c>
      <c r="C705" s="46" t="inlineStr">
        <is>
          <t>CJK Unified Ideographs Extension E</t>
        </is>
      </c>
      <c r="D705" s="54">
        <f>HEX2DEC(MID(B705,3,FIND("-",E705)-3))</f>
        <v/>
      </c>
      <c r="E705" s="46" t="inlineStr">
        <is>
          <t>U+2B820-U+2CEAF</t>
        </is>
      </c>
      <c r="F705" s="12" t="n">
        <v>4</v>
      </c>
      <c r="J705" s="19">
        <f>ROUNDDOWN(W705,0)/$V705</f>
        <v/>
      </c>
      <c r="K705" s="19">
        <f>ROUNDDOWN(X705,0)/$V705</f>
        <v/>
      </c>
      <c r="L705" s="19">
        <f>ROUNDDOWN(Y705,0)/$V705</f>
        <v/>
      </c>
      <c r="M705" s="19">
        <f>ROUNDDOWN(Z705,0)/$V705</f>
        <v/>
      </c>
      <c r="O705" s="36" t="inlineStr">
        <is>
          <t>𫤛 𫤜 𫤝 𫤞 𫤟 𫤠 𫤡 𫤢 𫤣 𫤤 𫤥 𫤦 𫤧 𫤨 𫤩 𫤪 𫤫 𫤬 𫤭 𫤮 𫤯 𫤰 𫤱 𫤲 𫤳 𫤴 𫤵 𫤶 𫤷 𫤸 𫤹 𫤺 𫤻 𫤼 𫤽 𫤾 𫤿 𫥀 𫥁 𫥂 𫥃 𫥄 𫥅 𫥆 𫥇 𫥈 𫥉 𫥊 𫥋 𫥌 𫥍 𫥎 𫥏 𫥐 𫥑 𫥒 𫥓 𫥔 𫥕 𫥖 𫥗 𫥘 𫥙 𫥚 𫥛 𫥜 𫥝 𫥞 𫥟 𫥠 𫥡 𫥢 𫥣 𫥤 𫥥 𫥦 𫥧 𫥨 𫥩 𫥪 𫥫 𫥬 𫥭 𫥮 𫥯 𫥰 𫥱 𫥲 𫥳 𫥴 𫥵 𫥶 𫥷 𫥸 𫥹 𫥺 𫥻 𫥼 𫥽 𫥾 𫥿 𫦀 𫦁 𫦂 𫦃 𫦄 𫦅 𫦆 𫦇 𫦈 𫦉 𫦊 𫦋 𫦌 𫦍 𫦎 𫦏 𫦐 𫦑 𫦒 𫦓 𫦔 𫦕 𫦖 𫦗 𫦘 𫦙 𫦚 𫦛 𫦜 𫦝 𫦞 𫦟 𫦠 𫦡 𫦢 𫦣 𫦤 𫦥 𫦦 𫦧 𫦨 𫦩 𫦪 𫦫 𫦬 𫦭 𫦮 𫦯 𫦰 𫦱 𫦲 𫦳 𫦴 𫦵 𫦶 𫦷 𫦸 𫦹 𫦺 𫦻 𫦼 𫦽 𫦾 𫦿 𫧀 𫧁 𫧂 𫧃 𫧄 𫧅 𫧆 𫧇 𫧈 𫧉 𫧊 𫧋 𫧌 𫧍 𫧎 𫧏 𫧐 𫧑 𫧒 𫧓 𫧔 𫧕 𫧖 𫧗 𫧘 𫧙 𫧚 𫧛 𫧜 𫧝 𫧞 𫧟 𫧠 𫧡 𫧢 𫧣 𫧤 𫧥 𫧦 𫧧 𫧨 𫧩 𫧪 𫧫 𫧬 𫧭 𫧮 𫧯 𫧰 𫧱 𫧲 𫧳 𫧴 𫧵 𫧶 𫧷 𫧸 𫧹 𫧺 𫧻 𫧼 𫧽 𫧾 𫧿 𫨀 𫨁 𫨂 𫨃 𫨄 𫨅 𫨆 𫨇 𫨈 𫨉 𫨊 𫨋 𫨌 𫨍 𫨎 𫨏 𫨐 𫨑 𫨒 𫨓 𫨔 𫨕</t>
        </is>
      </c>
      <c r="V705" s="14">
        <f>(LEN(O705)+1)/2</f>
        <v/>
      </c>
      <c r="W705" s="14">
        <f>ROUNDDOWN((LEN(P705)+1)/2,0)</f>
        <v/>
      </c>
      <c r="X705" s="14">
        <f>ROUNDDOWN((LEN(Q705)+1)/2,0)</f>
        <v/>
      </c>
      <c r="Y705" s="14">
        <f>ROUNDDOWN((LEN(R705)+1)/2,0)</f>
        <v/>
      </c>
      <c r="Z705" s="14">
        <f>ROUNDDOWN((LEN(S705)+1)/2,0)</f>
        <v/>
      </c>
    </row>
    <row r="706" ht="102" customHeight="1">
      <c r="B706" s="46" t="inlineStr">
        <is>
          <t>U+2BB11-U+2BC0B</t>
        </is>
      </c>
      <c r="C706" s="46" t="inlineStr">
        <is>
          <t>CJK Unified Ideographs Extension E</t>
        </is>
      </c>
      <c r="D706" s="54">
        <f>HEX2DEC(MID(B706,3,FIND("-",E706)-3))</f>
        <v/>
      </c>
      <c r="E706" s="46" t="inlineStr">
        <is>
          <t>U+2B820-U+2CEAF</t>
        </is>
      </c>
      <c r="F706" s="12" t="n">
        <v>4</v>
      </c>
      <c r="J706" s="19">
        <f>ROUNDDOWN(W706,0)/$V706</f>
        <v/>
      </c>
      <c r="K706" s="19">
        <f>ROUNDDOWN(X706,0)/$V706</f>
        <v/>
      </c>
      <c r="L706" s="19">
        <f>ROUNDDOWN(Y706,0)/$V706</f>
        <v/>
      </c>
      <c r="M706" s="19">
        <f>ROUNDDOWN(Z706,0)/$V706</f>
        <v/>
      </c>
      <c r="O706" s="36" t="inlineStr">
        <is>
          <t>𫨖 𫨗 𫨘 𫨙 𫨚 𫨛 𫨜 𫨝 𫨞 𫨟 𫨠 𫨡 𫨢 𫨣 𫨤 𫨥 𫨦 𫨧 𫨨 𫨩 𫨪 𫨫 𫨬 𫨭 𫨮 𫨯 𫨰 𫨱 𫨲 𫨳 𫨴 𫨵 𫨶 𫨷 𫨸 𫨹 𫨺 𫨻 𫨼 𫨽 𫨾 𫨿 𫩀 𫩁 𫩂 𫩃 𫩄 𫩅 𫩆 𫩇 𫩈 𫩉 𫩊 𫩋 𫩌 𫩍 𫩎 𫩏 𫩐 𫩑 𫩒 𫩓 𫩔 𫩕 𫩖 𫩗 𫩘 𫩙 𫩚 𫩛 𫩜 𫩝 𫩞 𫩟 𫩠 𫩡 𫩢 𫩣 𫩤 𫩥 𫩦 𫩧 𫩨 𫩩 𫩪 𫩫 𫩬 𫩭 𫩮 𫩯 𫩰 𫩱 𫩲 𫩳 𫩴 𫩵 𫩶 𫩷 𫩸 𫩹 𫩺 𫩻 𫩼 𫩽 𫩾 𫩿 𫪀 𫪁 𫪂 𫪃 𫪄 𫪅 𫪆 𫪇 𫪈 𫪉 𫪊 𫪋 𫪌 𫪍 𫪎 𫪏 𫪐 𫪑 𫪒 𫪓 𫪔 𫪕 𫪖 𫪗 𫪘 𫪙 𫪚 𫪛 𫪜 𫪝 𫪞 𫪟 𫪠 𫪡 𫪢 𫪣 𫪤 𫪥 𫪦 𫪧 𫪨 𫪩 𫪪 𫪫 𫪬 𫪭 𫪮 𫪯 𫪰 𫪱 𫪲 𫪳 𫪴 𫪵 𫪶 𫪷 𫪸 𫪹 𫪺 𫪻 𫪼 𫪽 𫪾 𫪿 𫫀 𫫁 𫫂 𫫃 𫫄 𫫅 𫫆 𫫇 𫫈 𫫉 𫫊 𫫋 𫫌 𫫍 𫫎 𫫏 𫫐 𫫑 𫫒 𫫓 𫫔 𫫕 𫫖 𫫗 𫫘 𫫙 𫫚 𫫛 𫫜 𫫝 𫫞 𫫟 𫫠 𫫡 𫫢 𫫣 𫫤 𫫥 𫫦 𫫧 𫫨 𫫩 𫫪 𫫫 𫫬 𫫭 𫫮 𫫯 𫫰 𫫱 𫫲 𫫳 𫫴 𫫵 𫫶 𫫷 𫫸 𫫹 𫫺 𫫻 𫫼 𫫽 𫫾 𫫿 𫬀 𫬁 𫬂 𫬃 𫬄 𫬅 𫬆 𫬇 𫬈 𫬉 𫬊 𫬋 𫬌 𫬍 𫬎 𫬏 𫬐</t>
        </is>
      </c>
      <c r="V706" s="14">
        <f>(LEN(O706)+1)/2</f>
        <v/>
      </c>
      <c r="W706" s="14">
        <f>ROUNDDOWN((LEN(P706)+1)/2,0)</f>
        <v/>
      </c>
      <c r="X706" s="14">
        <f>ROUNDDOWN((LEN(Q706)+1)/2,0)</f>
        <v/>
      </c>
      <c r="Y706" s="14">
        <f>ROUNDDOWN((LEN(R706)+1)/2,0)</f>
        <v/>
      </c>
      <c r="Z706" s="14">
        <f>ROUNDDOWN((LEN(S706)+1)/2,0)</f>
        <v/>
      </c>
    </row>
    <row r="707" ht="102" customHeight="1">
      <c r="B707" s="46" t="inlineStr">
        <is>
          <t>U+2BC0C-U+2BD06</t>
        </is>
      </c>
      <c r="C707" s="46" t="inlineStr">
        <is>
          <t>CJK Unified Ideographs Extension E</t>
        </is>
      </c>
      <c r="D707" s="54">
        <f>HEX2DEC(MID(B707,3,FIND("-",E707)-3))</f>
        <v/>
      </c>
      <c r="E707" s="46" t="inlineStr">
        <is>
          <t>U+2B820-U+2CEAF</t>
        </is>
      </c>
      <c r="F707" s="12" t="n">
        <v>4</v>
      </c>
      <c r="J707" s="19">
        <f>ROUNDDOWN(W707,0)/$V707</f>
        <v/>
      </c>
      <c r="K707" s="19">
        <f>ROUNDDOWN(X707,0)/$V707</f>
        <v/>
      </c>
      <c r="L707" s="19">
        <f>ROUNDDOWN(Y707,0)/$V707</f>
        <v/>
      </c>
      <c r="M707" s="19">
        <f>ROUNDDOWN(Z707,0)/$V707</f>
        <v/>
      </c>
      <c r="O707" s="36" t="inlineStr">
        <is>
          <t>𫬑 𫬒 𫬓 𫬔 𫬕 𫬖 𫬗 𫬘 𫬙 𫬚 𫬛 𫬜 𫬝 𫬞 𫬟 𫬠 𫬡 𫬢 𫬣 𫬤 𫬥 𫬦 𫬧 𫬨 𫬩 𫬪 𫬫 𫬬 𫬭 𫬮 𫬯 𫬰 𫬱 𫬲 𫬳 𫬴 𫬵 𫬶 𫬷 𫬸 𫬹 𫬺 𫬻 𫬼 𫬽 𫬾 𫬿 𫭀 𫭁 𫭂 𫭃 𫭄 𫭅 𫭆 𫭇 𫭈 𫭉 𫭊 𫭋 𫭌 𫭍 𫭎 𫭏 𫭐 𫭑 𫭒 𫭓 𫭔 𫭕 𫭖 𫭗 𫭘 𫭙 𫭚 𫭛 𫭜 𫭝 𫭞 𫭟 𫭠 𫭡 𫭢 𫭣 𫭤 𫭥 𫭦 𫭧 𫭨 𫭩 𫭪 𫭫 𫭬 𫭭 𫭮 𫭯 𫭰 𫭱 𫭲 𫭳 𫭴 𫭵 𫭶 𫭷 𫭸 𫭹 𫭺 𫭻 𫭼 𫭽 𫭾 𫭿 𫮀 𫮁 𫮂 𫮃 𫮄 𫮅 𫮆 𫮇 𫮈 𫮉 𫮊 𫮋 𫮌 𫮍 𫮎 𫮏 𫮐 𫮑 𫮒 𫮓 𫮔 𫮕 𫮖 𫮗 𫮘 𫮙 𫮚 𫮛 𫮜 𫮝 𫮞 𫮟 𫮠 𫮡 𫮢 𫮣 𫮤 𫮥 𫮦 𫮧 𫮨 𫮩 𫮪 𫮫 𫮬 𫮭 𫮮 𫮯 𫮰 𫮱 𫮲 𫮳 𫮴 𫮵 𫮶 𫮷 𫮸 𫮹 𫮺 𫮻 𫮼 𫮽 𫮾 𫮿 𫯀 𫯁 𫯂 𫯃 𫯄 𫯅 𫯆 𫯇 𫯈 𫯉 𫯊 𫯋 𫯌 𫯍 𫯎 𫯏 𫯐 𫯑 𫯒 𫯓 𫯔 𫯕 𫯖 𫯗 𫯘 𫯙 𫯚 𫯛 𫯜 𫯝 𫯞 𫯟 𫯠 𫯡 𫯢 𫯣 𫯤 𫯥 𫯦 𫯧 𫯨 𫯩 𫯪 𫯫 𫯬 𫯭 𫯮 𫯯 𫯰 𫯱 𫯲 𫯳 𫯴 𫯵 𫯶 𫯷 𫯸 𫯹 𫯺 𫯻 𫯼 𫯽 𫯾 𫯿 𫰀 𫰁 𫰂 𫰃 𫰄 𫰅 𫰆 𫰇 𫰈 𫰉 𫰊 𫰋</t>
        </is>
      </c>
      <c r="V707" s="14">
        <f>(LEN(O707)+1)/2</f>
        <v/>
      </c>
      <c r="W707" s="14">
        <f>ROUNDDOWN((LEN(P707)+1)/2,0)</f>
        <v/>
      </c>
      <c r="X707" s="14">
        <f>ROUNDDOWN((LEN(Q707)+1)/2,0)</f>
        <v/>
      </c>
      <c r="Y707" s="14">
        <f>ROUNDDOWN((LEN(R707)+1)/2,0)</f>
        <v/>
      </c>
      <c r="Z707" s="14">
        <f>ROUNDDOWN((LEN(S707)+1)/2,0)</f>
        <v/>
      </c>
    </row>
    <row r="708" ht="102" customHeight="1">
      <c r="B708" s="46" t="inlineStr">
        <is>
          <t>U+2BD07-U+2BE01</t>
        </is>
      </c>
      <c r="C708" s="46" t="inlineStr">
        <is>
          <t>CJK Unified Ideographs Extension E</t>
        </is>
      </c>
      <c r="D708" s="54">
        <f>HEX2DEC(MID(B708,3,FIND("-",E708)-3))</f>
        <v/>
      </c>
      <c r="E708" s="46" t="inlineStr">
        <is>
          <t>U+2B820-U+2CEAF</t>
        </is>
      </c>
      <c r="F708" s="12" t="n">
        <v>4</v>
      </c>
      <c r="J708" s="19">
        <f>ROUNDDOWN(W708,0)/$V708</f>
        <v/>
      </c>
      <c r="K708" s="19">
        <f>ROUNDDOWN(X708,0)/$V708</f>
        <v/>
      </c>
      <c r="L708" s="19">
        <f>ROUNDDOWN(Y708,0)/$V708</f>
        <v/>
      </c>
      <c r="M708" s="19">
        <f>ROUNDDOWN(Z708,0)/$V708</f>
        <v/>
      </c>
      <c r="O708" s="36" t="inlineStr">
        <is>
          <t>𫰌 𫰍 𫰎 𫰏 𫰐 𫰑 𫰒 𫰓 𫰔 𫰕 𫰖 𫰗 𫰘 𫰙 𫰚 𫰛 𫰜 𫰝 𫰞 𫰟 𫰠 𫰡 𫰢 𫰣 𫰤 𫰥 𫰦 𫰧 𫰨 𫰩 𫰪 𫰫 𫰬 𫰭 𫰮 𫰯 𫰰 𫰱 𫰲 𫰳 𫰴 𫰵 𫰶 𫰷 𫰸 𫰹 𫰺 𫰻 𫰼 𫰽 𫰾 𫰿 𫱀 𫱁 𫱂 𫱃 𫱄 𫱅 𫱆 𫱇 𫱈 𫱉 𫱊 𫱋 𫱌 𫱍 𫱎 𫱏 𫱐 𫱑 𫱒 𫱓 𫱔 𫱕 𫱖 𫱗 𫱘 𫱙 𫱚 𫱛 𫱜 𫱝 𫱞 𫱟 𫱠 𫱡 𫱢 𫱣 𫱤 𫱥 𫱦 𫱧 𫱨 𫱩 𫱪 𫱫 𫱬 𫱭 𫱮 𫱯 𫱰 𫱱 𫱲 𫱳 𫱴 𫱵 𫱶 𫱷 𫱸 𫱹 𫱺 𫱻 𫱼 𫱽 𫱾 𫱿 𫲀 𫲁 𫲂 𫲃 𫲄 𫲅 𫲆 𫲇 𫲈 𫲉 𫲊 𫲋 𫲌 𫲍 𫲎 𫲏 𫲐 𫲑 𫲒 𫲓 𫲔 𫲕 𫲖 𫲗 𫲘 𫲙 𫲚 𫲛 𫲜 𫲝 𫲞 𫲟 𫲠 𫲡 𫲢 𫲣 𫲤 𫲥 𫲦 𫲧 𫲨 𫲩 𫲪 𫲫 𫲬 𫲭 𫲮 𫲯 𫲰 𫲱 𫲲 𫲳 𫲴 𫲵 𫲶 𫲷 𫲸 𫲹 𫲺 𫲻 𫲼 𫲽 𫲾 𫲿 𫳀 𫳁 𫳂 𫳃 𫳄 𫳅 𫳆 𫳇 𫳈 𫳉 𫳊 𫳋 𫳌 𫳍 𫳎 𫳏 𫳐 𫳑 𫳒 𫳓 𫳔 𫳕 𫳖 𫳗 𫳘 𫳙 𫳚 𫳛 𫳜 𫳝 𫳞 𫳟 𫳠 𫳡 𫳢 𫳣 𫳤 𫳥 𫳦 𫳧 𫳨 𫳩 𫳪 𫳫 𫳬 𫳭 𫳮 𫳯 𫳰 𫳱 𫳲 𫳳 𫳴 𫳵 𫳶 𫳷 𫳸 𫳹 𫳺 𫳻 𫳼 𫳽 𫳾 𫳿 𫴀 𫴁 𫴂 𫴃 𫴄 𫴅 𫴆</t>
        </is>
      </c>
      <c r="V708" s="14">
        <f>(LEN(O708)+1)/2</f>
        <v/>
      </c>
      <c r="W708" s="14">
        <f>ROUNDDOWN((LEN(P708)+1)/2,0)</f>
        <v/>
      </c>
      <c r="X708" s="14">
        <f>ROUNDDOWN((LEN(Q708)+1)/2,0)</f>
        <v/>
      </c>
      <c r="Y708" s="14">
        <f>ROUNDDOWN((LEN(R708)+1)/2,0)</f>
        <v/>
      </c>
      <c r="Z708" s="14">
        <f>ROUNDDOWN((LEN(S708)+1)/2,0)</f>
        <v/>
      </c>
    </row>
    <row r="709" ht="102" customHeight="1">
      <c r="B709" s="46" t="inlineStr">
        <is>
          <t>U+2BE02-U+2BEFC</t>
        </is>
      </c>
      <c r="C709" s="46" t="inlineStr">
        <is>
          <t>CJK Unified Ideographs Extension E</t>
        </is>
      </c>
      <c r="D709" s="54">
        <f>HEX2DEC(MID(B709,3,FIND("-",E709)-3))</f>
        <v/>
      </c>
      <c r="E709" s="46" t="inlineStr">
        <is>
          <t>U+2B820-U+2CEAF</t>
        </is>
      </c>
      <c r="F709" s="12" t="n">
        <v>4</v>
      </c>
      <c r="J709" s="19">
        <f>ROUNDDOWN(W709,0)/$V709</f>
        <v/>
      </c>
      <c r="K709" s="19">
        <f>ROUNDDOWN(X709,0)/$V709</f>
        <v/>
      </c>
      <c r="L709" s="19">
        <f>ROUNDDOWN(Y709,0)/$V709</f>
        <v/>
      </c>
      <c r="M709" s="19">
        <f>ROUNDDOWN(Z709,0)/$V709</f>
        <v/>
      </c>
      <c r="O709" s="36" t="inlineStr">
        <is>
          <t>𫴇 𫴈 𫴉 𫴊 𫴋 𫴌 𫴍 𫴎 𫴏 𫴐 𫴑 𫴒 𫴓 𫴔 𫴕 𫴖 𫴗 𫴘 𫴙 𫴚 𫴛 𫴜 𫴝 𫴞 𫴟 𫴠 𫴡 𫴢 𫴣 𫴤 𫴥 𫴦 𫴧 𫴨 𫴩 𫴪 𫴫 𫴬 𫴭 𫴮 𫴯 𫴰 𫴱 𫴲 𫴳 𫴴 𫴵 𫴶 𫴷 𫴸 𫴹 𫴺 𫴻 𫴼 𫴽 𫴾 𫴿 𫵀 𫵁 𫵂 𫵃 𫵄 𫵅 𫵆 𫵇 𫵈 𫵉 𫵊 𫵋 𫵌 𫵍 𫵎 𫵏 𫵐 𫵑 𫵒 𫵓 𫵔 𫵕 𫵖 𫵗 𫵘 𫵙 𫵚 𫵛 𫵜 𫵝 𫵞 𫵟 𫵠 𫵡 𫵢 𫵣 𫵤 𫵥 𫵦 𫵧 𫵨 𫵩 𫵪 𫵫 𫵬 𫵭 𫵮 𫵯 𫵰 𫵱 𫵲 𫵳 𫵴 𫵵 𫵶 𫵷 𫵸 𫵹 𫵺 𫵻 𫵼 𫵽 𫵾 𫵿 𫶀 𫶁 𫶂 𫶃 𫶄 𫶅 𫶆 𫶇 𫶈 𫶉 𫶊 𫶋 𫶌 𫶍 𫶎 𫶏 𫶐 𫶑 𫶒 𫶓 𫶔 𫶕 𫶖 𫶗 𫶘 𫶙 𫶚 𫶛 𫶜 𫶝 𫶞 𫶟 𫶠 𫶡 𫶢 𫶣 𫶤 𫶥 𫶦 𫶧 𫶨 𫶩 𫶪 𫶫 𫶬 𫶭 𫶮 𫶯 𫶰 𫶱 𫶲 𫶳 𫶴 𫶵 𫶶 𫶷 𫶸 𫶹 𫶺 𫶻 𫶼 𫶽 𫶾 𫶿 𫷀 𫷁 𫷂 𫷃 𫷄 𫷅 𫷆 𫷇 𫷈 𫷉 𫷊 𫷋 𫷌 𫷍 𫷎 𫷏 𫷐 𫷑 𫷒 𫷓 𫷔 𫷕 𫷖 𫷗 𫷘 𫷙 𫷚 𫷛 𫷜 𫷝 𫷞 𫷟 𫷠 𫷡 𫷢 𫷣 𫷤 𫷥 𫷦 𫷧 𫷨 𫷩 𫷪 𫷫 𫷬 𫷭 𫷮 𫷯 𫷰 𫷱 𫷲 𫷳 𫷴 𫷵 𫷶 𫷷 𫷸 𫷹 𫷺 𫷻 𫷼 𫷽 𫷾 𫷿 𫸀 𫸁</t>
        </is>
      </c>
      <c r="V709" s="14">
        <f>(LEN(O709)+1)/2</f>
        <v/>
      </c>
      <c r="W709" s="14">
        <f>ROUNDDOWN((LEN(P709)+1)/2,0)</f>
        <v/>
      </c>
      <c r="X709" s="14">
        <f>ROUNDDOWN((LEN(Q709)+1)/2,0)</f>
        <v/>
      </c>
      <c r="Y709" s="14">
        <f>ROUNDDOWN((LEN(R709)+1)/2,0)</f>
        <v/>
      </c>
      <c r="Z709" s="14">
        <f>ROUNDDOWN((LEN(S709)+1)/2,0)</f>
        <v/>
      </c>
    </row>
    <row r="710" ht="102" customHeight="1">
      <c r="B710" s="46" t="inlineStr">
        <is>
          <t>U+2BEFD-U+2BFF7</t>
        </is>
      </c>
      <c r="C710" s="46" t="inlineStr">
        <is>
          <t>CJK Unified Ideographs Extension E</t>
        </is>
      </c>
      <c r="D710" s="54">
        <f>HEX2DEC(MID(B710,3,FIND("-",E710)-3))</f>
        <v/>
      </c>
      <c r="E710" s="46" t="inlineStr">
        <is>
          <t>U+2B820-U+2CEAF</t>
        </is>
      </c>
      <c r="F710" s="12" t="n">
        <v>4</v>
      </c>
      <c r="J710" s="19">
        <f>ROUNDDOWN(W710,0)/$V710</f>
        <v/>
      </c>
      <c r="K710" s="19">
        <f>ROUNDDOWN(X710,0)/$V710</f>
        <v/>
      </c>
      <c r="L710" s="19">
        <f>ROUNDDOWN(Y710,0)/$V710</f>
        <v/>
      </c>
      <c r="M710" s="19">
        <f>ROUNDDOWN(Z710,0)/$V710</f>
        <v/>
      </c>
      <c r="O710" s="36" t="inlineStr">
        <is>
          <t>𫸂 𫸃 𫸄 𫸅 𫸆 𫸇 𫸈 𫸉 𫸊 𫸋 𫸌 𫸍 𫸎 𫸏 𫸐 𫸑 𫸒 𫸓 𫸔 𫸕 𫸖 𫸗 𫸘 𫸙 𫸚 𫸛 𫸜 𫸝 𫸞 𫸟 𫸠 𫸡 𫸢 𫸣 𫸤 𫸥 𫸦 𫸧 𫸨 𫸩 𫸪 𫸫 𫸬 𫸭 𫸮 𫸯 𫸰 𫸱 𫸲 𫸳 𫸴 𫸵 𫸶 𫸷 𫸸 𫸹 𫸺 𫸻 𫸼 𫸽 𫸾 𫸿 𫹀 𫹁 𫹂 𫹃 𫹄 𫹅 𫹆 𫹇 𫹈 𫹉 𫹊 𫹋 𫹌 𫹍 𫹎 𫹏 𫹐 𫹑 𫹒 𫹓 𫹔 𫹕 𫹖 𫹗 𫹘 𫹙 𫹚 𫹛 𫹜 𫹝 𫹞 𫹟 𫹠 𫹡 𫹢 𫹣 𫹤 𫹥 𫹦 𫹧 𫹨 𫹩 𫹪 𫹫 𫹬 𫹭 𫹮 𫹯 𫹰 𫹱 𫹲 𫹳 𫹴 𫹵 𫹶 𫹷 𫹸 𫹹 𫹺 𫹻 𫹼 𫹽 𫹾 𫹿 𫺀 𫺁 𫺂 𫺃 𫺄 𫺅 𫺆 𫺇 𫺈 𫺉 𫺊 𫺋 𫺌 𫺍 𫺎 𫺏 𫺐 𫺑 𫺒 𫺓 𫺔 𫺕 𫺖 𫺗 𫺘 𫺙 𫺚 𫺛 𫺜 𫺝 𫺞 𫺟 𫺠 𫺡 𫺢 𫺣 𫺤 𫺥 𫺦 𫺧 𫺨 𫺩 𫺪 𫺫 𫺬 𫺭 𫺮 𫺯 𫺰 𫺱 𫺲 𫺳 𫺴 𫺵 𫺶 𫺷 𫺸 𫺹 𫺺 𫺻 𫺼 𫺽 𫺾 𫺿 𫻀 𫻁 𫻂 𫻃 𫻄 𫻅 𫻆 𫻇 𫻈 𫻉 𫻊 𫻋 𫻌 𫻍 𫻎 𫻏 𫻐 𫻑 𫻒 𫻓 𫻔 𫻕 𫻖 𫻗 𫻘 𫻙 𫻚 𫻛 𫻜 𫻝 𫻞 𫻟 𫻠 𫻡 𫻢 𫻣 𫻤 𫻥 𫻦 𫻧 𫻨 𫻩 𫻪 𫻫 𫻬 𫻭 𫻮 𫻯 𫻰 𫻱 𫻲 𫻳 𫻴 𫻵 𫻶 𫻷 𫻸 𫻹 𫻺 𫻻 𫻼</t>
        </is>
      </c>
      <c r="V710" s="14">
        <f>(LEN(O710)+1)/2</f>
        <v/>
      </c>
      <c r="W710" s="14">
        <f>ROUNDDOWN((LEN(P710)+1)/2,0)</f>
        <v/>
      </c>
      <c r="X710" s="14">
        <f>ROUNDDOWN((LEN(Q710)+1)/2,0)</f>
        <v/>
      </c>
      <c r="Y710" s="14">
        <f>ROUNDDOWN((LEN(R710)+1)/2,0)</f>
        <v/>
      </c>
      <c r="Z710" s="14">
        <f>ROUNDDOWN((LEN(S710)+1)/2,0)</f>
        <v/>
      </c>
    </row>
    <row r="711" ht="102" customHeight="1">
      <c r="B711" s="46" t="inlineStr">
        <is>
          <t>U+2BFF8-U+2C0F2</t>
        </is>
      </c>
      <c r="C711" s="46" t="inlineStr">
        <is>
          <t>CJK Unified Ideographs Extension E</t>
        </is>
      </c>
      <c r="D711" s="54">
        <f>HEX2DEC(MID(B711,3,FIND("-",E711)-3))</f>
        <v/>
      </c>
      <c r="E711" s="46" t="inlineStr">
        <is>
          <t>U+2B820-U+2CEAF</t>
        </is>
      </c>
      <c r="F711" s="12" t="n">
        <v>4</v>
      </c>
      <c r="J711" s="19">
        <f>ROUNDDOWN(W711,0)/$V711</f>
        <v/>
      </c>
      <c r="K711" s="19">
        <f>ROUNDDOWN(X711,0)/$V711</f>
        <v/>
      </c>
      <c r="L711" s="19">
        <f>ROUNDDOWN(Y711,0)/$V711</f>
        <v/>
      </c>
      <c r="M711" s="19">
        <f>ROUNDDOWN(Z711,0)/$V711</f>
        <v/>
      </c>
      <c r="O711" s="36" t="inlineStr">
        <is>
          <t>𫻽 𫻾 𫻿 𫼀 𫼁 𫼂 𫼃 𫼄 𫼅 𫼆 𫼇 𫼈 𫼉 𫼊 𫼋 𫼌 𫼍 𫼎 𫼏 𫼐 𫼑 𫼒 𫼓 𫼔 𫼕 𫼖 𫼗 𫼘 𫼙 𫼚 𫼛 𫼜 𫼝 𫼞 𫼟 𫼠 𫼡 𫼢 𫼣 𫼤 𫼥 𫼦 𫼧 𫼨 𫼩 𫼪 𫼫 𫼬 𫼭 𫼮 𫼯 𫼰 𫼱 𫼲 𫼳 𫼴 𫼵 𫼶 𫼷 𫼸 𫼹 𫼺 𫼻 𫼼 𫼽 𫼾 𫼿 𫽀 𫽁 𫽂 𫽃 𫽄 𫽅 𫽆 𫽇 𫽈 𫽉 𫽊 𫽋 𫽌 𫽍 𫽎 𫽏 𫽐 𫽑 𫽒 𫽓 𫽔 𫽕 𫽖 𫽗 𫽘 𫽙 𫽚 𫽛 𫽜 𫽝 𫽞 𫽟 𫽠 𫽡 𫽢 𫽣 𫽤 𫽥 𫽦 𫽧 𫽨 𫽩 𫽪 𫽫 𫽬 𫽭 𫽮 𫽯 𫽰 𫽱 𫽲 𫽳 𫽴 𫽵 𫽶 𫽷 𫽸 𫽹 𫽺 𫽻 𫽼 𫽽 𫽾 𫽿 𫾀 𫾁 𫾂 𫾃 𫾄 𫾅 𫾆 𫾇 𫾈 𫾉 𫾊 𫾋 𫾌 𫾍 𫾎 𫾏 𫾐 𫾑 𫾒 𫾓 𫾔 𫾕 𫾖 𫾗 𫾘 𫾙 𫾚 𫾛 𫾜 𫾝 𫾞 𫾟 𫾠 𫾡 𫾢 𫾣 𫾤 𫾥 𫾦 𫾧 𫾨 𫾩 𫾪 𫾫 𫾬 𫾭 𫾮 𫾯 𫾰 𫾱 𫾲 𫾳 𫾴 𫾵 𫾶 𫾷 𫾸 𫾹 𫾺 𫾻 𫾼 𫾽 𫾾 𫾿 𫿀 𫿁 𫿂 𫿃 𫿄 𫿅 𫿆 𫿇 𫿈 𫿉 𫿊 𫿋 𫿌 𫿍 𫿎 𫿏 𫿐 𫿑 𫿒 𫿓 𫿔 𫿕 𫿖 𫿗 𫿘 𫿙 𫿚 𫿛 𫿜 𫿝 𫿞 𫿟 𫿠 𫿡 𫿢 𫿣 𫿤 𫿥 𫿦 𫿧 𫿨 𫿩 𫿪 𫿫 𫿬 𫿭 𫿮 𫿯 𫿰 𫿱 𫿲 𫿳 𫿴 𫿵 𫿶 𫿷</t>
        </is>
      </c>
      <c r="V711" s="14">
        <f>(LEN(O711)+1)/2</f>
        <v/>
      </c>
      <c r="W711" s="14">
        <f>ROUNDDOWN((LEN(P711)+1)/2,0)</f>
        <v/>
      </c>
      <c r="X711" s="14">
        <f>ROUNDDOWN((LEN(Q711)+1)/2,0)</f>
        <v/>
      </c>
      <c r="Y711" s="14">
        <f>ROUNDDOWN((LEN(R711)+1)/2,0)</f>
        <v/>
      </c>
      <c r="Z711" s="14">
        <f>ROUNDDOWN((LEN(S711)+1)/2,0)</f>
        <v/>
      </c>
    </row>
    <row r="712" ht="102" customHeight="1">
      <c r="B712" s="46" t="inlineStr">
        <is>
          <t>U+2C0F3-U+2C1ED</t>
        </is>
      </c>
      <c r="C712" s="46" t="inlineStr">
        <is>
          <t>CJK Unified Ideographs Extension E</t>
        </is>
      </c>
      <c r="D712" s="54">
        <f>HEX2DEC(MID(B712,3,FIND("-",E712)-3))</f>
        <v/>
      </c>
      <c r="E712" s="46" t="inlineStr">
        <is>
          <t>U+2B820-U+2CEAF</t>
        </is>
      </c>
      <c r="F712" s="12" t="n">
        <v>4</v>
      </c>
      <c r="J712" s="19">
        <f>ROUNDDOWN(W712,0)/$V712</f>
        <v/>
      </c>
      <c r="K712" s="19">
        <f>ROUNDDOWN(X712,0)/$V712</f>
        <v/>
      </c>
      <c r="L712" s="19">
        <f>ROUNDDOWN(Y712,0)/$V712</f>
        <v/>
      </c>
      <c r="M712" s="19">
        <f>ROUNDDOWN(Z712,0)/$V712</f>
        <v/>
      </c>
      <c r="O712" s="36" t="inlineStr">
        <is>
          <t>𫿸 𫿹 𫿺 𫿻 𫿼 𫿽 𫿾 𫿿 𬀀 𬀁 𬀂 𬀃 𬀄 𬀅 𬀆 𬀇 𬀈 𬀉 𬀊 𬀋 𬀌 𬀍 𬀎 𬀏 𬀐 𬀑 𬀒 𬀓 𬀔 𬀕 𬀖 𬀗 𬀘 𬀙 𬀚 𬀛 𬀜 𬀝 𬀞 𬀟 𬀠 𬀡 𬀢 𬀣 𬀤 𬀥 𬀦 𬀧 𬀨 𬀩 𬀪 𬀫 𬀬 𬀭 𬀮 𬀯 𬀰 𬀱 𬀲 𬀳 𬀴 𬀵 𬀶 𬀷 𬀸 𬀹 𬀺 𬀻 𬀼 𬀽 𬀾 𬀿 𬁀 𬁁 𬁂 𬁃 𬁄 𬁅 𬁆 𬁇 𬁈 𬁉 𬁊 𬁋 𬁌 𬁍 𬁎 𬁏 𬁐 𬁑 𬁒 𬁓 𬁔 𬁕 𬁖 𬁗 𬁘 𬁙 𬁚 𬁛 𬁜 𬁝 𬁞 𬁟 𬁠 𬁡 𬁢 𬁣 𬁤 𬁥 𬁦 𬁧 𬁨 𬁩 𬁪 𬁫 𬁬 𬁭 𬁮 𬁯 𬁰 𬁱 𬁲 𬁳 𬁴 𬁵 𬁶 𬁷 𬁸 𬁹 𬁺 𬁻 𬁼 𬁽 𬁾 𬁿 𬂀 𬂁 𬂂 𬂃 𬂄 𬂅 𬂆 𬂇 𬂈 𬂉 𬂊 𬂋 𬂌 𬂍 𬂎 𬂏 𬂐 𬂑 𬂒 𬂓 𬂔 𬂕 𬂖 𬂗 𬂘 𬂙 𬂚 𬂛 𬂜 𬂝 𬂞 𬂟 𬂠 𬂡 𬂢 𬂣 𬂤 𬂥 𬂦 𬂧 𬂨 𬂩 𬂪 𬂫 𬂬 𬂭 𬂮 𬂯 𬂰 𬂱 𬂲 𬂳 𬂴 𬂵 𬂶 𬂷 𬂸 𬂹 𬂺 𬂻 𬂼 𬂽 𬂾 𬂿 𬃀 𬃁 𬃂 𬃃 𬃄 𬃅 𬃆 𬃇 𬃈 𬃉 𬃊 𬃋 𬃌 𬃍 𬃎 𬃏 𬃐 𬃑 𬃒 𬃓 𬃔 𬃕 𬃖 𬃗 𬃘 𬃙 𬃚 𬃛 𬃜 𬃝 𬃞 𬃟 𬃠 𬃡 𬃢 𬃣 𬃤 𬃥 𬃦 𬃧 𬃨 𬃩 𬃪 𬃫 𬃬 𬃭 𬃮 𬃯 𬃰 𬃱 𬃲</t>
        </is>
      </c>
      <c r="V712" s="14">
        <f>(LEN(O712)+1)/2</f>
        <v/>
      </c>
      <c r="W712" s="14">
        <f>ROUNDDOWN((LEN(P712)+1)/2,0)</f>
        <v/>
      </c>
      <c r="X712" s="14">
        <f>ROUNDDOWN((LEN(Q712)+1)/2,0)</f>
        <v/>
      </c>
      <c r="Y712" s="14">
        <f>ROUNDDOWN((LEN(R712)+1)/2,0)</f>
        <v/>
      </c>
      <c r="Z712" s="14">
        <f>ROUNDDOWN((LEN(S712)+1)/2,0)</f>
        <v/>
      </c>
    </row>
    <row r="713" ht="102" customHeight="1">
      <c r="B713" s="46" t="inlineStr">
        <is>
          <t>U+2C1EE-U+2C2E8</t>
        </is>
      </c>
      <c r="C713" s="46" t="inlineStr">
        <is>
          <t>CJK Unified Ideographs Extension E</t>
        </is>
      </c>
      <c r="D713" s="54">
        <f>HEX2DEC(MID(B713,3,FIND("-",E713)-3))</f>
        <v/>
      </c>
      <c r="E713" s="46" t="inlineStr">
        <is>
          <t>U+2B820-U+2CEAF</t>
        </is>
      </c>
      <c r="F713" s="12" t="n">
        <v>4</v>
      </c>
      <c r="J713" s="19">
        <f>ROUNDDOWN(W713,0)/$V713</f>
        <v/>
      </c>
      <c r="K713" s="19">
        <f>ROUNDDOWN(X713,0)/$V713</f>
        <v/>
      </c>
      <c r="L713" s="19">
        <f>ROUNDDOWN(Y713,0)/$V713</f>
        <v/>
      </c>
      <c r="M713" s="19">
        <f>ROUNDDOWN(Z713,0)/$V713</f>
        <v/>
      </c>
      <c r="O713" s="36" t="inlineStr">
        <is>
          <t>𬃳 𬃴 𬃵 𬃶 𬃷 𬃸 𬃹 𬃺 𬃻 𬃼 𬃽 𬃾 𬃿 𬄀 𬄁 𬄂 𬄃 𬄄 𬄅 𬄆 𬄇 𬄈 𬄉 𬄊 𬄋 𬄌 𬄍 𬄎 𬄏 𬄐 𬄑 𬄒 𬄓 𬄔 𬄕 𬄖 𬄗 𬄘 𬄙 𬄚 𬄛 𬄜 𬄝 𬄞 𬄟 𬄠 𬄡 𬄢 𬄣 𬄤 𬄥 𬄦 𬄧 𬄨 𬄩 𬄪 𬄫 𬄬 𬄭 𬄮 𬄯 𬄰 𬄱 𬄲 𬄳 𬄴 𬄵 𬄶 𬄷 𬄸 𬄹 𬄺 𬄻 𬄼 𬄽 𬄾 𬄿 𬅀 𬅁 𬅂 𬅃 𬅄 𬅅 𬅆 𬅇 𬅈 𬅉 𬅊 𬅋 𬅌 𬅍 𬅎 𬅏 𬅐 𬅑 𬅒 𬅓 𬅔 𬅕 𬅖 𬅗 𬅘 𬅙 𬅚 𬅛 𬅜 𬅝 𬅞 𬅟 𬅠 𬅡 𬅢 𬅣 𬅤 𬅥 𬅦 𬅧 𬅨 𬅩 𬅪 𬅫 𬅬 𬅭 𬅮 𬅯 𬅰 𬅱 𬅲 𬅳 𬅴 𬅵 𬅶 𬅷 𬅸 𬅹 𬅺 𬅻 𬅼 𬅽 𬅾 𬅿 𬆀 𬆁 𬆂 𬆃 𬆄 𬆅 𬆆 𬆇 𬆈 𬆉 𬆊 𬆋 𬆌 𬆍 𬆎 𬆏 𬆐 𬆑 𬆒 𬆓 𬆔 𬆕 𬆖 𬆗 𬆘 𬆙 𬆚 𬆛 𬆜 𬆝 𬆞 𬆟 𬆠 𬆡 𬆢 𬆣 𬆤 𬆥 𬆦 𬆧 𬆨 𬆩 𬆪 𬆫 𬆬 𬆭 𬆮 𬆯 𬆰 𬆱 𬆲 𬆳 𬆴 𬆵 𬆶 𬆷 𬆸 𬆹 𬆺 𬆻 𬆼 𬆽 𬆾 𬆿 𬇀 𬇁 𬇂 𬇃 𬇄 𬇅 𬇆 𬇇 𬇈 𬇉 𬇊 𬇋 𬇌 𬇍 𬇎 𬇏 𬇐 𬇑 𬇒 𬇓 𬇔 𬇕 𬇖 𬇗 𬇘 𬇙 𬇚 𬇛 𬇜 𬇝 𬇞 𬇟 𬇠 𬇡 𬇢 𬇣 𬇤 𬇥 𬇦 𬇧 𬇨 𬇩 𬇪 𬇫 𬇬 𬇭</t>
        </is>
      </c>
      <c r="V713" s="14">
        <f>(LEN(O713)+1)/2</f>
        <v/>
      </c>
      <c r="W713" s="14">
        <f>ROUNDDOWN((LEN(P713)+1)/2,0)</f>
        <v/>
      </c>
      <c r="X713" s="14">
        <f>ROUNDDOWN((LEN(Q713)+1)/2,0)</f>
        <v/>
      </c>
      <c r="Y713" s="14">
        <f>ROUNDDOWN((LEN(R713)+1)/2,0)</f>
        <v/>
      </c>
      <c r="Z713" s="14">
        <f>ROUNDDOWN((LEN(S713)+1)/2,0)</f>
        <v/>
      </c>
    </row>
    <row r="714" ht="102" customHeight="1">
      <c r="B714" s="46" t="inlineStr">
        <is>
          <t>U+2C2E9-U+2C3E3</t>
        </is>
      </c>
      <c r="C714" s="46" t="inlineStr">
        <is>
          <t>CJK Unified Ideographs Extension E</t>
        </is>
      </c>
      <c r="D714" s="54">
        <f>HEX2DEC(MID(B714,3,FIND("-",E714)-3))</f>
        <v/>
      </c>
      <c r="E714" s="46" t="inlineStr">
        <is>
          <t>U+2B820-U+2CEAF</t>
        </is>
      </c>
      <c r="F714" s="12" t="n">
        <v>4</v>
      </c>
      <c r="J714" s="19">
        <f>ROUNDDOWN(W714,0)/$V714</f>
        <v/>
      </c>
      <c r="K714" s="19">
        <f>ROUNDDOWN(X714,0)/$V714</f>
        <v/>
      </c>
      <c r="L714" s="19">
        <f>ROUNDDOWN(Y714,0)/$V714</f>
        <v/>
      </c>
      <c r="M714" s="19">
        <f>ROUNDDOWN(Z714,0)/$V714</f>
        <v/>
      </c>
      <c r="O714" s="36" t="inlineStr">
        <is>
          <t>𬇮 𬇯 𬇰 𬇱 𬇲 𬇳 𬇴 𬇵 𬇶 𬇷 𬇸 𬇹 𬇺 𬇻 𬇼 𬇽 𬇾 𬇿 𬈀 𬈁 𬈂 𬈃 𬈄 𬈅 𬈆 𬈇 𬈈 𬈉 𬈊 𬈋 𬈌 𬈍 𬈎 𬈏 𬈐 𬈑 𬈒 𬈓 𬈔 𬈕 𬈖 𬈗 𬈘 𬈙 𬈚 𬈛 𬈜 𬈝 𬈞 𬈟 𬈠 𬈡 𬈢 𬈣 𬈤 𬈥 𬈦 𬈧 𬈨 𬈩 𬈪 𬈫 𬈬 𬈭 𬈮 𬈯 𬈰 𬈱 𬈲 𬈳 𬈴 𬈵 𬈶 𬈷 𬈸 𬈹 𬈺 𬈻 𬈼 𬈽 𬈾 𬈿 𬉀 𬉁 𬉂 𬉃 𬉄 𬉅 𬉆 𬉇 𬉈 𬉉 𬉊 𬉋 𬉌 𬉍 𬉎 𬉏 𬉐 𬉑 𬉒 𬉓 𬉔 𬉕 𬉖 𬉗 𬉘 𬉙 𬉚 𬉛 𬉜 𬉝 𬉞 𬉟 𬉠 𬉡 𬉢 𬉣 𬉤 𬉥 𬉦 𬉧 𬉨 𬉩 𬉪 𬉫 𬉬 𬉭 𬉮 𬉯 𬉰 𬉱 𬉲 𬉳 𬉴 𬉵 𬉶 𬉷 𬉸 𬉹 𬉺 𬉻 𬉼 𬉽 𬉾 𬉿 𬊀 𬊁 𬊂 𬊃 𬊄 𬊅 𬊆 𬊇 𬊈 𬊉 𬊊 𬊋 𬊌 𬊍 𬊎 𬊏 𬊐 𬊑 𬊒 𬊓 𬊔 𬊕 𬊖 𬊗 𬊘 𬊙 𬊚 𬊛 𬊜 𬊝 𬊞 𬊟 𬊠 𬊡 𬊢 𬊣 𬊤 𬊥 𬊦 𬊧 𬊨 𬊩 𬊪 𬊫 𬊬 𬊭 𬊮 𬊯 𬊰 𬊱 𬊲 𬊳 𬊴 𬊵 𬊶 𬊷 𬊸 𬊹 𬊺 𬊻 𬊼 𬊽 𬊾 𬊿 𬋀 𬋁 𬋂 𬋃 𬋄 𬋅 𬋆 𬋇 𬋈 𬋉 𬋊 𬋋 𬋌 𬋍 𬋎 𬋏 𬋐 𬋑 𬋒 𬋓 𬋔 𬋕 𬋖 𬋗 𬋘 𬋙 𬋚 𬋛 𬋜 𬋝 𬋞 𬋟 𬋠 𬋡 𬋢 𬋣 𬋤 𬋥 𬋦 𬋧 𬋨</t>
        </is>
      </c>
      <c r="V714" s="14">
        <f>(LEN(O714)+1)/2</f>
        <v/>
      </c>
      <c r="W714" s="14">
        <f>ROUNDDOWN((LEN(P714)+1)/2,0)</f>
        <v/>
      </c>
      <c r="X714" s="14">
        <f>ROUNDDOWN((LEN(Q714)+1)/2,0)</f>
        <v/>
      </c>
      <c r="Y714" s="14">
        <f>ROUNDDOWN((LEN(R714)+1)/2,0)</f>
        <v/>
      </c>
      <c r="Z714" s="14">
        <f>ROUNDDOWN((LEN(S714)+1)/2,0)</f>
        <v/>
      </c>
    </row>
    <row r="715" ht="102" customHeight="1">
      <c r="B715" s="46" t="inlineStr">
        <is>
          <t>U+2C3E4-U+2C4DD</t>
        </is>
      </c>
      <c r="C715" s="46" t="inlineStr">
        <is>
          <t>CJK Unified Ideographs Extension E</t>
        </is>
      </c>
      <c r="D715" s="54">
        <f>HEX2DEC(MID(B715,3,FIND("-",E715)-3))</f>
        <v/>
      </c>
      <c r="E715" s="46" t="inlineStr">
        <is>
          <t>U+2B820-U+2CEAF</t>
        </is>
      </c>
      <c r="F715" s="12" t="n">
        <v>4</v>
      </c>
      <c r="J715" s="19">
        <f>ROUNDDOWN(W715,0)/$V715</f>
        <v/>
      </c>
      <c r="K715" s="19">
        <f>ROUNDDOWN(X715,0)/$V715</f>
        <v/>
      </c>
      <c r="L715" s="19">
        <f>ROUNDDOWN(Y715,0)/$V715</f>
        <v/>
      </c>
      <c r="M715" s="19">
        <f>ROUNDDOWN(Z715,0)/$V715</f>
        <v/>
      </c>
      <c r="O715" s="36" t="inlineStr">
        <is>
          <t>𬋩 𬋪 𬋫 𬋬 𬋭 𬋮 𬋯 𬋰 𬋱 𬋲 𬋳 𬋴 𬋵 𬋶 𬋷 𬋸 𬋹 𬋺 𬋻 𬋼 𬋽 𬋾 𬋿 𬌀 𬌁 𬌂 𬌃 𬌄 𬌅 𬌆 𬌇 𬌈 𬌉 𬌊 𬌋 𬌌 𬌍 𬌎 𬌏 𬌐 𬌑 𬌒 𬌓 𬌔 𬌕 𬌖 𬌗 𬌘 𬌙 𬌚 𬌛 𬌜 𬌝 𬌞 𬌟 𬌠 𬌡 𬌢 𬌣 𬌤 𬌥 𬌦 𬌧 𬌨 𬌩 𬌪 𬌫 𬌬 𬌭 𬌮 𬌯 𬌰 𬌱 𬌲 𬌳 𬌴 𬌵 𬌶 𬌷 𬌸 𬌹 𬌺 𬌻 𬌼 𬌽 𬌾 𬌿 𬍀 𬍁 𬍂 𬍃 𬍄 𬍅 𬍆 𬍇 𬍈 𬍉 𬍊 𬍋 𬍌 𬍍 𬍎 𬍏 𬍐 𬍑 𬍒 𬍓 𬍔 𬍕 𬍖 𬍗 𬍘 𬍙 𬍚 𬍛 𬍜 𬍝 𬍞 𬍟 𬍠 𬍡 𬍢 𬍣 𬍤 𬍥 𬍦 𬍧 𬍨 𬍩 𬍪 𬍫 𬍬 𬍭 𬍮 𬍯 𬍰 𬍱 𬍲 𬍳 𬍴 𬍵 𬍶 𬍷 𬍸 𬍹 𬍺 𬍻 𬍼 𬍽 𬍾 𬍿 𬎀 𬎁 𬎂 𬎃 𬎄 𬎅 𬎆 𬎇 𬎈 𬎉 𬎊 𬎋 𬎌 𬎍 𬎎 𬎏 𬎐 𬎑 𬎒 𬎓 𬎔 𬎕 𬎖 𬎗 𬎘 𬎙 𬎚 𬎛 𬎜 𬎝 𬎞 𬎟 𬎠 𬎡 𬎢 𬎣 𬎤 𬎥 𬎦 𬎧 𬎨 𬎩 𬎪 𬎫 𬎬 𬎭 𬎮 𬎯 𬎰 𬎱 𬎲 𬎳 𬎴 𬎵 𬎶 𬎷 𬎸 𬎹 𬎺 𬎻 𬎼 𬎽 𬎾 𬎿 𬏀 𬏁 𬏂 𬏃 𬏄 𬏅 𬏆 𬏇 𬏈 𬏉 𬏊 𬏋 𬏌 𬏍 𬏎 𬏏 𬏐 𬏑 𬏒 𬏓 𬏔 𬏕 𬏖 𬏗 𬏘 𬏙 𬏚 𬏛 𬏜 𬏝 𬏞 𬏟 𬏠 𬏡 𬏢 𬏣</t>
        </is>
      </c>
      <c r="V715" s="14">
        <f>(LEN(O715)+1)/2</f>
        <v/>
      </c>
      <c r="W715" s="14">
        <f>ROUNDDOWN((LEN(P715)+1)/2,0)</f>
        <v/>
      </c>
      <c r="X715" s="14">
        <f>ROUNDDOWN((LEN(Q715)+1)/2,0)</f>
        <v/>
      </c>
      <c r="Y715" s="14">
        <f>ROUNDDOWN((LEN(R715)+1)/2,0)</f>
        <v/>
      </c>
      <c r="Z715" s="14">
        <f>ROUNDDOWN((LEN(S715)+1)/2,0)</f>
        <v/>
      </c>
    </row>
    <row r="716" ht="102" customHeight="1">
      <c r="B716" s="46" t="inlineStr">
        <is>
          <t>U+2C4DE-U+2C5D7</t>
        </is>
      </c>
      <c r="C716" s="46" t="inlineStr">
        <is>
          <t>CJK Unified Ideographs Extension E</t>
        </is>
      </c>
      <c r="D716" s="54">
        <f>HEX2DEC(MID(B716,3,FIND("-",E716)-3))</f>
        <v/>
      </c>
      <c r="E716" s="46" t="inlineStr">
        <is>
          <t>U+2B820-U+2CEAF</t>
        </is>
      </c>
      <c r="F716" s="12" t="n">
        <v>4</v>
      </c>
      <c r="J716" s="19">
        <f>ROUNDDOWN(W716,0)/$V716</f>
        <v/>
      </c>
      <c r="K716" s="19">
        <f>ROUNDDOWN(X716,0)/$V716</f>
        <v/>
      </c>
      <c r="L716" s="19">
        <f>ROUNDDOWN(Y716,0)/$V716</f>
        <v/>
      </c>
      <c r="M716" s="19">
        <f>ROUNDDOWN(Z716,0)/$V716</f>
        <v/>
      </c>
      <c r="O716" s="36" t="inlineStr">
        <is>
          <t>𬏤 𬏥 𬏦 𬏧 𬏨 𬏩 𬏪 𬏫 𬏬 𬏭 𬏮 𬏯 𬏰 𬏱 𬏲 𬏳 𬏴 𬏵 𬏶 𬏷 𬏸 𬏹 𬏺 𬏻 𬏼 𬏽 𬏾 𬏿 𬐀 𬐁 𬐂 𬐃 𬐄 𬐅 𬐆 𬐇 𬐈 𬐉 𬐊 𬐋 𬐌 𬐍 𬐎 𬐏 𬐐 𬐑 𬐒 𬐓 𬐔 𬐕 𬐖 𬐗 𬐘 𬐙 𬐚 𬐛 𬐜 𬐝 𬐞 𬐟 𬐠 𬐡 𬐢 𬐣 𬐤 𬐥 𬐦 𬐧 𬐨 𬐩 𬐪 𬐫 𬐬 𬐭 𬐮 𬐯 𬐰 𬐱 𬐲 𬐳 𬐴 𬐵 𬐶 𬐷 𬐸 𬐹 𬐺 𬐻 𬐼 𬐽 𬐾 𬐿 𬑀 𬑁 𬑂 𬑃 𬑄 𬑅 𬑆 𬑇 𬑈 𬑉 𬑊 𬑋 𬑌 𬑍 𬑎 𬑏 𬑐 𬑑 𬑒 𬑓 𬑔 𬑕 𬑖 𬑗 𬑘 𬑙 𬑚 𬑛 𬑜 𬑝 𬑞 𬑟 𬑠 𬑡 𬑢 𬑣 𬑤 𬑥 𬑦 𬑧 𬑨 𬑩 𬑪 𬑫 𬑬 𬑭 𬑮 𬑯 𬑰 𬑱 𬑲 𬑳 𬑴 𬑵 𬑶 𬑷 𬑸 𬑹 𬑺 𬑻 𬑼 𬑽 𬑾 𬑿 𬒀 𬒁 𬒂 𬒃 𬒄 𬒅 𬒆 𬒇 𬒈 𬒉 𬒊 𬒋 𬒌 𬒍 𬒎 𬒏 𬒐 𬒑 𬒒 𬒓 𬒔 𬒕 𬒖 𬒗 𬒘 𬒙 𬒚 𬒛 𬒜 𬒝 𬒞 𬒟 𬒠 𬒡 𬒢 𬒣 𬒤 𬒥 𬒦 𬒧 𬒨 𬒩 𬒪 𬒫 𬒬 𬒭 𬒮 𬒯 𬒰 𬒱 𬒲 𬒳 𬒴 𬒵 𬒶 𬒷 𬒸 𬒹 𬒺 𬒻 𬒼 𬒽 𬒾 𬒿 𬓀 𬓁 𬓂 𬓃 𬓄 𬓅 𬓆 𬓇 𬓈 𬓉 𬓊 𬓋 𬓌 𬓍 𬓎 𬓏 𬓐 𬓑 𬓒 𬓓 𬓔 𬓕 𬓖 𬓗 𬓘 𬓙 𬓚 𬓛 𬓜 𬓝</t>
        </is>
      </c>
      <c r="V716" s="14">
        <f>(LEN(O716)+1)/2</f>
        <v/>
      </c>
      <c r="W716" s="14">
        <f>ROUNDDOWN((LEN(P716)+1)/2,0)</f>
        <v/>
      </c>
      <c r="X716" s="14">
        <f>ROUNDDOWN((LEN(Q716)+1)/2,0)</f>
        <v/>
      </c>
      <c r="Y716" s="14">
        <f>ROUNDDOWN((LEN(R716)+1)/2,0)</f>
        <v/>
      </c>
      <c r="Z716" s="14">
        <f>ROUNDDOWN((LEN(S716)+1)/2,0)</f>
        <v/>
      </c>
    </row>
    <row r="717" ht="102" customHeight="1">
      <c r="B717" s="46" t="inlineStr">
        <is>
          <t>U+2C5D8-U+2C6D1</t>
        </is>
      </c>
      <c r="C717" s="46" t="inlineStr">
        <is>
          <t>CJK Unified Ideographs Extension E</t>
        </is>
      </c>
      <c r="D717" s="54">
        <f>HEX2DEC(MID(B717,3,FIND("-",E717)-3))</f>
        <v/>
      </c>
      <c r="E717" s="46" t="inlineStr">
        <is>
          <t>U+2B820-U+2CEAF</t>
        </is>
      </c>
      <c r="F717" s="12" t="n">
        <v>4</v>
      </c>
      <c r="J717" s="19">
        <f>ROUNDDOWN(W717,0)/$V717</f>
        <v/>
      </c>
      <c r="K717" s="19">
        <f>ROUNDDOWN(X717,0)/$V717</f>
        <v/>
      </c>
      <c r="L717" s="19">
        <f>ROUNDDOWN(Y717,0)/$V717</f>
        <v/>
      </c>
      <c r="M717" s="19">
        <f>ROUNDDOWN(Z717,0)/$V717</f>
        <v/>
      </c>
      <c r="O717" s="36" t="inlineStr">
        <is>
          <t>𬓞 𬓟 𬓠 𬓡 𬓢 𬓣 𬓤 𬓥 𬓦 𬓧 𬓨 𬓩 𬓪 𬓫 𬓬 𬓭 𬓮 𬓯 𬓰 𬓱 𬓲 𬓳 𬓴 𬓵 𬓶 𬓷 𬓸 𬓹 𬓺 𬓻 𬓼 𬓽 𬓾 𬓿 𬔀 𬔁 𬔂 𬔃 𬔄 𬔅 𬔆 𬔇 𬔈 𬔉 𬔊 𬔋 𬔌 𬔍 𬔎 𬔏 𬔐 𬔑 𬔒 𬔓 𬔔 𬔕 𬔖 𬔗 𬔘 𬔙 𬔚 𬔛 𬔜 𬔝 𬔞 𬔟 𬔠 𬔡 𬔢 𬔣 𬔤 𬔥 𬔦 𬔧 𬔨 𬔩 𬔪 𬔫 𬔬 𬔭 𬔮 𬔯 𬔰 𬔱 𬔲 𬔳 𬔴 𬔵 𬔶 𬔷 𬔸 𬔹 𬔺 𬔻 𬔼 𬔽 𬔾 𬔿 𬕀 𬕁 𬕂 𬕃 𬕄 𬕅 𬕆 𬕇 𬕈 𬕉 𬕊 𬕋 𬕌 𬕍 𬕎 𬕏 𬕐 𬕑 𬕒 𬕓 𬕔 𬕕 𬕖 𬕗 𬕘 𬕙 𬕚 𬕛 𬕜 𬕝 𬕞 𬕟 𬕠 𬕡 𬕢 𬕣 𬕤 𬕥 𬕦 𬕧 𬕨 𬕩 𬕪 𬕫 𬕬 𬕭 𬕮 𬕯 𬕰 𬕱 𬕲 𬕳 𬕴 𬕵 𬕶 𬕷 𬕸 𬕹 𬕺 𬕻 𬕼 𬕽 𬕾 𬕿 𬖀 𬖁 𬖂 𬖃 𬖄 𬖅 𬖆 𬖇 𬖈 𬖉 𬖊 𬖋 𬖌 𬖍 𬖎 𬖏 𬖐 𬖑 𬖒 𬖓 𬖔 𬖕 𬖖 𬖗 𬖘 𬖙 𬖚 𬖛 𬖜 𬖝 𬖞 𬖟 𬖠 𬖡 𬖢 𬖣 𬖤 𬖥 𬖦 𬖧 𬖨 𬖩 𬖪 𬖫 𬖬 𬖭 𬖮 𬖯 𬖰 𬖱 𬖲 𬖳 𬖴 𬖵 𬖶 𬖷 𬖸 𬖹 𬖺 𬖻 𬖼 𬖽 𬖾 𬖿 𬗀 𬗁 𬗂 𬗃 𬗄 𬗅 𬗆 𬗇 𬗈 𬗉 𬗊 𬗋 𬗌 𬗍 𬗎 𬗏 𬗐 𬗑 𬗒 𬗓 𬗔 𬗕 𬗖 𬗗</t>
        </is>
      </c>
      <c r="V717" s="14">
        <f>(LEN(O717)+1)/2</f>
        <v/>
      </c>
      <c r="W717" s="14">
        <f>ROUNDDOWN((LEN(P717)+1)/2,0)</f>
        <v/>
      </c>
      <c r="X717" s="14">
        <f>ROUNDDOWN((LEN(Q717)+1)/2,0)</f>
        <v/>
      </c>
      <c r="Y717" s="14">
        <f>ROUNDDOWN((LEN(R717)+1)/2,0)</f>
        <v/>
      </c>
      <c r="Z717" s="14">
        <f>ROUNDDOWN((LEN(S717)+1)/2,0)</f>
        <v/>
      </c>
    </row>
    <row r="718" ht="102" customHeight="1">
      <c r="B718" s="46" t="inlineStr">
        <is>
          <t>U+2C6D2-U+2C7CB</t>
        </is>
      </c>
      <c r="C718" s="46" t="inlineStr">
        <is>
          <t>CJK Unified Ideographs Extension E</t>
        </is>
      </c>
      <c r="D718" s="54">
        <f>HEX2DEC(MID(B718,3,FIND("-",E718)-3))</f>
        <v/>
      </c>
      <c r="E718" s="46" t="inlineStr">
        <is>
          <t>U+2B820-U+2CEAF</t>
        </is>
      </c>
      <c r="F718" s="12" t="n">
        <v>4</v>
      </c>
      <c r="J718" s="19">
        <f>ROUNDDOWN(W718,0)/$V718</f>
        <v/>
      </c>
      <c r="K718" s="19">
        <f>ROUNDDOWN(X718,0)/$V718</f>
        <v/>
      </c>
      <c r="L718" s="19">
        <f>ROUNDDOWN(Y718,0)/$V718</f>
        <v/>
      </c>
      <c r="M718" s="19">
        <f>ROUNDDOWN(Z718,0)/$V718</f>
        <v/>
      </c>
      <c r="O718" s="36" t="inlineStr">
        <is>
          <t>𬗘 𬗙 𬗚 𬗛 𬗜 𬗝 𬗞 𬗟 𬗠 𬗡 𬗢 𬗣 𬗤 𬗥 𬗦 𬗧 𬗨 𬗩 𬗪 𬗫 𬗬 𬗭 𬗮 𬗯 𬗰 𬗱 𬗲 𬗳 𬗴 𬗵 𬗶 𬗷 𬗸 𬗹 𬗺 𬗻 𬗼 𬗽 𬗾 𬗿 𬘀 𬘁 𬘂 𬘃 𬘄 𬘅 𬘆 𬘇 𬘈 𬘉 𬘊 𬘋 𬘌 𬘍 𬘎 𬘏 𬘐 𬘑 𬘒 𬘓 𬘔 𬘕 𬘖 𬘗 𬘘 𬘙 𬘚 𬘛 𬘜 𬘝 𬘞 𬘟 𬘠 𬘡 𬘢 𬘣 𬘤 𬘥 𬘦 𬘧 𬘨 𬘩 𬘪 𬘫 𬘬 𬘭 𬘮 𬘯 𬘰 𬘱 𬘲 𬘳 𬘴 𬘵 𬘶 𬘷 𬘸 𬘹 𬘺 𬘻 𬘼 𬘽 𬘾 𬘿 𬙀 𬙁 𬙂 𬙃 𬙄 𬙅 𬙆 𬙇 𬙈 𬙉 𬙊 𬙋 𬙌 𬙍 𬙎 𬙏 𬙐 𬙑 𬙒 𬙓 𬙔 𬙕 𬙖 𬙗 𬙘 𬙙 𬙚 𬙛 𬙜 𬙝 𬙞 𬙟 𬙠 𬙡 𬙢 𬙣 𬙤 𬙥 𬙦 𬙧 𬙨 𬙩 𬙪 𬙫 𬙬 𬙭 𬙮 𬙯 𬙰 𬙱 𬙲 𬙳 𬙴 𬙵 𬙶 𬙷 𬙸 𬙹 𬙺 𬙻 𬙼 𬙽 𬙾 𬙿 𬚀 𬚁 𬚂 𬚃 𬚄 𬚅 𬚆 𬚇 𬚈 𬚉 𬚊 𬚋 𬚌 𬚍 𬚎 𬚏 𬚐 𬚑 𬚒 𬚓 𬚔 𬚕 𬚖 𬚗 𬚘 𬚙 𬚚 𬚛 𬚜 𬚝 𬚞 𬚟 𬚠 𬚡 𬚢 𬚣 𬚤 𬚥 𬚦 𬚧 𬚨 𬚩 𬚪 𬚫 𬚬 𬚭 𬚮 𬚯 𬚰 𬚱 𬚲 𬚳 𬚴 𬚵 𬚶 𬚷 𬚸 𬚹 𬚺 𬚻 𬚼 𬚽 𬚾 𬚿 𬛀 𬛁 𬛂 𬛃 𬛄 𬛅 𬛆 𬛇 𬛈 𬛉 𬛊 𬛋 𬛌 𬛍 𬛎 𬛏 𬛐 𬛑</t>
        </is>
      </c>
      <c r="V718" s="14">
        <f>(LEN(O718)+1)/2</f>
        <v/>
      </c>
      <c r="W718" s="14">
        <f>ROUNDDOWN((LEN(P718)+1)/2,0)</f>
        <v/>
      </c>
      <c r="X718" s="14">
        <f>ROUNDDOWN((LEN(Q718)+1)/2,0)</f>
        <v/>
      </c>
      <c r="Y718" s="14">
        <f>ROUNDDOWN((LEN(R718)+1)/2,0)</f>
        <v/>
      </c>
      <c r="Z718" s="14">
        <f>ROUNDDOWN((LEN(S718)+1)/2,0)</f>
        <v/>
      </c>
    </row>
    <row r="719" ht="102" customHeight="1">
      <c r="B719" s="46" t="inlineStr">
        <is>
          <t>U+2C7CC-U+2C8C5</t>
        </is>
      </c>
      <c r="C719" s="46" t="inlineStr">
        <is>
          <t>CJK Unified Ideographs Extension E</t>
        </is>
      </c>
      <c r="D719" s="54">
        <f>HEX2DEC(MID(B719,3,FIND("-",E719)-3))</f>
        <v/>
      </c>
      <c r="E719" s="46" t="inlineStr">
        <is>
          <t>U+2B820-U+2CEAF</t>
        </is>
      </c>
      <c r="F719" s="12" t="n">
        <v>4</v>
      </c>
      <c r="J719" s="19">
        <f>ROUNDDOWN(W719,0)/$V719</f>
        <v/>
      </c>
      <c r="K719" s="19">
        <f>ROUNDDOWN(X719,0)/$V719</f>
        <v/>
      </c>
      <c r="L719" s="19">
        <f>ROUNDDOWN(Y719,0)/$V719</f>
        <v/>
      </c>
      <c r="M719" s="19">
        <f>ROUNDDOWN(Z719,0)/$V719</f>
        <v/>
      </c>
      <c r="O719" s="36" t="inlineStr">
        <is>
          <t>𬛒 𬛓 𬛔 𬛕 𬛖 𬛗 𬛘 𬛙 𬛚 𬛛 𬛜 𬛝 𬛞 𬛟 𬛠 𬛡 𬛢 𬛣 𬛤 𬛥 𬛦 𬛧 𬛨 𬛩 𬛪 𬛫 𬛬 𬛭 𬛮 𬛯 𬛰 𬛱 𬛲 𬛳 𬛴 𬛵 𬛶 𬛷 𬛸 𬛹 𬛺 𬛻 𬛼 𬛽 𬛾 𬛿 𬜀 𬜁 𬜂 𬜃 𬜄 𬜅 𬜆 𬜇 𬜈 𬜉 𬜊 𬜋 𬜌 𬜍 𬜎 𬜏 𬜐 𬜑 𬜒 𬜓 𬜔 𬜕 𬜖 𬜗 𬜘 𬜙 𬜚 𬜛 𬜜 𬜝 𬜞 𬜟 𬜠 𬜡 𬜢 𬜣 𬜤 𬜥 𬜦 𬜧 𬜨 𬜩 𬜪 𬜫 𬜬 𬜭 𬜮 𬜯 𬜰 𬜱 𬜲 𬜳 𬜴 𬜵 𬜶 𬜷 𬜸 𬜹 𬜺 𬜻 𬜼 𬜽 𬜾 𬜿 𬝀 𬝁 𬝂 𬝃 𬝄 𬝅 𬝆 𬝇 𬝈 𬝉 𬝊 𬝋 𬝌 𬝍 𬝎 𬝏 𬝐 𬝑 𬝒 𬝓 𬝔 𬝕 𬝖 𬝗 𬝘 𬝙 𬝚 𬝛 𬝜 𬝝 𬝞 𬝟 𬝠 𬝡 𬝢 𬝣 𬝤 𬝥 𬝦 𬝧 𬝨 𬝩 𬝪 𬝫 𬝬 𬝭 𬝮 𬝯 𬝰 𬝱 𬝲 𬝳 𬝴 𬝵 𬝶 𬝷 𬝸 𬝹 𬝺 𬝻 𬝼 𬝽 𬝾 𬝿 𬞀 𬞁 𬞂 𬞃 𬞄 𬞅 𬞆 𬞇 𬞈 𬞉 𬞊 𬞋 𬞌 𬞍 𬞎 𬞏 𬞐 𬞑 𬞒 𬞓 𬞔 𬞕 𬞖 𬞗 𬞘 𬞙 𬞚 𬞛 𬞜 𬞝 𬞞 𬞟 𬞠 𬞡 𬞢 𬞣 𬞤 𬞥 𬞦 𬞧 𬞨 𬞩 𬞪 𬞫 𬞬 𬞭 𬞮 𬞯 𬞰 𬞱 𬞲 𬞳 𬞴 𬞵 𬞶 𬞷 𬞸 𬞹 𬞺 𬞻 𬞼 𬞽 𬞾 𬞿 𬟀 𬟁 𬟂 𬟃 𬟄 𬟅 𬟆 𬟇 𬟈 𬟉 𬟊 𬟋</t>
        </is>
      </c>
      <c r="V719" s="14">
        <f>(LEN(O719)+1)/2</f>
        <v/>
      </c>
      <c r="W719" s="14">
        <f>ROUNDDOWN((LEN(P719)+1)/2,0)</f>
        <v/>
      </c>
      <c r="X719" s="14">
        <f>ROUNDDOWN((LEN(Q719)+1)/2,0)</f>
        <v/>
      </c>
      <c r="Y719" s="14">
        <f>ROUNDDOWN((LEN(R719)+1)/2,0)</f>
        <v/>
      </c>
      <c r="Z719" s="14">
        <f>ROUNDDOWN((LEN(S719)+1)/2,0)</f>
        <v/>
      </c>
    </row>
    <row r="720" ht="102" customHeight="1">
      <c r="B720" s="46" t="inlineStr">
        <is>
          <t>U+2C8C6-U+2C9BF</t>
        </is>
      </c>
      <c r="C720" s="46" t="inlineStr">
        <is>
          <t>CJK Unified Ideographs Extension E</t>
        </is>
      </c>
      <c r="D720" s="54">
        <f>HEX2DEC(MID(B720,3,FIND("-",E720)-3))</f>
        <v/>
      </c>
      <c r="E720" s="46" t="inlineStr">
        <is>
          <t>U+2B820-U+2CEAF</t>
        </is>
      </c>
      <c r="F720" s="12" t="n">
        <v>4</v>
      </c>
      <c r="J720" s="19">
        <f>ROUNDDOWN(W720,0)/$V720</f>
        <v/>
      </c>
      <c r="K720" s="19">
        <f>ROUNDDOWN(X720,0)/$V720</f>
        <v/>
      </c>
      <c r="L720" s="19">
        <f>ROUNDDOWN(Y720,0)/$V720</f>
        <v/>
      </c>
      <c r="M720" s="19">
        <f>ROUNDDOWN(Z720,0)/$V720</f>
        <v/>
      </c>
      <c r="O720" s="36" t="inlineStr">
        <is>
          <t>𬟌 𬟍 𬟎 𬟏 𬟐 𬟑 𬟒 𬟓 𬟔 𬟕 𬟖 𬟗 𬟘 𬟙 𬟚 𬟛 𬟜 𬟝 𬟞 𬟟 𬟠 𬟡 𬟢 𬟣 𬟤 𬟥 𬟦 𬟧 𬟨 𬟩 𬟪 𬟫 𬟬 𬟭 𬟮 𬟯 𬟰 𬟱 𬟲 𬟳 𬟴 𬟵 𬟶 𬟷 𬟸 𬟹 𬟺 𬟻 𬟼 𬟽 𬟾 𬟿 𬠀 𬠁 𬠂 𬠃 𬠄 𬠅 𬠆 𬠇 𬠈 𬠉 𬠊 𬠋 𬠌 𬠍 𬠎 𬠏 𬠐 𬠑 𬠒 𬠓 𬠔 𬠕 𬠖 𬠗 𬠘 𬠙 𬠚 𬠛 𬠜 𬠝 𬠞 𬠟 𬠠 𬠡 𬠢 𬠣 𬠤 𬠥 𬠦 𬠧 𬠨 𬠩 𬠪 𬠫 𬠬 𬠭 𬠮 𬠯 𬠰 𬠱 𬠲 𬠳 𬠴 𬠵 𬠶 𬠷 𬠸 𬠹 𬠺 𬠻 𬠼 𬠽 𬠾 𬠿 𬡀 𬡁 𬡂 𬡃 𬡄 𬡅 𬡆 𬡇 𬡈 𬡉 𬡊 𬡋 𬡌 𬡍 𬡎 𬡏 𬡐 𬡑 𬡒 𬡓 𬡔 𬡕 𬡖 𬡗 𬡘 𬡙 𬡚 𬡛 𬡜 𬡝 𬡞 𬡟 𬡠 𬡡 𬡢 𬡣 𬡤 𬡥 𬡦 𬡧 𬡨 𬡩 𬡪 𬡫 𬡬 𬡭 𬡮 𬡯 𬡰 𬡱 𬡲 𬡳 𬡴 𬡵 𬡶 𬡷 𬡸 𬡹 𬡺 𬡻 𬡼 𬡽 𬡾 𬡿 𬢀 𬢁 𬢂 𬢃 𬢄 𬢅 𬢆 𬢇 𬢈 𬢉 𬢊 𬢋 𬢌 𬢍 𬢎 𬢏 𬢐 𬢑 𬢒 𬢓 𬢔 𬢕 𬢖 𬢗 𬢘 𬢙 𬢚 𬢛 𬢜 𬢝 𬢞 𬢟 𬢠 𬢡 𬢢 𬢣 𬢤 𬢥 𬢦 𬢧 𬢨 𬢩 𬢪 𬢫 𬢬 𬢭 𬢮 𬢯 𬢰 𬢱 𬢲 𬢳 𬢴 𬢵 𬢶 𬢷 𬢸 𬢹 𬢺 𬢻 𬢼 𬢽 𬢾 𬢿 𬣀 𬣁 𬣂 𬣃 𬣄 𬣅</t>
        </is>
      </c>
      <c r="V720" s="14">
        <f>(LEN(O720)+1)/2</f>
        <v/>
      </c>
      <c r="W720" s="14">
        <f>ROUNDDOWN((LEN(P720)+1)/2,0)</f>
        <v/>
      </c>
      <c r="X720" s="14">
        <f>ROUNDDOWN((LEN(Q720)+1)/2,0)</f>
        <v/>
      </c>
      <c r="Y720" s="14">
        <f>ROUNDDOWN((LEN(R720)+1)/2,0)</f>
        <v/>
      </c>
      <c r="Z720" s="14">
        <f>ROUNDDOWN((LEN(S720)+1)/2,0)</f>
        <v/>
      </c>
    </row>
    <row r="721" ht="102" customHeight="1">
      <c r="B721" s="46" t="inlineStr">
        <is>
          <t>U+2C9C0-U+2CAB9</t>
        </is>
      </c>
      <c r="C721" s="46" t="inlineStr">
        <is>
          <t>CJK Unified Ideographs Extension E</t>
        </is>
      </c>
      <c r="D721" s="54">
        <f>HEX2DEC(MID(B721,3,FIND("-",E721)-3))</f>
        <v/>
      </c>
      <c r="E721" s="46" t="inlineStr">
        <is>
          <t>U+2B820-U+2CEAF</t>
        </is>
      </c>
      <c r="F721" s="12" t="n">
        <v>4</v>
      </c>
      <c r="J721" s="19">
        <f>ROUNDDOWN(W721,0)/$V721</f>
        <v/>
      </c>
      <c r="K721" s="19">
        <f>ROUNDDOWN(X721,0)/$V721</f>
        <v/>
      </c>
      <c r="L721" s="19">
        <f>ROUNDDOWN(Y721,0)/$V721</f>
        <v/>
      </c>
      <c r="M721" s="19">
        <f>ROUNDDOWN(Z721,0)/$V721</f>
        <v/>
      </c>
      <c r="O721" s="36" t="inlineStr">
        <is>
          <t>𬣆 𬣇 𬣈 𬣉 𬣊 𬣋 𬣌 𬣍 𬣎 𬣏 𬣐 𬣑 𬣒 𬣓 𬣔 𬣕 𬣖 𬣗 𬣘 𬣙 𬣚 𬣛 𬣜 𬣝 𬣞 𬣟 𬣠 𬣡 𬣢 𬣣 𬣤 𬣥 𬣦 𬣧 𬣨 𬣩 𬣪 𬣫 𬣬 𬣭 𬣮 𬣯 𬣰 𬣱 𬣲 𬣳 𬣴 𬣵 𬣶 𬣷 𬣸 𬣹 𬣺 𬣻 𬣼 𬣽 𬣾 𬣿 𬤀 𬤁 𬤂 𬤃 𬤄 𬤅 𬤆 𬤇 𬤈 𬤉 𬤊 𬤋 𬤌 𬤍 𬤎 𬤏 𬤐 𬤑 𬤒 𬤓 𬤔 𬤕 𬤖 𬤗 𬤘 𬤙 𬤚 𬤛 𬤜 𬤝 𬤞 𬤟 𬤠 𬤡 𬤢 𬤣 𬤤 𬤥 𬤦 𬤧 𬤨 𬤩 𬤪 𬤫 𬤬 𬤭 𬤮 𬤯 𬤰 𬤱 𬤲 𬤳 𬤴 𬤵 𬤶 𬤷 𬤸 𬤹 𬤺 𬤻 𬤼 𬤽 𬤾 𬤿 𬥀 𬥁 𬥂 𬥃 𬥄 𬥅 𬥆 𬥇 𬥈 𬥉 𬥊 𬥋 𬥌 𬥍 𬥎 𬥏 𬥐 𬥑 𬥒 𬥓 𬥔 𬥕 𬥖 𬥗 𬥘 𬥙 𬥚 𬥛 𬥜 𬥝 𬥞 𬥟 𬥠 𬥡 𬥢 𬥣 𬥤 𬥥 𬥦 𬥧 𬥨 𬥩 𬥪 𬥫 𬥬 𬥭 𬥮 𬥯 𬥰 𬥱 𬥲 𬥳 𬥴 𬥵 𬥶 𬥷 𬥸 𬥹 𬥺 𬥻 𬥼 𬥽 𬥾 𬥿 𬦀 𬦁 𬦂 𬦃 𬦄 𬦅 𬦆 𬦇 𬦈 𬦉 𬦊 𬦋 𬦌 𬦍 𬦎 𬦏 𬦐 𬦑 𬦒 𬦓 𬦔 𬦕 𬦖 𬦗 𬦘 𬦙 𬦚 𬦛 𬦜 𬦝 𬦞 𬦟 𬦠 𬦡 𬦢 𬦣 𬦤 𬦥 𬦦 𬦧 𬦨 𬦩 𬦪 𬦫 𬦬 𬦭 𬦮 𬦯 𬦰 𬦱 𬦲 𬦳 𬦴 𬦵 𬦶 𬦷 𬦸 𬦹 𬦺 𬦻 𬦼 𬦽 𬦾 𬦿</t>
        </is>
      </c>
      <c r="V721" s="14">
        <f>(LEN(O721)+1)/2</f>
        <v/>
      </c>
      <c r="W721" s="14">
        <f>ROUNDDOWN((LEN(P721)+1)/2,0)</f>
        <v/>
      </c>
      <c r="X721" s="14">
        <f>ROUNDDOWN((LEN(Q721)+1)/2,0)</f>
        <v/>
      </c>
      <c r="Y721" s="14">
        <f>ROUNDDOWN((LEN(R721)+1)/2,0)</f>
        <v/>
      </c>
      <c r="Z721" s="14">
        <f>ROUNDDOWN((LEN(S721)+1)/2,0)</f>
        <v/>
      </c>
    </row>
    <row r="722" ht="102" customHeight="1">
      <c r="B722" s="46" t="inlineStr">
        <is>
          <t>U+2CABA-U+2CBB3</t>
        </is>
      </c>
      <c r="C722" s="46" t="inlineStr">
        <is>
          <t>CJK Unified Ideographs Extension E</t>
        </is>
      </c>
      <c r="D722" s="54">
        <f>HEX2DEC(MID(B722,3,FIND("-",E722)-3))</f>
        <v/>
      </c>
      <c r="E722" s="46" t="inlineStr">
        <is>
          <t>U+2B820-U+2CEAF</t>
        </is>
      </c>
      <c r="F722" s="12" t="n">
        <v>4</v>
      </c>
      <c r="J722" s="19">
        <f>ROUNDDOWN(W722,0)/$V722</f>
        <v/>
      </c>
      <c r="K722" s="19">
        <f>ROUNDDOWN(X722,0)/$V722</f>
        <v/>
      </c>
      <c r="L722" s="19">
        <f>ROUNDDOWN(Y722,0)/$V722</f>
        <v/>
      </c>
      <c r="M722" s="19">
        <f>ROUNDDOWN(Z722,0)/$V722</f>
        <v/>
      </c>
      <c r="O722" s="36" t="inlineStr">
        <is>
          <t>𬧀 𬧁 𬧂 𬧃 𬧄 𬧅 𬧆 𬧇 𬧈 𬧉 𬧊 𬧋 𬧌 𬧍 𬧎 𬧏 𬧐 𬧑 𬧒 𬧓 𬧔 𬧕 𬧖 𬧗 𬧘 𬧙 𬧚 𬧛 𬧜 𬧝 𬧞 𬧟 𬧠 𬧡 𬧢 𬧣 𬧤 𬧥 𬧦 𬧧 𬧨 𬧩 𬧪 𬧫 𬧬 𬧭 𬧮 𬧯 𬧰 𬧱 𬧲 𬧳 𬧴 𬧵 𬧶 𬧷 𬧸 𬧹 𬧺 𬧻 𬧼 𬧽 𬧾 𬧿 𬨀 𬨁 𬨂 𬨃 𬨄 𬨅 𬨆 𬨇 𬨈 𬨉 𬨊 𬨋 𬨌 𬨍 𬨎 𬨏 𬨐 𬨑 𬨒 𬨓 𬨔 𬨕 𬨖 𬨗 𬨘 𬨙 𬨚 𬨛 𬨜 𬨝 𬨞 𬨟 𬨠 𬨡 𬨢 𬨣 𬨤 𬨥 𬨦 𬨧 𬨨 𬨩 𬨪 𬨫 𬨬 𬨭 𬨮 𬨯 𬨰 𬨱 𬨲 𬨳 𬨴 𬨵 𬨶 𬨷 𬨸 𬨹 𬨺 𬨻 𬨼 𬨽 𬨾 𬨿 𬩀 𬩁 𬩂 𬩃 𬩄 𬩅 𬩆 𬩇 𬩈 𬩉 𬩊 𬩋 𬩌 𬩍 𬩎 𬩏 𬩐 𬩑 𬩒 𬩓 𬩔 𬩕 𬩖 𬩗 𬩘 𬩙 𬩚 𬩛 𬩜 𬩝 𬩞 𬩟 𬩠 𬩡 𬩢 𬩣 𬩤 𬩥 𬩦 𬩧 𬩨 𬩩 𬩪 𬩫 𬩬 𬩭 𬩮 𬩯 𬩰 𬩱 𬩲 𬩳 𬩴 𬩵 𬩶 𬩷 𬩸 𬩹 𬩺 𬩻 𬩼 𬩽 𬩾 𬩿 𬪀 𬪁 𬪂 𬪃 𬪄 𬪅 𬪆 𬪇 𬪈 𬪉 𬪊 𬪋 𬪌 𬪍 𬪎 𬪏 𬪐 𬪑 𬪒 𬪓 𬪔 𬪕 𬪖 𬪗 𬪘 𬪙 𬪚 𬪛 𬪜 𬪝 𬪞 𬪟 𬪠 𬪡 𬪢 𬪣 𬪤 𬪥 𬪦 𬪧 𬪨 𬪩 𬪪 𬪫 𬪬 𬪭 𬪮 𬪯 𬪰 𬪱 𬪲 𬪳 𬪴 𬪵 𬪶 𬪷 𬪸 𬪹</t>
        </is>
      </c>
      <c r="V722" s="14">
        <f>(LEN(O722)+1)/2</f>
        <v/>
      </c>
      <c r="W722" s="14">
        <f>ROUNDDOWN((LEN(P722)+1)/2,0)</f>
        <v/>
      </c>
      <c r="X722" s="14">
        <f>ROUNDDOWN((LEN(Q722)+1)/2,0)</f>
        <v/>
      </c>
      <c r="Y722" s="14">
        <f>ROUNDDOWN((LEN(R722)+1)/2,0)</f>
        <v/>
      </c>
      <c r="Z722" s="14">
        <f>ROUNDDOWN((LEN(S722)+1)/2,0)</f>
        <v/>
      </c>
    </row>
    <row r="723" ht="102" customHeight="1">
      <c r="B723" s="46" t="inlineStr">
        <is>
          <t>U+2CBB4-U+2CCAD</t>
        </is>
      </c>
      <c r="C723" s="46" t="inlineStr">
        <is>
          <t>CJK Unified Ideographs Extension E</t>
        </is>
      </c>
      <c r="D723" s="54">
        <f>HEX2DEC(MID(B723,3,FIND("-",E723)-3))</f>
        <v/>
      </c>
      <c r="E723" s="46" t="inlineStr">
        <is>
          <t>U+2B820-U+2CEAF</t>
        </is>
      </c>
      <c r="F723" s="12" t="n">
        <v>4</v>
      </c>
      <c r="J723" s="19">
        <f>ROUNDDOWN(W723,0)/$V723</f>
        <v/>
      </c>
      <c r="K723" s="19">
        <f>ROUNDDOWN(X723,0)/$V723</f>
        <v/>
      </c>
      <c r="L723" s="19">
        <f>ROUNDDOWN(Y723,0)/$V723</f>
        <v/>
      </c>
      <c r="M723" s="19">
        <f>ROUNDDOWN(Z723,0)/$V723</f>
        <v/>
      </c>
      <c r="O723" s="36" t="inlineStr">
        <is>
          <t>𬪺 𬪻 𬪼 𬪽 𬪾 𬪿 𬫀 𬫁 𬫂 𬫃 𬫄 𬫅 𬫆 𬫇 𬫈 𬫉 𬫊 𬫋 𬫌 𬫍 𬫎 𬫏 𬫐 𬫑 𬫒 𬫓 𬫔 𬫕 𬫖 𬫗 𬫘 𬫙 𬫚 𬫛 𬫜 𬫝 𬫞 𬫟 𬫠 𬫡 𬫢 𬫣 𬫤 𬫥 𬫦 𬫧 𬫨 𬫩 𬫪 𬫫 𬫬 𬫭 𬫮 𬫯 𬫰 𬫱 𬫲 𬫳 𬫴 𬫵 𬫶 𬫷 𬫸 𬫹 𬫺 𬫻 𬫼 𬫽 𬫾 𬫿 𬬀 𬬁 𬬂 𬬃 𬬄 𬬅 𬬆 𬬇 𬬈 𬬉 𬬊 𬬋 𬬌 𬬍 𬬎 𬬏 𬬐 𬬑 𬬒 𬬓 𬬔 𬬕 𬬖 𬬗 𬬘 𬬙 𬬚 𬬛 𬬜 𬬝 𬬞 𬬟 𬬠 𬬡 𬬢 𬬣 𬬤 𬬥 𬬦 𬬧 𬬨 𬬩 𬬪 𬬫 𬬬 𬬭 𬬮 𬬯 𬬰 𬬱 𬬲 𬬳 𬬴 𬬵 𬬶 𬬷 𬬸 𬬹 𬬺 𬬻 𬬼 𬬽 𬬾 𬬿 𬭀 𬭁 𬭂 𬭃 𬭄 𬭅 𬭆 𬭇 𬭈 𬭉 𬭊 𬭋 𬭌 𬭍 𬭎 𬭏 𬭐 𬭑 𬭒 𬭓 𬭔 𬭕 𬭖 𬭗 𬭘 𬭙 𬭚 𬭛 𬭜 𬭝 𬭞 𬭟 𬭠 𬭡 𬭢 𬭣 𬭤 𬭥 𬭦 𬭧 𬭨 𬭩 𬭪 𬭫 𬭬 𬭭 𬭮 𬭯 𬭰 𬭱 𬭲 𬭳 𬭴 𬭵 𬭶 𬭷 𬭸 𬭹 𬭺 𬭻 𬭼 𬭽 𬭾 𬭿 𬮀 𬮁 𬮂 𬮃 𬮄 𬮅 𬮆 𬮇 𬮈 𬮉 𬮊 𬮋 𬮌 𬮍 𬮎 𬮏 𬮐 𬮑 𬮒 𬮓 𬮔 𬮕 𬮖 𬮗 𬮘 𬮙 𬮚 𬮛 𬮜 𬮝 𬮞 𬮟 𬮠 𬮡 𬮢 𬮣 𬮤 𬮥 𬮦 𬮧 𬮨 𬮩 𬮪 𬮫 𬮬 𬮭 𬮮 𬮯 𬮰 𬮱 𬮲 𬮳</t>
        </is>
      </c>
      <c r="V723" s="14">
        <f>(LEN(O723)+1)/2</f>
        <v/>
      </c>
      <c r="W723" s="14">
        <f>ROUNDDOWN((LEN(P723)+1)/2,0)</f>
        <v/>
      </c>
      <c r="X723" s="14">
        <f>ROUNDDOWN((LEN(Q723)+1)/2,0)</f>
        <v/>
      </c>
      <c r="Y723" s="14">
        <f>ROUNDDOWN((LEN(R723)+1)/2,0)</f>
        <v/>
      </c>
      <c r="Z723" s="14">
        <f>ROUNDDOWN((LEN(S723)+1)/2,0)</f>
        <v/>
      </c>
    </row>
    <row r="724" ht="102" customHeight="1">
      <c r="B724" s="46" t="inlineStr">
        <is>
          <t>U+2CCAE-U+2CDA7</t>
        </is>
      </c>
      <c r="C724" s="46" t="inlineStr">
        <is>
          <t>CJK Unified Ideographs Extension E</t>
        </is>
      </c>
      <c r="D724" s="54">
        <f>HEX2DEC(MID(B724,3,FIND("-",E724)-3))</f>
        <v/>
      </c>
      <c r="E724" s="46" t="inlineStr">
        <is>
          <t>U+2B820-U+2CEAF</t>
        </is>
      </c>
      <c r="F724" s="12" t="n">
        <v>4</v>
      </c>
      <c r="J724" s="19">
        <f>ROUNDDOWN(W724,0)/$V724</f>
        <v/>
      </c>
      <c r="K724" s="19">
        <f>ROUNDDOWN(X724,0)/$V724</f>
        <v/>
      </c>
      <c r="L724" s="19">
        <f>ROUNDDOWN(Y724,0)/$V724</f>
        <v/>
      </c>
      <c r="M724" s="19">
        <f>ROUNDDOWN(Z724,0)/$V724</f>
        <v/>
      </c>
      <c r="O724" s="36" t="inlineStr">
        <is>
          <t>𬮴 𬮵 𬮶 𬮷 𬮸 𬮹 𬮺 𬮻 𬮼 𬮽 𬮾 𬮿 𬯀 𬯁 𬯂 𬯃 𬯄 𬯅 𬯆 𬯇 𬯈 𬯉 𬯊 𬯋 𬯌 𬯍 𬯎 𬯏 𬯐 𬯑 𬯒 𬯓 𬯔 𬯕 𬯖 𬯗 𬯘 𬯙 𬯚 𬯛 𬯜 𬯝 𬯞 𬯟 𬯠 𬯡 𬯢 𬯣 𬯤 𬯥 𬯦 𬯧 𬯨 𬯩 𬯪 𬯫 𬯬 𬯭 𬯮 𬯯 𬯰 𬯱 𬯲 𬯳 𬯴 𬯵 𬯶 𬯷 𬯸 𬯹 𬯺 𬯻 𬯼 𬯽 𬯾 𬯿 𬰀 𬰁 𬰂 𬰃 𬰄 𬰅 𬰆 𬰇 𬰈 𬰉 𬰊 𬰋 𬰌 𬰍 𬰎 𬰏 𬰐 𬰑 𬰒 𬰓 𬰔 𬰕 𬰖 𬰗 𬰘 𬰙 𬰚 𬰛 𬰜 𬰝 𬰞 𬰟 𬰠 𬰡 𬰢 𬰣 𬰤 𬰥 𬰦 𬰧 𬰨 𬰩 𬰪 𬰫 𬰬 𬰭 𬰮 𬰯 𬰰 𬰱 𬰲 𬰳 𬰴 𬰵 𬰶 𬰷 𬰸 𬰹 𬰺 𬰻 𬰼 𬰽 𬰾 𬰿 𬱀 𬱁 𬱂 𬱃 𬱄 𬱅 𬱆 𬱇 𬱈 𬱉 𬱊 𬱋 𬱌 𬱍 𬱎 𬱏 𬱐 𬱑 𬱒 𬱓 𬱔 𬱕 𬱖 𬱗 𬱘 𬱙 𬱚 𬱛 𬱜 𬱝 𬱞 𬱟 𬱠 𬱡 𬱢 𬱣 𬱤 𬱥 𬱦 𬱧 𬱨 𬱩 𬱪 𬱫 𬱬 𬱭 𬱮 𬱯 𬱰 𬱱 𬱲 𬱳 𬱴 𬱵 𬱶 𬱷 𬱸 𬱹 𬱺 𬱻 𬱼 𬱽 𬱾 𬱿 𬲀 𬲁 𬲂 𬲃 𬲄 𬲅 𬲆 𬲇 𬲈 𬲉 𬲊 𬲋 𬲌 𬲍 𬲎 𬲏 𬲐 𬲑 𬲒 𬲓 𬲔 𬲕 𬲖 𬲗 𬲘 𬲙 𬲚 𬲛 𬲜 𬲝 𬲞 𬲟 𬲠 𬲡 𬲢 𬲣 𬲤 𬲥 𬲦 𬲧 𬲨 𬲩 𬲪 𬲫 𬲬 𬲭</t>
        </is>
      </c>
      <c r="V724" s="14">
        <f>(LEN(O724)+1)/2</f>
        <v/>
      </c>
      <c r="W724" s="14">
        <f>ROUNDDOWN((LEN(P724)+1)/2,0)</f>
        <v/>
      </c>
      <c r="X724" s="14">
        <f>ROUNDDOWN((LEN(Q724)+1)/2,0)</f>
        <v/>
      </c>
      <c r="Y724" s="14">
        <f>ROUNDDOWN((LEN(R724)+1)/2,0)</f>
        <v/>
      </c>
      <c r="Z724" s="14">
        <f>ROUNDDOWN((LEN(S724)+1)/2,0)</f>
        <v/>
      </c>
    </row>
    <row r="725" ht="102" customHeight="1">
      <c r="B725" s="46" t="inlineStr">
        <is>
          <t>U+2CDA8-U+2CEA1</t>
        </is>
      </c>
      <c r="C725" s="46" t="inlineStr">
        <is>
          <t>CJK Unified Ideographs Extension E</t>
        </is>
      </c>
      <c r="D725" s="54">
        <f>HEX2DEC(MID(B725,3,FIND("-",E725)-3))</f>
        <v/>
      </c>
      <c r="E725" s="46" t="inlineStr">
        <is>
          <t>U+2B820-U+2CEAF</t>
        </is>
      </c>
      <c r="F725" s="12" t="n">
        <v>4</v>
      </c>
      <c r="J725" s="19">
        <f>ROUNDDOWN(W725,0)/$V725</f>
        <v/>
      </c>
      <c r="K725" s="19">
        <f>ROUNDDOWN(X725,0)/$V725</f>
        <v/>
      </c>
      <c r="L725" s="19">
        <f>ROUNDDOWN(Y725,0)/$V725</f>
        <v/>
      </c>
      <c r="M725" s="19">
        <f>ROUNDDOWN(Z725,0)/$V725</f>
        <v/>
      </c>
      <c r="O725" s="36" t="inlineStr">
        <is>
          <t>𬲮 𬲯 𬲰 𬲱 𬲲 𬲳 𬲴 𬲵 𬲶 𬲷 𬲸 𬲹 𬲺 𬲻 𬲼 𬲽 𬲾 𬲿 𬳀 𬳁 𬳂 𬳃 𬳄 𬳅 𬳆 𬳇 𬳈 𬳉 𬳊 𬳋 𬳌 𬳍 𬳎 𬳏 𬳐 𬳑 𬳒 𬳓 𬳔 𬳕 𬳖 𬳗 𬳘 𬳙 𬳚 𬳛 𬳜 𬳝 𬳞 𬳟 𬳠 𬳡 𬳢 𬳣 𬳤 𬳥 𬳦 𬳧 𬳨 𬳩 𬳪 𬳫 𬳬 𬳭 𬳮 𬳯 𬳰 𬳱 𬳲 𬳳 𬳴 𬳵 𬳶 𬳷 𬳸 𬳹 𬳺 𬳻 𬳼 𬳽 𬳾 𬳿 𬴀 𬴁 𬴂 𬴃 𬴄 𬴅 𬴆 𬴇 𬴈 𬴉 𬴊 𬴋 𬴌 𬴍 𬴎 𬴏 𬴐 𬴑 𬴒 𬴓 𬴔 𬴕 𬴖 𬴗 𬴘 𬴙 𬴚 𬴛 𬴜 𬴝 𬴞 𬴟 𬴠 𬴡 𬴢 𬴣 𬴤 𬴥 𬴦 𬴧 𬴨 𬴩 𬴪 𬴫 𬴬 𬴭 𬴮 𬴯 𬴰 𬴱 𬴲 𬴳 𬴴 𬴵 𬴶 𬴷 𬴸 𬴹 𬴺 𬴻 𬴼 𬴽 𬴾 𬴿 𬵀 𬵁 𬵂 𬵃 𬵄 𬵅 𬵆 𬵇 𬵈 𬵉 𬵊 𬵋 𬵌 𬵍 𬵎 𬵏 𬵐 𬵑 𬵒 𬵓 𬵔 𬵕 𬵖 𬵗 𬵘 𬵙 𬵚 𬵛 𬵜 𬵝 𬵞 𬵟 𬵠 𬵡 𬵢 𬵣 𬵤 𬵥 𬵦 𬵧 𬵨 𬵩 𬵪 𬵫 𬵬 𬵭 𬵮 𬵯 𬵰 𬵱 𬵲 𬵳 𬵴 𬵵 𬵶 𬵷 𬵸 𬵹 𬵺 𬵻 𬵼 𬵽 𬵾 𬵿 𬶀 𬶁 𬶂 𬶃 𬶄 𬶅 𬶆 𬶇 𬶈 𬶉 𬶊 𬶋 𬶌 𬶍 𬶎 𬶏 𬶐 𬶑 𬶒 𬶓 𬶔 𬶕 𬶖 𬶗 𬶘 𬶙 𬶚 𬶛 𬶜 𬶝 𬶞 𬶟 𬶠 𬶡 𬶢 𬶣 𬶤 𬶥 𬶦 𬶧</t>
        </is>
      </c>
      <c r="V725" s="14">
        <f>(LEN(O725)+1)/2</f>
        <v/>
      </c>
      <c r="W725" s="14">
        <f>ROUNDDOWN((LEN(P725)+1)/2,0)</f>
        <v/>
      </c>
      <c r="X725" s="14">
        <f>ROUNDDOWN((LEN(Q725)+1)/2,0)</f>
        <v/>
      </c>
      <c r="Y725" s="14">
        <f>ROUNDDOWN((LEN(R725)+1)/2,0)</f>
        <v/>
      </c>
      <c r="Z725" s="14">
        <f>ROUNDDOWN((LEN(S725)+1)/2,0)</f>
        <v/>
      </c>
    </row>
    <row r="726" ht="102" customHeight="1">
      <c r="B726" s="46" t="inlineStr">
        <is>
          <t>U+2CEB0-U+2CFA9</t>
        </is>
      </c>
      <c r="C726" s="46" t="inlineStr">
        <is>
          <t>CJK Unified Ideographs Extension F</t>
        </is>
      </c>
      <c r="D726" s="54">
        <f>HEX2DEC(MID(B726,3,FIND("-",E726)-3))</f>
        <v/>
      </c>
      <c r="E726" s="46" t="inlineStr">
        <is>
          <t>U+2CEB0-U+2EBEF</t>
        </is>
      </c>
      <c r="F726" s="12" t="n">
        <v>4</v>
      </c>
      <c r="J726" s="19">
        <f>ROUNDDOWN(W726,0)/$V726</f>
        <v/>
      </c>
      <c r="K726" s="19">
        <f>ROUNDDOWN(X726,0)/$V726</f>
        <v/>
      </c>
      <c r="L726" s="19">
        <f>ROUNDDOWN(Y726,0)/$V726</f>
        <v/>
      </c>
      <c r="M726" s="19">
        <f>ROUNDDOWN(Z726,0)/$V726</f>
        <v/>
      </c>
      <c r="O726" s="36" t="inlineStr">
        <is>
          <t>𬶨 𬶩 𬶪 𬶫 𬶬 𬶭 𬶮 𬶯 𬶰 𬶱 𬶲 𬶳 𬶴 𬶵 𬶶 𬶷 𬶸 𬶹 𬶺 𬶻 𬶼 𬶽 𬶾 𬶿 𬷀 𬷁 𬷂 𬷃 𬷄 𬷅 𬷆 𬷇 𬷈 𬷉 𬷊 𬷋 𬷌 𬷍 𬷎 𬷏 𬷐 𬷑 𬷒 𬷓 𬷔 𬷕 𬷖 𬷗 𬷘 𬷙 𬷚 𬷛 𬷜 𬷝 𬷞 𬷟 𬷠 𬷡 𬷢 𬷣 𬷤 𬷥 𬷦 𬷧 𬷨 𬷩 𬷪 𬷫 𬷬 𬷭 𬷮 𬷯 𬷰 𬷱 𬷲 𬷳 𬷴 𬷵 𬷶 𬷷 𬷸 𬷹 𬷺 𬷻 𬷼 𬷽 𬷾 𬷿 𬸀 𬸁 𬸂 𬸃 𬸄 𬸅 𬸆 𬸇 𬸈 𬸉 𬸊 𬸋 𬸌 𬸍 𬸎 𬸏 𬸐 𬸑 𬸒 𬸓 𬸔 𬸕 𬸖 𬸗 𬸘 𬸙 𬸚 𬸛 𬸜 𬸝 𬸞 𬸟 𬸠 𬸡 𬸢 𬸣 𬸤 𬸥 𬸦 𬸧 𬸨 𬸩 𬸪 𬸫 𬸬 𬸭 𬸮 𬸯 𬸰 𬸱 𬸲 𬸳 𬸴 𬸵 𬸶 𬸷 𬸸 𬸹 𬸺 𬸻 𬸼 𬸽 𬸾 𬸿 𬹀 𬹁 𬹂 𬹃 𬹄 𬹅 𬹆 𬹇 𬹈 𬹉 𬹊 𬹋 𬹌 𬹍 𬹎 𬹏 𬹐 𬹑 𬹒 𬹓 𬹔 𬹕 𬹖 𬹗 𬹘 𬹙 𬹚 𬹛 𬹜 𬹝 𬹞 𬹟 𬹠 𬹡 𬹢 𬹣 𬹤 𬹥 𬹦 𬹧 𬹨 𬹩 𬹪 𬹫 𬹬 𬹭 𬹮 𬹯 𬹰 𬹱 𬹲 𬹳 𬹴 𬹵 𬹶 𬹷 𬹸 𬹹 𬹺 𬹻 𬹼 𬹽 𬹾 𬹿 𬺀 𬺁 𬺂 𬺃 𬺄 𬺅 𬺆 𬺇 𬺈 𬺉 𬺊 𬺋 𬺌 𬺍 𬺎 𬺏 𬺐 𬺑 𬺒 𬺓 𬺔 𬺕 𬺖 𬺗 𬺘 𬺙 𬺚 𬺛 𬺜 𬺝 𬺞 𬺟 𬺠 𬺡</t>
        </is>
      </c>
      <c r="V726" s="14">
        <f>(LEN(O726)+1)/2</f>
        <v/>
      </c>
      <c r="W726" s="14">
        <f>ROUNDDOWN((LEN(P726)+1)/2,0)</f>
        <v/>
      </c>
      <c r="X726" s="14">
        <f>ROUNDDOWN((LEN(Q726)+1)/2,0)</f>
        <v/>
      </c>
      <c r="Y726" s="14">
        <f>ROUNDDOWN((LEN(R726)+1)/2,0)</f>
        <v/>
      </c>
      <c r="Z726" s="14">
        <f>ROUNDDOWN((LEN(S726)+1)/2,0)</f>
        <v/>
      </c>
    </row>
    <row r="727" ht="102" customHeight="1">
      <c r="B727" s="46" t="inlineStr">
        <is>
          <t>U+2CFAA-U+2D0A3</t>
        </is>
      </c>
      <c r="C727" s="46" t="inlineStr">
        <is>
          <t>CJK Unified Ideographs Extension F</t>
        </is>
      </c>
      <c r="D727" s="54">
        <f>HEX2DEC(MID(B727,3,FIND("-",E727)-3))</f>
        <v/>
      </c>
      <c r="E727" s="46" t="inlineStr">
        <is>
          <t>U+2CEB0-U+2EBEF</t>
        </is>
      </c>
      <c r="F727" s="12" t="n">
        <v>4</v>
      </c>
      <c r="J727" s="19">
        <f>ROUNDDOWN(W727,0)/$V727</f>
        <v/>
      </c>
      <c r="K727" s="19">
        <f>ROUNDDOWN(X727,0)/$V727</f>
        <v/>
      </c>
      <c r="L727" s="19">
        <f>ROUNDDOWN(Y727,0)/$V727</f>
        <v/>
      </c>
      <c r="M727" s="19">
        <f>ROUNDDOWN(Z727,0)/$V727</f>
        <v/>
      </c>
      <c r="O727" s="36" t="inlineStr">
        <is>
          <t>𬺰 𬺱 𬺲 𬺳 𬺴 𬺵 𬺶 𬺷 𬺸 𬺹 𬺺 𬺻 𬺼 𬺽 𬺾 𬺿 𬻀 𬻁 𬻂 𬻃 𬻄 𬻅 𬻆 𬻇 𬻈 𬻉 𬻊 𬻋 𬻌 𬻍 𬻎 𬻏 𬻐 𬻑 𬻒 𬻓 𬻔 𬻕 𬻖 𬻗 𬻘 𬻙 𬻚 𬻛 𬻜 𬻝 𬻞 𬻟 𬻠 𬻡 𬻢 𬻣 𬻤 𬻥 𬻦 𬻧 𬻨 𬻩 𬻪 𬻫 𬻬 𬻭 𬻮 𬻯 𬻰 𬻱 𬻲 𬻳 𬻴 𬻵 𬻶 𬻷 𬻸 𬻹 𬻺 𬻻 𬻼 𬻽 𬻾 𬻿 𬼀 𬼁 𬼂 𬼃 𬼄 𬼅 𬼆 𬼇 𬼈 𬼉 𬼊 𬼋 𬼌 𬼍 𬼎 𬼏 𬼐 𬼑 𬼒 𬼓 𬼔 𬼕 𬼖 𬼗 𬼘 𬼙 𬼚 𬼛 𬼜 𬼝 𬼞 𬼟 𬼠 𬼡 𬼢 𬼣 𬼤 𬼥 𬼦 𬼧 𬼨 𬼩 𬼪 𬼫 𬼬 𬼭 𬼮 𬼯 𬼰 𬼱 𬼲 𬼳 𬼴 𬼵 𬼶 𬼷 𬼸 𬼹 𬼺 𬼻 𬼼 𬼽 𬼾 𬼿 𬽀 𬽁 𬽂 𬽃 𬽄 𬽅 𬽆 𬽇 𬽈 𬽉 𬽊 𬽋 𬽌 𬽍 𬽎 𬽏 𬽐 𬽑 𬽒 𬽓 𬽔 𬽕 𬽖 𬽗 𬽘 𬽙 𬽚 𬽛 𬽜 𬽝 𬽞 𬽟 𬽠 𬽡 𬽢 𬽣 𬽤 𬽥 𬽦 𬽧 𬽨 𬽩 𬽪 𬽫 𬽬 𬽭 𬽮 𬽯 𬽰 𬽱 𬽲 𬽳 𬽴 𬽵 𬽶 𬽷 𬽸 𬽹 𬽺 𬽻 𬽼 𬽽 𬽾 𬽿 𬾀 𬾁 𬾂 𬾃 𬾄 𬾅 𬾆 𬾇 𬾈 𬾉 𬾊 𬾋 𬾌 𬾍 𬾎 𬾏 𬾐 𬾑 𬾒 𬾓 𬾔 𬾕 𬾖 𬾗 𬾘 𬾙 𬾚 𬾛 𬾜 𬾝 𬾞 𬾟 𬾠 𬾡 𬾢 𬾣 𬾤 𬾥 𬾦 𬾧 𬾨 𬾩</t>
        </is>
      </c>
      <c r="V727" s="14">
        <f>(LEN(O727)+1)/2</f>
        <v/>
      </c>
      <c r="W727" s="14">
        <f>ROUNDDOWN((LEN(P727)+1)/2,0)</f>
        <v/>
      </c>
      <c r="X727" s="14">
        <f>ROUNDDOWN((LEN(Q727)+1)/2,0)</f>
        <v/>
      </c>
      <c r="Y727" s="14">
        <f>ROUNDDOWN((LEN(R727)+1)/2,0)</f>
        <v/>
      </c>
      <c r="Z727" s="14">
        <f>ROUNDDOWN((LEN(S727)+1)/2,0)</f>
        <v/>
      </c>
    </row>
    <row r="728" ht="102" customHeight="1">
      <c r="B728" s="46" t="inlineStr">
        <is>
          <t>U+2D0A4-U+2D19D</t>
        </is>
      </c>
      <c r="C728" s="46" t="inlineStr">
        <is>
          <t>CJK Unified Ideographs Extension F</t>
        </is>
      </c>
      <c r="D728" s="54">
        <f>HEX2DEC(MID(B728,3,FIND("-",E728)-3))</f>
        <v/>
      </c>
      <c r="E728" s="46" t="inlineStr">
        <is>
          <t>U+2CEB0-U+2EBEF</t>
        </is>
      </c>
      <c r="F728" s="12" t="n">
        <v>4</v>
      </c>
      <c r="J728" s="19">
        <f>ROUNDDOWN(W728,0)/$V728</f>
        <v/>
      </c>
      <c r="K728" s="19">
        <f>ROUNDDOWN(X728,0)/$V728</f>
        <v/>
      </c>
      <c r="L728" s="19">
        <f>ROUNDDOWN(Y728,0)/$V728</f>
        <v/>
      </c>
      <c r="M728" s="19">
        <f>ROUNDDOWN(Z728,0)/$V728</f>
        <v/>
      </c>
      <c r="O728" s="36" t="inlineStr">
        <is>
          <t>𬾪 𬾫 𬾬 𬾭 𬾮 𬾯 𬾰 𬾱 𬾲 𬾳 𬾴 𬾵 𬾶 𬾷 𬾸 𬾹 𬾺 𬾻 𬾼 𬾽 𬾾 𬾿 𬿀 𬿁 𬿂 𬿃 𬿄 𬿅 𬿆 𬿇 𬿈 𬿉 𬿊 𬿋 𬿌 𬿍 𬿎 𬿏 𬿐 𬿑 𬿒 𬿓 𬿔 𬿕 𬿖 𬿗 𬿘 𬿙 𬿚 𬿛 𬿜 𬿝 𬿞 𬿟 𬿠 𬿡 𬿢 𬿣 𬿤 𬿥 𬿦 𬿧 𬿨 𬿩 𬿪 𬿫 𬿬 𬿭 𬿮 𬿯 𬿰 𬿱 𬿲 𬿳 𬿴 𬿵 𬿶 𬿷 𬿸 𬿹 𬿺 𬿻 𬿼 𬿽 𬿾 𬿿 𭀀 𭀁 𭀂 𭀃 𭀄 𭀅 𭀆 𭀇 𭀈 𭀉 𭀊 𭀋 𭀌 𭀍 𭀎 𭀏 𭀐 𭀑 𭀒 𭀓 𭀔 𭀕 𭀖 𭀗 𭀘 𭀙 𭀚 𭀛 𭀜 𭀝 𭀞 𭀟 𭀠 𭀡 𭀢 𭀣 𭀤 𭀥 𭀦 𭀧 𭀨 𭀩 𭀪 𭀫 𭀬 𭀭 𭀮 𭀯 𭀰 𭀱 𭀲 𭀳 𭀴 𭀵 𭀶 𭀷 𭀸 𭀹 𭀺 𭀻 𭀼 𭀽 𭀾 𭀿 𭁀 𭁁 𭁂 𭁃 𭁄 𭁅 𭁆 𭁇 𭁈 𭁉 𭁊 𭁋 𭁌 𭁍 𭁎 𭁏 𭁐 𭁑 𭁒 𭁓 𭁔 𭁕 𭁖 𭁗 𭁘 𭁙 𭁚 𭁛 𭁜 𭁝 𭁞 𭁟 𭁠 𭁡 𭁢 𭁣 𭁤 𭁥 𭁦 𭁧 𭁨 𭁩 𭁪 𭁫 𭁬 𭁭 𭁮 𭁯 𭁰 𭁱 𭁲 𭁳 𭁴 𭁵 𭁶 𭁷 𭁸 𭁹 𭁺 𭁻 𭁼 𭁽 𭁾 𭁿 𭂀 𭂁 𭂂 𭂃 𭂄 𭂅 𭂆 𭂇 𭂈 𭂉 𭂊 𭂋 𭂌 𭂍 𭂎 𭂏 𭂐 𭂑 𭂒 𭂓 𭂔 𭂕 𭂖 𭂗 𭂘 𭂙 𭂚 𭂛 𭂜 𭂝 𭂞 𭂟 𭂠 𭂡 𭂢 𭂣</t>
        </is>
      </c>
      <c r="V728" s="14">
        <f>(LEN(O728)+1)/2</f>
        <v/>
      </c>
      <c r="W728" s="14">
        <f>ROUNDDOWN((LEN(P728)+1)/2,0)</f>
        <v/>
      </c>
      <c r="X728" s="14">
        <f>ROUNDDOWN((LEN(Q728)+1)/2,0)</f>
        <v/>
      </c>
      <c r="Y728" s="14">
        <f>ROUNDDOWN((LEN(R728)+1)/2,0)</f>
        <v/>
      </c>
      <c r="Z728" s="14">
        <f>ROUNDDOWN((LEN(S728)+1)/2,0)</f>
        <v/>
      </c>
    </row>
    <row r="729" ht="102" customHeight="1">
      <c r="B729" s="46" t="inlineStr">
        <is>
          <t>U+2D19E-U+2D296</t>
        </is>
      </c>
      <c r="C729" s="46" t="inlineStr">
        <is>
          <t>CJK Unified Ideographs Extension F</t>
        </is>
      </c>
      <c r="D729" s="54">
        <f>HEX2DEC(MID(B729,3,FIND("-",E729)-3))</f>
        <v/>
      </c>
      <c r="E729" s="46" t="inlineStr">
        <is>
          <t>U+2CEB0-U+2EBEF</t>
        </is>
      </c>
      <c r="F729" s="12" t="n">
        <v>4</v>
      </c>
      <c r="J729" s="19">
        <f>ROUNDDOWN(W729,0)/$V729</f>
        <v/>
      </c>
      <c r="K729" s="19">
        <f>ROUNDDOWN(X729,0)/$V729</f>
        <v/>
      </c>
      <c r="L729" s="19">
        <f>ROUNDDOWN(Y729,0)/$V729</f>
        <v/>
      </c>
      <c r="M729" s="19">
        <f>ROUNDDOWN(Z729,0)/$V729</f>
        <v/>
      </c>
      <c r="O729" s="36" t="inlineStr">
        <is>
          <t>𭂤 𭂥 𭂦 𭂧 𭂨 𭂩 𭂪 𭂫 𭂬 𭂭 𭂮 𭂯 𭂰 𭂱 𭂲 𭂳 𭂴 𭂵 𭂶 𭂷 𭂸 𭂹 𭂺 𭂻 𭂼 𭂽 𭂾 𭂿 𭃀 𭃁 𭃂 𭃃 𭃄 𭃅 𭃆 𭃇 𭃈 𭃉 𭃊 𭃋 𭃌 𭃍 𭃎 𭃏 𭃐 𭃑 𭃒 𭃓 𭃔 𭃕 𭃖 𭃗 𭃘 𭃙 𭃚 𭃛 𭃜 𭃝 𭃞 𭃟 𭃠 𭃡 𭃢 𭃣 𭃤 𭃥 𭃦 𭃧 𭃨 𭃩 𭃪 𭃫 𭃬 𭃭 𭃮 𭃯 𭃰 𭃱 𭃲 𭃳 𭃴 𭃵 𭃶 𭃷 𭃸 𭃹 𭃺 𭃻 𭃼 𭃽 𭃾 𭃿 𭄀 𭄁 𭄂 𭄃 𭄄 𭄅 𭄆 𭄇 𭄈 𭄉 𭄊 𭄋 𭄌 𭄍 𭄎 𭄏 𭄐 𭄑 𭄒 𭄓 𭄔 𭄕 𭄖 𭄗 𭄘 𭄙 𭄚 𭄛 𭄜 𭄝 𭄞 𭄟 𭄠 𭄡 𭄢 𭄣 𭄤 𭄥 𭄦 𭄧 𭄨 𭄩 𭄪 𭄫 𭄬 𭄭 𭄮 𭄯 𭄰 𭄱 𭄲 𭄳 𭄴 𭄵 𭄶 𭄷 𭄸 𭄹 𭄺 𭄻 𭄼 𭄽 𭄾 𭄿 𭅀 𭅁 𭅂 𭅃 𭅄 𭅅 𭅆 𭅇 𭅈 𭅉 𭅊 𭅋 𭅌 𭅍 𭅎 𭅏 𭅐 𭅑 𭅒 𭅓 𭅔 𭅕 𭅖 𭅗 𭅘 𭅙 𭅚 𭅛 𭅜 𭅝 𭅞 𭅟 𭅠 𭅡 𭅢 𭅣 𭅤 𭅥 𭅦 𭅧 𭅨 𭅩 𭅪 𭅫 𭅬 𭅭 𭅮 𭅯 𭅰 𭅱 𭅲 𭅳 𭅴 𭅵 𭅶 𭅷 𭅸 𭅹 𭅺 𭅻 𭅼 𭅽 𭅾 𭅿 𭆀 𭆁 𭆂 𭆃 𭆄 𭆅 𭆆 𭆇 𭆈 𭆉 𭆊 𭆋 𭆌 𭆍 𭆎 𭆏 𭆐 𭆑 𭆒 𭆓 𭆔 𭆕 𭆖 𭆗 𭆘 𭆙 𭆚 𭆛 𭆜 𭆝</t>
        </is>
      </c>
      <c r="V729" s="14">
        <f>(LEN(O729)+1)/2</f>
        <v/>
      </c>
      <c r="W729" s="14">
        <f>ROUNDDOWN((LEN(P729)+1)/2,0)</f>
        <v/>
      </c>
      <c r="X729" s="14">
        <f>ROUNDDOWN((LEN(Q729)+1)/2,0)</f>
        <v/>
      </c>
      <c r="Y729" s="14">
        <f>ROUNDDOWN((LEN(R729)+1)/2,0)</f>
        <v/>
      </c>
      <c r="Z729" s="14">
        <f>ROUNDDOWN((LEN(S729)+1)/2,0)</f>
        <v/>
      </c>
    </row>
    <row r="730" ht="102" customHeight="1">
      <c r="B730" s="46" t="inlineStr">
        <is>
          <t>U+2D297-U+2D38F</t>
        </is>
      </c>
      <c r="C730" s="46" t="inlineStr">
        <is>
          <t>CJK Unified Ideographs Extension F</t>
        </is>
      </c>
      <c r="D730" s="54">
        <f>HEX2DEC(MID(B730,3,FIND("-",E730)-3))</f>
        <v/>
      </c>
      <c r="E730" s="46" t="inlineStr">
        <is>
          <t>U+2CEB0-U+2EBEF</t>
        </is>
      </c>
      <c r="F730" s="12" t="n">
        <v>4</v>
      </c>
      <c r="J730" s="19">
        <f>ROUNDDOWN(W730,0)/$V730</f>
        <v/>
      </c>
      <c r="K730" s="19">
        <f>ROUNDDOWN(X730,0)/$V730</f>
        <v/>
      </c>
      <c r="L730" s="19">
        <f>ROUNDDOWN(Y730,0)/$V730</f>
        <v/>
      </c>
      <c r="M730" s="19">
        <f>ROUNDDOWN(Z730,0)/$V730</f>
        <v/>
      </c>
      <c r="O730" s="36" t="inlineStr">
        <is>
          <t>𭆞 𭆟 𭆠 𭆡 𭆢 𭆣 𭆤 𭆥 𭆦 𭆧 𭆨 𭆩 𭆪 𭆫 𭆬 𭆭 𭆮 𭆯 𭆰 𭆱 𭆲 𭆳 𭆴 𭆵 𭆶 𭆷 𭆸 𭆹 𭆺 𭆻 𭆼 𭆽 𭆾 𭆿 𭇀 𭇁 𭇂 𭇃 𭇄 𭇅 𭇆 𭇇 𭇈 𭇉 𭇊 𭇋 𭇌 𭇍 𭇎 𭇏 𭇐 𭇑 𭇒 𭇓 𭇔 𭇕 𭇖 𭇗 𭇘 𭇙 𭇚 𭇛 𭇜 𭇝 𭇞 𭇟 𭇠 𭇡 𭇢 𭇣 𭇤 𭇥 𭇦 𭇧 𭇨 𭇩 𭇪 𭇫 𭇬 𭇭 𭇮 𭇯 𭇰 𭇱 𭇲 𭇳 𭇴 𭇵 𭇶 𭇷 𭇸 𭇹 𭇺 𭇻 𭇼 𭇽 𭇾 𭇿 𭈀 𭈁 𭈂 𭈃 𭈄 𭈅 𭈆 𭈇 𭈈 𭈉 𭈊 𭈋 𭈌 𭈍 𭈎 𭈏 𭈐 𭈑 𭈒 𭈓 𭈔 𭈕 𭈖 𭈗 𭈘 𭈙 𭈚 𭈛 𭈜 𭈝 𭈞 𭈟 𭈠 𭈡 𭈢 𭈣 𭈤 𭈥 𭈦 𭈧 𭈨 𭈩 𭈪 𭈫 𭈬 𭈭 𭈮 𭈯 𭈰 𭈱 𭈲 𭈳 𭈴 𭈵 𭈶 𭈷 𭈸 𭈹 𭈺 𭈻 𭈼 𭈽 𭈾 𭈿 𭉀 𭉁 𭉂 𭉃 𭉄 𭉅 𭉆 𭉇 𭉈 𭉉 𭉊 𭉋 𭉌 𭉍 𭉎 𭉏 𭉐 𭉑 𭉒 𭉓 𭉔 𭉕 𭉖 𭉗 𭉘 𭉙 𭉚 𭉛 𭉜 𭉝 𭉞 𭉟 𭉠 𭉡 𭉢 𭉣 𭉤 𭉥 𭉦 𭉧 𭉨 𭉩 𭉪 𭉫 𭉬 𭉭 𭉮 𭉯 𭉰 𭉱 𭉲 𭉳 𭉴 𭉵 𭉶 𭉷 𭉸 𭉹 𭉺 𭉻 𭉼 𭉽 𭉾 𭉿 𭊀 𭊁 𭊂 𭊃 𭊄 𭊅 𭊆 𭊇 𭊈 𭊉 𭊊 𭊋 𭊌 𭊍 𭊎 𭊏 𭊐 𭊑 𭊒 𭊓 𭊔 𭊕 𭊖</t>
        </is>
      </c>
      <c r="V730" s="14">
        <f>(LEN(O730)+1)/2</f>
        <v/>
      </c>
      <c r="W730" s="14">
        <f>ROUNDDOWN((LEN(P730)+1)/2,0)</f>
        <v/>
      </c>
      <c r="X730" s="14">
        <f>ROUNDDOWN((LEN(Q730)+1)/2,0)</f>
        <v/>
      </c>
      <c r="Y730" s="14">
        <f>ROUNDDOWN((LEN(R730)+1)/2,0)</f>
        <v/>
      </c>
      <c r="Z730" s="14">
        <f>ROUNDDOWN((LEN(S730)+1)/2,0)</f>
        <v/>
      </c>
    </row>
    <row r="731" ht="102" customHeight="1">
      <c r="B731" s="46" t="inlineStr">
        <is>
          <t>U+2D390-U+2D488</t>
        </is>
      </c>
      <c r="C731" s="46" t="inlineStr">
        <is>
          <t>CJK Unified Ideographs Extension F</t>
        </is>
      </c>
      <c r="D731" s="54">
        <f>HEX2DEC(MID(B731,3,FIND("-",E731)-3))</f>
        <v/>
      </c>
      <c r="E731" s="46" t="inlineStr">
        <is>
          <t>U+2CEB0-U+2EBEF</t>
        </is>
      </c>
      <c r="F731" s="12" t="n">
        <v>4</v>
      </c>
      <c r="J731" s="19">
        <f>ROUNDDOWN(W731,0)/$V731</f>
        <v/>
      </c>
      <c r="K731" s="19">
        <f>ROUNDDOWN(X731,0)/$V731</f>
        <v/>
      </c>
      <c r="L731" s="19">
        <f>ROUNDDOWN(Y731,0)/$V731</f>
        <v/>
      </c>
      <c r="M731" s="19">
        <f>ROUNDDOWN(Z731,0)/$V731</f>
        <v/>
      </c>
      <c r="O731" s="36" t="inlineStr">
        <is>
          <t>𭊗 𭊘 𭊙 𭊚 𭊛 𭊜 𭊝 𭊞 𭊟 𭊠 𭊡 𭊢 𭊣 𭊤 𭊥 𭊦 𭊧 𭊨 𭊩 𭊪 𭊫 𭊬 𭊭 𭊮 𭊯 𭊰 𭊱 𭊲 𭊳 𭊴 𭊵 𭊶 𭊷 𭊸 𭊹 𭊺 𭊻 𭊼 𭊽 𭊾 𭊿 𭋀 𭋁 𭋂 𭋃 𭋄 𭋅 𭋆 𭋇 𭋈 𭋉 𭋊 𭋋 𭋌 𭋍 𭋎 𭋏 𭋐 𭋑 𭋒 𭋓 𭋔 𭋕 𭋖 𭋗 𭋘 𭋙 𭋚 𭋛 𭋜 𭋝 𭋞 𭋟 𭋠 𭋡 𭋢 𭋣 𭋤 𭋥 𭋦 𭋧 𭋨 𭋩 𭋪 𭋫 𭋬 𭋭 𭋮 𭋯 𭋰 𭋱 𭋲 𭋳 𭋴 𭋵 𭋶 𭋷 𭋸 𭋹 𭋺 𭋻 𭋼 𭋽 𭋾 𭋿 𭌀 𭌁 𭌂 𭌃 𭌄 𭌅 𭌆 𭌇 𭌈 𭌉 𭌊 𭌋 𭌌 𭌍 𭌎 𭌏 𭌐 𭌑 𭌒 𭌓 𭌔 𭌕 𭌖 𭌗 𭌘 𭌙 𭌚 𭌛 𭌜 𭌝 𭌞 𭌟 𭌠 𭌡 𭌢 𭌣 𭌤 𭌥 𭌦 𭌧 𭌨 𭌩 𭌪 𭌫 𭌬 𭌭 𭌮 𭌯 𭌰 𭌱 𭌲 𭌳 𭌴 𭌵 𭌶 𭌷 𭌸 𭌹 𭌺 𭌻 𭌼 𭌽 𭌾 𭌿 𭍀 𭍁 𭍂 𭍃 𭍄 𭍅 𭍆 𭍇 𭍈 𭍉 𭍊 𭍋 𭍌 𭍍 𭍎 𭍏 𭍐 𭍑 𭍒 𭍓 𭍔 𭍕 𭍖 𭍗 𭍘 𭍙 𭍚 𭍛 𭍜 𭍝 𭍞 𭍟 𭍠 𭍡 𭍢 𭍣 𭍤 𭍥 𭍦 𭍧 𭍨 𭍩 𭍪 𭍫 𭍬 𭍭 𭍮 𭍯 𭍰 𭍱 𭍲 𭍳 𭍴 𭍵 𭍶 𭍷 𭍸 𭍹 𭍺 𭍻 𭍼 𭍽 𭍾 𭍿 𭎀 𭎁 𭎂 𭎃 𭎄 𭎅 𭎆 𭎇 𭎈 𭎉 𭎊 𭎋 𭎌 𭎍 𭎎 𭎏</t>
        </is>
      </c>
      <c r="V731" s="14">
        <f>(LEN(O731)+1)/2</f>
        <v/>
      </c>
      <c r="W731" s="14">
        <f>ROUNDDOWN((LEN(P731)+1)/2,0)</f>
        <v/>
      </c>
      <c r="X731" s="14">
        <f>ROUNDDOWN((LEN(Q731)+1)/2,0)</f>
        <v/>
      </c>
      <c r="Y731" s="14">
        <f>ROUNDDOWN((LEN(R731)+1)/2,0)</f>
        <v/>
      </c>
      <c r="Z731" s="14">
        <f>ROUNDDOWN((LEN(S731)+1)/2,0)</f>
        <v/>
      </c>
    </row>
    <row r="732" ht="102" customHeight="1">
      <c r="B732" s="46" t="inlineStr">
        <is>
          <t>U+2D489-U+2D581</t>
        </is>
      </c>
      <c r="C732" s="46" t="inlineStr">
        <is>
          <t>CJK Unified Ideographs Extension F</t>
        </is>
      </c>
      <c r="D732" s="54">
        <f>HEX2DEC(MID(B732,3,FIND("-",E732)-3))</f>
        <v/>
      </c>
      <c r="E732" s="46" t="inlineStr">
        <is>
          <t>U+2CEB0-U+2EBEF</t>
        </is>
      </c>
      <c r="F732" s="12" t="n">
        <v>4</v>
      </c>
      <c r="J732" s="19">
        <f>ROUNDDOWN(W732,0)/$V732</f>
        <v/>
      </c>
      <c r="K732" s="19">
        <f>ROUNDDOWN(X732,0)/$V732</f>
        <v/>
      </c>
      <c r="L732" s="19">
        <f>ROUNDDOWN(Y732,0)/$V732</f>
        <v/>
      </c>
      <c r="M732" s="19">
        <f>ROUNDDOWN(Z732,0)/$V732</f>
        <v/>
      </c>
      <c r="O732" s="36" t="inlineStr">
        <is>
          <t>𭎐 𭎑 𭎒 𭎓 𭎔 𭎕 𭎖 𭎗 𭎘 𭎙 𭎚 𭎛 𭎜 𭎝 𭎞 𭎟 𭎠 𭎡 𭎢 𭎣 𭎤 𭎥 𭎦 𭎧 𭎨 𭎩 𭎪 𭎫 𭎬 𭎭 𭎮 𭎯 𭎰 𭎱 𭎲 𭎳 𭎴 𭎵 𭎶 𭎷 𭎸 𭎹 𭎺 𭎻 𭎼 𭎽 𭎾 𭎿 𭏀 𭏁 𭏂 𭏃 𭏄 𭏅 𭏆 𭏇 𭏈 𭏉 𭏊 𭏋 𭏌 𭏍 𭏎 𭏏 𭏐 𭏑 𭏒 𭏓 𭏔 𭏕 𭏖 𭏗 𭏘 𭏙 𭏚 𭏛 𭏜 𭏝 𭏞 𭏟 𭏠 𭏡 𭏢 𭏣 𭏤 𭏥 𭏦 𭏧 𭏨 𭏩 𭏪 𭏫 𭏬 𭏭 𭏮 𭏯 𭏰 𭏱 𭏲 𭏳 𭏴 𭏵 𭏶 𭏷 𭏸 𭏹 𭏺 𭏻 𭏼 𭏽 𭏾 𭏿 𭐀 𭐁 𭐂 𭐃 𭐄 𭐅 𭐆 𭐇 𭐈 𭐉 𭐊 𭐋 𭐌 𭐍 𭐎 𭐏 𭐐 𭐑 𭐒 𭐓 𭐔 𭐕 𭐖 𭐗 𭐘 𭐙 𭐚 𭐛 𭐜 𭐝 𭐞 𭐟 𭐠 𭐡 𭐢 𭐣 𭐤 𭐥 𭐦 𭐧 𭐨 𭐩 𭐪 𭐫 𭐬 𭐭 𭐮 𭐯 𭐰 𭐱 𭐲 𭐳 𭐴 𭐵 𭐶 𭐷 𭐸 𭐹 𭐺 𭐻 𭐼 𭐽 𭐾 𭐿 𭑀 𭑁 𭑂 𭑃 𭑄 𭑅 𭑆 𭑇 𭑈 𭑉 𭑊 𭑋 𭑌 𭑍 𭑎 𭑏 𭑐 𭑑 𭑒 𭑓 𭑔 𭑕 𭑖 𭑗 𭑘 𭑙 𭑚 𭑛 𭑜 𭑝 𭑞 𭑟 𭑠 𭑡 𭑢 𭑣 𭑤 𭑥 𭑦 𭑧 𭑨 𭑩 𭑪 𭑫 𭑬 𭑭 𭑮 𭑯 𭑰 𭑱 𭑲 𭑳 𭑴 𭑵 𭑶 𭑷 𭑸 𭑹 𭑺 𭑻 𭑼 𭑽 𭑾 𭑿 𭒀 𭒁 𭒂 𭒃 𭒄 𭒅 𭒆 𭒇 𭒈</t>
        </is>
      </c>
      <c r="V732" s="14">
        <f>(LEN(O732)+1)/2</f>
        <v/>
      </c>
      <c r="W732" s="14">
        <f>ROUNDDOWN((LEN(P732)+1)/2,0)</f>
        <v/>
      </c>
      <c r="X732" s="14">
        <f>ROUNDDOWN((LEN(Q732)+1)/2,0)</f>
        <v/>
      </c>
      <c r="Y732" s="14">
        <f>ROUNDDOWN((LEN(R732)+1)/2,0)</f>
        <v/>
      </c>
      <c r="Z732" s="14">
        <f>ROUNDDOWN((LEN(S732)+1)/2,0)</f>
        <v/>
      </c>
    </row>
    <row r="733" ht="102" customHeight="1">
      <c r="B733" s="46" t="inlineStr">
        <is>
          <t>U+2D582-U+2D67A</t>
        </is>
      </c>
      <c r="C733" s="46" t="inlineStr">
        <is>
          <t>CJK Unified Ideographs Extension F</t>
        </is>
      </c>
      <c r="D733" s="54">
        <f>HEX2DEC(MID(B733,3,FIND("-",E733)-3))</f>
        <v/>
      </c>
      <c r="E733" s="46" t="inlineStr">
        <is>
          <t>U+2CEB0-U+2EBEF</t>
        </is>
      </c>
      <c r="F733" s="12" t="n">
        <v>4</v>
      </c>
      <c r="J733" s="19">
        <f>ROUNDDOWN(W733,0)/$V733</f>
        <v/>
      </c>
      <c r="K733" s="19">
        <f>ROUNDDOWN(X733,0)/$V733</f>
        <v/>
      </c>
      <c r="L733" s="19">
        <f>ROUNDDOWN(Y733,0)/$V733</f>
        <v/>
      </c>
      <c r="M733" s="19">
        <f>ROUNDDOWN(Z733,0)/$V733</f>
        <v/>
      </c>
      <c r="O733" s="36" t="inlineStr">
        <is>
          <t>𭒉 𭒊 𭒋 𭒌 𭒍 𭒎 𭒏 𭒐 𭒑 𭒒 𭒓 𭒔 𭒕 𭒖 𭒗 𭒘 𭒙 𭒚 𭒛 𭒜 𭒝 𭒞 𭒟 𭒠 𭒡 𭒢 𭒣 𭒤 𭒥 𭒦 𭒧 𭒨 𭒩 𭒪 𭒫 𭒬 𭒭 𭒮 𭒯 𭒰 𭒱 𭒲 𭒳 𭒴 𭒵 𭒶 𭒷 𭒸 𭒹 𭒺 𭒻 𭒼 𭒽 𭒾 𭒿 𭓀 𭓁 𭓂 𭓃 𭓄 𭓅 𭓆 𭓇 𭓈 𭓉 𭓊 𭓋 𭓌 𭓍 𭓎 𭓏 𭓐 𭓑 𭓒 𭓓 𭓔 𭓕 𭓖 𭓗 𭓘 𭓙 𭓚 𭓛 𭓜 𭓝 𭓞 𭓟 𭓠 𭓡 𭓢 𭓣 𭓤 𭓥 𭓦 𭓧 𭓨 𭓩 𭓪 𭓫 𭓬 𭓭 𭓮 𭓯 𭓰 𭓱 𭓲 𭓳 𭓴 𭓵 𭓶 𭓷 𭓸 𭓹 𭓺 𭓻 𭓼 𭓽 𭓾 𭓿 𭔀 𭔁 𭔂 𭔃 𭔄 𭔅 𭔆 𭔇 𭔈 𭔉 𭔊 𭔋 𭔌 𭔍 𭔎 𭔏 𭔐 𭔑 𭔒 𭔓 𭔔 𭔕 𭔖 𭔗 𭔘 𭔙 𭔚 𭔛 𭔜 𭔝 𭔞 𭔟 𭔠 𭔡 𭔢 𭔣 𭔤 𭔥 𭔦 𭔧 𭔨 𭔩 𭔪 𭔫 𭔬 𭔭 𭔮 𭔯 𭔰 𭔱 𭔲 𭔳 𭔴 𭔵 𭔶 𭔷 𭔸 𭔹 𭔺 𭔻 𭔼 𭔽 𭔾 𭔿 𭕀 𭕁 𭕂 𭕃 𭕄 𭕅 𭕆 𭕇 𭕈 𭕉 𭕊 𭕋 𭕌 𭕍 𭕎 𭕏 𭕐 𭕑 𭕒 𭕓 𭕔 𭕕 𭕖 𭕗 𭕘 𭕙 𭕚 𭕛 𭕜 𭕝 𭕞 𭕟 𭕠 𭕡 𭕢 𭕣 𭕤 𭕥 𭕦 𭕧 𭕨 𭕩 𭕪 𭕫 𭕬 𭕭 𭕮 𭕯 𭕰 𭕱 𭕲 𭕳 𭕴 𭕵 𭕶 𭕷 𭕸 𭕹 𭕺 𭕻 𭕼 𭕽 𭕾 𭕿 𭖀 𭖁</t>
        </is>
      </c>
      <c r="V733" s="14">
        <f>(LEN(O733)+1)/2</f>
        <v/>
      </c>
      <c r="W733" s="14">
        <f>ROUNDDOWN((LEN(P733)+1)/2,0)</f>
        <v/>
      </c>
      <c r="X733" s="14">
        <f>ROUNDDOWN((LEN(Q733)+1)/2,0)</f>
        <v/>
      </c>
      <c r="Y733" s="14">
        <f>ROUNDDOWN((LEN(R733)+1)/2,0)</f>
        <v/>
      </c>
      <c r="Z733" s="14">
        <f>ROUNDDOWN((LEN(S733)+1)/2,0)</f>
        <v/>
      </c>
    </row>
    <row r="734" ht="102" customHeight="1">
      <c r="B734" s="46" t="inlineStr">
        <is>
          <t>U+2D67B-U+2D773</t>
        </is>
      </c>
      <c r="C734" s="46" t="inlineStr">
        <is>
          <t>CJK Unified Ideographs Extension F</t>
        </is>
      </c>
      <c r="D734" s="54">
        <f>HEX2DEC(MID(B734,3,FIND("-",E734)-3))</f>
        <v/>
      </c>
      <c r="E734" s="46" t="inlineStr">
        <is>
          <t>U+2CEB0-U+2EBEF</t>
        </is>
      </c>
      <c r="F734" s="12" t="n">
        <v>4</v>
      </c>
      <c r="J734" s="19">
        <f>ROUNDDOWN(W734,0)/$V734</f>
        <v/>
      </c>
      <c r="K734" s="19">
        <f>ROUNDDOWN(X734,0)/$V734</f>
        <v/>
      </c>
      <c r="L734" s="19">
        <f>ROUNDDOWN(Y734,0)/$V734</f>
        <v/>
      </c>
      <c r="M734" s="19">
        <f>ROUNDDOWN(Z734,0)/$V734</f>
        <v/>
      </c>
      <c r="O734" s="36" t="inlineStr">
        <is>
          <t>𭖂 𭖃 𭖄 𭖅 𭖆 𭖇 𭖈 𭖉 𭖊 𭖋 𭖌 𭖍 𭖎 𭖏 𭖐 𭖑 𭖒 𭖓 𭖔 𭖕 𭖖 𭖗 𭖘 𭖙 𭖚 𭖛 𭖜 𭖝 𭖞 𭖟 𭖠 𭖡 𭖢 𭖣 𭖤 𭖥 𭖦 𭖧 𭖨 𭖩 𭖪 𭖫 𭖬 𭖭 𭖮 𭖯 𭖰 𭖱 𭖲 𭖳 𭖴 𭖵 𭖶 𭖷 𭖸 𭖹 𭖺 𭖻 𭖼 𭖽 𭖾 𭖿 𭗀 𭗁 𭗂 𭗃 𭗄 𭗅 𭗆 𭗇 𭗈 𭗉 𭗊 𭗋 𭗌 𭗍 𭗎 𭗏 𭗐 𭗑 𭗒 𭗓 𭗔 𭗕 𭗖 𭗗 𭗘 𭗙 𭗚 𭗛 𭗜 𭗝 𭗞 𭗟 𭗠 𭗡 𭗢 𭗣 𭗤 𭗥 𭗦 𭗧 𭗨 𭗩 𭗪 𭗫 𭗬 𭗭 𭗮 𭗯 𭗰 𭗱 𭗲 𭗳 𭗴 𭗵 𭗶 𭗷 𭗸 𭗹 𭗺 𭗻 𭗼 𭗽 𭗾 𭗿 𭘀 𭘁 𭘂 𭘃 𭘄 𭘅 𭘆 𭘇 𭘈 𭘉 𭘊 𭘋 𭘌 𭘍 𭘎 𭘏 𭘐 𭘑 𭘒 𭘓 𭘔 𭘕 𭘖 𭘗 𭘘 𭘙 𭘚 𭘛 𭘜 𭘝 𭘞 𭘟 𭘠 𭘡 𭘢 𭘣 𭘤 𭘥 𭘦 𭘧 𭘨 𭘩 𭘪 𭘫 𭘬 𭘭 𭘮 𭘯 𭘰 𭘱 𭘲 𭘳 𭘴 𭘵 𭘶 𭘷 𭘸 𭘹 𭘺 𭘻 𭘼 𭘽 𭘾 𭘿 𭙀 𭙁 𭙂 𭙃 𭙄 𭙅 𭙆 𭙇 𭙈 𭙉 𭙊 𭙋 𭙌 𭙍 𭙎 𭙏 𭙐 𭙑 𭙒 𭙓 𭙔 𭙕 𭙖 𭙗 𭙘 𭙙 𭙚 𭙛 𭙜 𭙝 𭙞 𭙟 𭙠 𭙡 𭙢 𭙣 𭙤 𭙥 𭙦 𭙧 𭙨 𭙩 𭙪 𭙫 𭙬 𭙭 𭙮 𭙯 𭙰 𭙱 𭙲 𭙳 𭙴 𭙵 𭙶 𭙷 𭙸 𭙹 𭙺</t>
        </is>
      </c>
      <c r="V734" s="14">
        <f>(LEN(O734)+1)/2</f>
        <v/>
      </c>
      <c r="W734" s="14">
        <f>ROUNDDOWN((LEN(P734)+1)/2,0)</f>
        <v/>
      </c>
      <c r="X734" s="14">
        <f>ROUNDDOWN((LEN(Q734)+1)/2,0)</f>
        <v/>
      </c>
      <c r="Y734" s="14">
        <f>ROUNDDOWN((LEN(R734)+1)/2,0)</f>
        <v/>
      </c>
      <c r="Z734" s="14">
        <f>ROUNDDOWN((LEN(S734)+1)/2,0)</f>
        <v/>
      </c>
    </row>
    <row r="735" ht="102" customHeight="1">
      <c r="B735" s="46" t="inlineStr">
        <is>
          <t>U+2D774-U+2D86C</t>
        </is>
      </c>
      <c r="C735" s="46" t="inlineStr">
        <is>
          <t>CJK Unified Ideographs Extension F</t>
        </is>
      </c>
      <c r="D735" s="54">
        <f>HEX2DEC(MID(B735,3,FIND("-",E735)-3))</f>
        <v/>
      </c>
      <c r="E735" s="46" t="inlineStr">
        <is>
          <t>U+2CEB0-U+2EBEF</t>
        </is>
      </c>
      <c r="F735" s="12" t="n">
        <v>4</v>
      </c>
      <c r="J735" s="19">
        <f>ROUNDDOWN(W735,0)/$V735</f>
        <v/>
      </c>
      <c r="K735" s="19">
        <f>ROUNDDOWN(X735,0)/$V735</f>
        <v/>
      </c>
      <c r="L735" s="19">
        <f>ROUNDDOWN(Y735,0)/$V735</f>
        <v/>
      </c>
      <c r="M735" s="19">
        <f>ROUNDDOWN(Z735,0)/$V735</f>
        <v/>
      </c>
      <c r="O735" s="36" t="inlineStr">
        <is>
          <t>𭙻 𭙼 𭙽 𭙾 𭙿 𭚀 𭚁 𭚂 𭚃 𭚄 𭚅 𭚆 𭚇 𭚈 𭚉 𭚊 𭚋 𭚌 𭚍 𭚎 𭚏 𭚐 𭚑 𭚒 𭚓 𭚔 𭚕 𭚖 𭚗 𭚘 𭚙 𭚚 𭚛 𭚜 𭚝 𭚞 𭚟 𭚠 𭚡 𭚢 𭚣 𭚤 𭚥 𭚦 𭚧 𭚨 𭚩 𭚪 𭚫 𭚬 𭚭 𭚮 𭚯 𭚰 𭚱 𭚲 𭚳 𭚴 𭚵 𭚶 𭚷 𭚸 𭚹 𭚺 𭚻 𭚼 𭚽 𭚾 𭚿 𭛀 𭛁 𭛂 𭛃 𭛄 𭛅 𭛆 𭛇 𭛈 𭛉 𭛊 𭛋 𭛌 𭛍 𭛎 𭛏 𭛐 𭛑 𭛒 𭛓 𭛔 𭛕 𭛖 𭛗 𭛘 𭛙 𭛚 𭛛 𭛜 𭛝 𭛞 𭛟 𭛠 𭛡 𭛢 𭛣 𭛤 𭛥 𭛦 𭛧 𭛨 𭛩 𭛪 𭛫 𭛬 𭛭 𭛮 𭛯 𭛰 𭛱 𭛲 𭛳 𭛴 𭛵 𭛶 𭛷 𭛸 𭛹 𭛺 𭛻 𭛼 𭛽 𭛾 𭛿 𭜀 𭜁 𭜂 𭜃 𭜄 𭜅 𭜆 𭜇 𭜈 𭜉 𭜊 𭜋 𭜌 𭜍 𭜎 𭜏 𭜐 𭜑 𭜒 𭜓 𭜔 𭜕 𭜖 𭜗 𭜘 𭜙 𭜚 𭜛 𭜜 𭜝 𭜞 𭜟 𭜠 𭜡 𭜢 𭜣 𭜤 𭜥 𭜦 𭜧 𭜨 𭜩 𭜪 𭜫 𭜬 𭜭 𭜮 𭜯 𭜰 𭜱 𭜲 𭜳 𭜴 𭜵 𭜶 𭜷 𭜸 𭜹 𭜺 𭜻 𭜼 𭜽 𭜾 𭜿 𭝀 𭝁 𭝂 𭝃 𭝄 𭝅 𭝆 𭝇 𭝈 𭝉 𭝊 𭝋 𭝌 𭝍 𭝎 𭝏 𭝐 𭝑 𭝒 𭝓 𭝔 𭝕 𭝖 𭝗 𭝘 𭝙 𭝚 𭝛 𭝜 𭝝 𭝞 𭝟 𭝠 𭝡 𭝢 𭝣 𭝤 𭝥 𭝦 𭝧 𭝨 𭝩 𭝪 𭝫 𭝬 𭝭 𭝮 𭝯 𭝰 𭝱 𭝲 𭝳</t>
        </is>
      </c>
      <c r="V735" s="14">
        <f>(LEN(O735)+1)/2</f>
        <v/>
      </c>
      <c r="W735" s="14">
        <f>ROUNDDOWN((LEN(P735)+1)/2,0)</f>
        <v/>
      </c>
      <c r="X735" s="14">
        <f>ROUNDDOWN((LEN(Q735)+1)/2,0)</f>
        <v/>
      </c>
      <c r="Y735" s="14">
        <f>ROUNDDOWN((LEN(R735)+1)/2,0)</f>
        <v/>
      </c>
      <c r="Z735" s="14">
        <f>ROUNDDOWN((LEN(S735)+1)/2,0)</f>
        <v/>
      </c>
    </row>
    <row r="736" ht="102" customHeight="1">
      <c r="B736" s="46" t="inlineStr">
        <is>
          <t>U+2D86D-U+2D965</t>
        </is>
      </c>
      <c r="C736" s="46" t="inlineStr">
        <is>
          <t>CJK Unified Ideographs Extension F</t>
        </is>
      </c>
      <c r="D736" s="54">
        <f>HEX2DEC(MID(B736,3,FIND("-",E736)-3))</f>
        <v/>
      </c>
      <c r="E736" s="46" t="inlineStr">
        <is>
          <t>U+2CEB0-U+2EBEF</t>
        </is>
      </c>
      <c r="F736" s="12" t="n">
        <v>4</v>
      </c>
      <c r="J736" s="19">
        <f>ROUNDDOWN(W736,0)/$V736</f>
        <v/>
      </c>
      <c r="K736" s="19">
        <f>ROUNDDOWN(X736,0)/$V736</f>
        <v/>
      </c>
      <c r="L736" s="19">
        <f>ROUNDDOWN(Y736,0)/$V736</f>
        <v/>
      </c>
      <c r="M736" s="19">
        <f>ROUNDDOWN(Z736,0)/$V736</f>
        <v/>
      </c>
      <c r="O736" s="36" t="inlineStr">
        <is>
          <t>𭝴 𭝵 𭝶 𭝷 𭝸 𭝹 𭝺 𭝻 𭝼 𭝽 𭝾 𭝿 𭞀 𭞁 𭞂 𭞃 𭞄 𭞅 𭞆 𭞇 𭞈 𭞉 𭞊 𭞋 𭞌 𭞍 𭞎 𭞏 𭞐 𭞑 𭞒 𭞓 𭞔 𭞕 𭞖 𭞗 𭞘 𭞙 𭞚 𭞛 𭞜 𭞝 𭞞 𭞟 𭞠 𭞡 𭞢 𭞣 𭞤 𭞥 𭞦 𭞧 𭞨 𭞩 𭞪 𭞫 𭞬 𭞭 𭞮 𭞯 𭞰 𭞱 𭞲 𭞳 𭞴 𭞵 𭞶 𭞷 𭞸 𭞹 𭞺 𭞻 𭞼 𭞽 𭞾 𭞿 𭟀 𭟁 𭟂 𭟃 𭟄 𭟅 𭟆 𭟇 𭟈 𭟉 𭟊 𭟋 𭟌 𭟍 𭟎 𭟏 𭟐 𭟑 𭟒 𭟓 𭟔 𭟕 𭟖 𭟗 𭟘 𭟙 𭟚 𭟛 𭟜 𭟝 𭟞 𭟟 𭟠 𭟡 𭟢 𭟣 𭟤 𭟥 𭟦 𭟧 𭟨 𭟩 𭟪 𭟫 𭟬 𭟭 𭟮 𭟯 𭟰 𭟱 𭟲 𭟳 𭟴 𭟵 𭟶 𭟷 𭟸 𭟹 𭟺 𭟻 𭟼 𭟽 𭟾 𭟿 𭠀 𭠁 𭠂 𭠃 𭠄 𭠅 𭠆 𭠇 𭠈 𭠉 𭠊 𭠋 𭠌 𭠍 𭠎 𭠏 𭠐 𭠑 𭠒 𭠓 𭠔 𭠕 𭠖 𭠗 𭠘 𭠙 𭠚 𭠛 𭠜 𭠝 𭠞 𭠟 𭠠 𭠡 𭠢 𭠣 𭠤 𭠥 𭠦 𭠧 𭠨 𭠩 𭠪 𭠫 𭠬 𭠭 𭠮 𭠯 𭠰 𭠱 𭠲 𭠳 𭠴 𭠵 𭠶 𭠷 𭠸 𭠹 𭠺 𭠻 𭠼 𭠽 𭠾 𭠿 𭡀 𭡁 𭡂 𭡃 𭡄 𭡅 𭡆 𭡇 𭡈 𭡉 𭡊 𭡋 𭡌 𭡍 𭡎 𭡏 𭡐 𭡑 𭡒 𭡓 𭡔 𭡕 𭡖 𭡗 𭡘 𭡙 𭡚 𭡛 𭡜 𭡝 𭡞 𭡟 𭡠 𭡡 𭡢 𭡣 𭡤 𭡥 𭡦 𭡧 𭡨 𭡩 𭡪 𭡫 𭡬</t>
        </is>
      </c>
      <c r="V736" s="14">
        <f>(LEN(O736)+1)/2</f>
        <v/>
      </c>
      <c r="W736" s="14">
        <f>ROUNDDOWN((LEN(P736)+1)/2,0)</f>
        <v/>
      </c>
      <c r="X736" s="14">
        <f>ROUNDDOWN((LEN(Q736)+1)/2,0)</f>
        <v/>
      </c>
      <c r="Y736" s="14">
        <f>ROUNDDOWN((LEN(R736)+1)/2,0)</f>
        <v/>
      </c>
      <c r="Z736" s="14">
        <f>ROUNDDOWN((LEN(S736)+1)/2,0)</f>
        <v/>
      </c>
    </row>
    <row r="737" ht="102" customHeight="1">
      <c r="B737" s="46" t="inlineStr">
        <is>
          <t>U+2D966-U+2DA5E</t>
        </is>
      </c>
      <c r="C737" s="46" t="inlineStr">
        <is>
          <t>CJK Unified Ideographs Extension F</t>
        </is>
      </c>
      <c r="D737" s="54">
        <f>HEX2DEC(MID(B737,3,FIND("-",E737)-3))</f>
        <v/>
      </c>
      <c r="E737" s="46" t="inlineStr">
        <is>
          <t>U+2CEB0-U+2EBEF</t>
        </is>
      </c>
      <c r="F737" s="12" t="n">
        <v>4</v>
      </c>
      <c r="J737" s="19">
        <f>ROUNDDOWN(W737,0)/$V737</f>
        <v/>
      </c>
      <c r="K737" s="19">
        <f>ROUNDDOWN(X737,0)/$V737</f>
        <v/>
      </c>
      <c r="L737" s="19">
        <f>ROUNDDOWN(Y737,0)/$V737</f>
        <v/>
      </c>
      <c r="M737" s="19">
        <f>ROUNDDOWN(Z737,0)/$V737</f>
        <v/>
      </c>
      <c r="O737" s="36" t="inlineStr">
        <is>
          <t>𭡭 𭡮 𭡯 𭡰 𭡱 𭡲 𭡳 𭡴 𭡵 𭡶 𭡷 𭡸 𭡹 𭡺 𭡻 𭡼 𭡽 𭡾 𭡿 𭢀 𭢁 𭢂 𭢃 𭢄 𭢅 𭢆 𭢇 𭢈 𭢉 𭢊 𭢋 𭢌 𭢍 𭢎 𭢏 𭢐 𭢑 𭢒 𭢓 𭢔 𭢕 𭢖 𭢗 𭢘 𭢙 𭢚 𭢛 𭢜 𭢝 𭢞 𭢟 𭢠 𭢡 𭢢 𭢣 𭢤 𭢥 𭢦 𭢧 𭢨 𭢩 𭢪 𭢫 𭢬 𭢭 𭢮 𭢯 𭢰 𭢱 𭢲 𭢳 𭢴 𭢵 𭢶 𭢷 𭢸 𭢹 𭢺 𭢻 𭢼 𭢽 𭢾 𭢿 𭣀 𭣁 𭣂 𭣃 𭣄 𭣅 𭣆 𭣇 𭣈 𭣉 𭣊 𭣋 𭣌 𭣍 𭣎 𭣏 𭣐 𭣑 𭣒 𭣓 𭣔 𭣕 𭣖 𭣗 𭣘 𭣙 𭣚 𭣛 𭣜 𭣝 𭣞 𭣟 𭣠 𭣡 𭣢 𭣣 𭣤 𭣥 𭣦 𭣧 𭣨 𭣩 𭣪 𭣫 𭣬 𭣭 𭣮 𭣯 𭣰 𭣱 𭣲 𭣳 𭣴 𭣵 𭣶 𭣷 𭣸 𭣹 𭣺 𭣻 𭣼 𭣽 𭣾 𭣿 𭤀 𭤁 𭤂 𭤃 𭤄 𭤅 𭤆 𭤇 𭤈 𭤉 𭤊 𭤋 𭤌 𭤍 𭤎 𭤏 𭤐 𭤑 𭤒 𭤓 𭤔 𭤕 𭤖 𭤗 𭤘 𭤙 𭤚 𭤛 𭤜 𭤝 𭤞 𭤟 𭤠 𭤡 𭤢 𭤣 𭤤 𭤥 𭤦 𭤧 𭤨 𭤩 𭤪 𭤫 𭤬 𭤭 𭤮 𭤯 𭤰 𭤱 𭤲 𭤳 𭤴 𭤵 𭤶 𭤷 𭤸 𭤹 𭤺 𭤻 𭤼 𭤽 𭤾 𭤿 𭥀 𭥁 𭥂 𭥃 𭥄 𭥅 𭥆 𭥇 𭥈 𭥉 𭥊 𭥋 𭥌 𭥍 𭥎 𭥏 𭥐 𭥑 𭥒 𭥓 𭥔 𭥕 𭥖 𭥗 𭥘 𭥙 𭥚 𭥛 𭥜 𭥝 𭥞 𭥟 𭥠 𭥡 𭥢 𭥣 𭥤 𭥥</t>
        </is>
      </c>
      <c r="V737" s="14">
        <f>(LEN(O737)+1)/2</f>
        <v/>
      </c>
      <c r="W737" s="14">
        <f>ROUNDDOWN((LEN(P737)+1)/2,0)</f>
        <v/>
      </c>
      <c r="X737" s="14">
        <f>ROUNDDOWN((LEN(Q737)+1)/2,0)</f>
        <v/>
      </c>
      <c r="Y737" s="14">
        <f>ROUNDDOWN((LEN(R737)+1)/2,0)</f>
        <v/>
      </c>
      <c r="Z737" s="14">
        <f>ROUNDDOWN((LEN(S737)+1)/2,0)</f>
        <v/>
      </c>
    </row>
    <row r="738" ht="102" customHeight="1">
      <c r="B738" s="46" t="inlineStr">
        <is>
          <t>U+2DA5F-U+2DB57</t>
        </is>
      </c>
      <c r="C738" s="46" t="inlineStr">
        <is>
          <t>CJK Unified Ideographs Extension F</t>
        </is>
      </c>
      <c r="D738" s="54">
        <f>HEX2DEC(MID(B738,3,FIND("-",E738)-3))</f>
        <v/>
      </c>
      <c r="E738" s="46" t="inlineStr">
        <is>
          <t>U+2CEB0-U+2EBEF</t>
        </is>
      </c>
      <c r="F738" s="12" t="n">
        <v>4</v>
      </c>
      <c r="J738" s="19">
        <f>ROUNDDOWN(W738,0)/$V738</f>
        <v/>
      </c>
      <c r="K738" s="19">
        <f>ROUNDDOWN(X738,0)/$V738</f>
        <v/>
      </c>
      <c r="L738" s="19">
        <f>ROUNDDOWN(Y738,0)/$V738</f>
        <v/>
      </c>
      <c r="M738" s="19">
        <f>ROUNDDOWN(Z738,0)/$V738</f>
        <v/>
      </c>
      <c r="O738" s="36" t="inlineStr">
        <is>
          <t>𭥦 𭥧 𭥨 𭥩 𭥪 𭥫 𭥬 𭥭 𭥮 𭥯 𭥰 𭥱 𭥲 𭥳 𭥴 𭥵 𭥶 𭥷 𭥸 𭥹 𭥺 𭥻 𭥼 𭥽 𭥾 𭥿 𭦀 𭦁 𭦂 𭦃 𭦄 𭦅 𭦆 𭦇 𭦈 𭦉 𭦊 𭦋 𭦌 𭦍 𭦎 𭦏 𭦐 𭦑 𭦒 𭦓 𭦔 𭦕 𭦖 𭦗 𭦘 𭦙 𭦚 𭦛 𭦜 𭦝 𭦞 𭦟 𭦠 𭦡 𭦢 𭦣 𭦤 𭦥 𭦦 𭦧 𭦨 𭦩 𭦪 𭦫 𭦬 𭦭 𭦮 𭦯 𭦰 𭦱 𭦲 𭦳 𭦴 𭦵 𭦶 𭦷 𭦸 𭦹 𭦺 𭦻 𭦼 𭦽 𭦾 𭦿 𭧀 𭧁 𭧂 𭧃 𭧄 𭧅 𭧆 𭧇 𭧈 𭧉 𭧊 𭧋 𭧌 𭧍 𭧎 𭧏 𭧐 𭧑 𭧒 𭧓 𭧔 𭧕 𭧖 𭧗 𭧘 𭧙 𭧚 𭧛 𭧜 𭧝 𭧞 𭧟 𭧠 𭧡 𭧢 𭧣 𭧤 𭧥 𭧦 𭧧 𭧨 𭧩 𭧪 𭧫 𭧬 𭧭 𭧮 𭧯 𭧰 𭧱 𭧲 𭧳 𭧴 𭧵 𭧶 𭧷 𭧸 𭧹 𭧺 𭧻 𭧼 𭧽 𭧾 𭧿 𭨀 𭨁 𭨂 𭨃 𭨄 𭨅 𭨆 𭨇 𭨈 𭨉 𭨊 𭨋 𭨌 𭨍 𭨎 𭨏 𭨐 𭨑 𭨒 𭨓 𭨔 𭨕 𭨖 𭨗 𭨘 𭨙 𭨚 𭨛 𭨜 𭨝 𭨞 𭨟 𭨠 𭨡 𭨢 𭨣 𭨤 𭨥 𭨦 𭨧 𭨨 𭨩 𭨪 𭨫 𭨬 𭨭 𭨮 𭨯 𭨰 𭨱 𭨲 𭨳 𭨴 𭨵 𭨶 𭨷 𭨸 𭨹 𭨺 𭨻 𭨼 𭨽 𭨾 𭨿 𭩀 𭩁 𭩂 𭩃 𭩄 𭩅 𭩆 𭩇 𭩈 𭩉 𭩊 𭩋 𭩌 𭩍 𭩎 𭩏 𭩐 𭩑 𭩒 𭩓 𭩔 𭩕 𭩖 𭩗 𭩘 𭩙 𭩚 𭩛 𭩜 𭩝 𭩞</t>
        </is>
      </c>
      <c r="V738" s="14">
        <f>(LEN(O738)+1)/2</f>
        <v/>
      </c>
      <c r="W738" s="14">
        <f>ROUNDDOWN((LEN(P738)+1)/2,0)</f>
        <v/>
      </c>
      <c r="X738" s="14">
        <f>ROUNDDOWN((LEN(Q738)+1)/2,0)</f>
        <v/>
      </c>
      <c r="Y738" s="14">
        <f>ROUNDDOWN((LEN(R738)+1)/2,0)</f>
        <v/>
      </c>
      <c r="Z738" s="14">
        <f>ROUNDDOWN((LEN(S738)+1)/2,0)</f>
        <v/>
      </c>
    </row>
    <row r="739" ht="102" customHeight="1">
      <c r="B739" s="46" t="inlineStr">
        <is>
          <t>U+2DB58-U+2DC50</t>
        </is>
      </c>
      <c r="C739" s="46" t="inlineStr">
        <is>
          <t>CJK Unified Ideographs Extension F</t>
        </is>
      </c>
      <c r="D739" s="54">
        <f>HEX2DEC(MID(B739,3,FIND("-",E739)-3))</f>
        <v/>
      </c>
      <c r="E739" s="46" t="inlineStr">
        <is>
          <t>U+2CEB0-U+2EBEF</t>
        </is>
      </c>
      <c r="F739" s="12" t="n">
        <v>4</v>
      </c>
      <c r="J739" s="19">
        <f>ROUNDDOWN(W739,0)/$V739</f>
        <v/>
      </c>
      <c r="K739" s="19">
        <f>ROUNDDOWN(X739,0)/$V739</f>
        <v/>
      </c>
      <c r="L739" s="19">
        <f>ROUNDDOWN(Y739,0)/$V739</f>
        <v/>
      </c>
      <c r="M739" s="19">
        <f>ROUNDDOWN(Z739,0)/$V739</f>
        <v/>
      </c>
      <c r="O739" s="36" t="inlineStr">
        <is>
          <t>𭩟 𭩠 𭩡 𭩢 𭩣 𭩤 𭩥 𭩦 𭩧 𭩨 𭩩 𭩪 𭩫 𭩬 𭩭 𭩮 𭩯 𭩰 𭩱 𭩲 𭩳 𭩴 𭩵 𭩶 𭩷 𭩸 𭩹 𭩺 𭩻 𭩼 𭩽 𭩾 𭩿 𭪀 𭪁 𭪂 𭪃 𭪄 𭪅 𭪆 𭪇 𭪈 𭪉 𭪊 𭪋 𭪌 𭪍 𭪎 𭪏 𭪐 𭪑 𭪒 𭪓 𭪔 𭪕 𭪖 𭪗 𭪘 𭪙 𭪚 𭪛 𭪜 𭪝 𭪞 𭪟 𭪠 𭪡 𭪢 𭪣 𭪤 𭪥 𭪦 𭪧 𭪨 𭪩 𭪪 𭪫 𭪬 𭪭 𭪮 𭪯 𭪰 𭪱 𭪲 𭪳 𭪴 𭪵 𭪶 𭪷 𭪸 𭪹 𭪺 𭪻 𭪼 𭪽 𭪾 𭪿 𭫀 𭫁 𭫂 𭫃 𭫄 𭫅 𭫆 𭫇 𭫈 𭫉 𭫊 𭫋 𭫌 𭫍 𭫎 𭫏 𭫐 𭫑 𭫒 𭫓 𭫔 𭫕 𭫖 𭫗 𭫘 𭫙 𭫚 𭫛 𭫜 𭫝 𭫞 𭫟 𭫠 𭫡 𭫢 𭫣 𭫤 𭫥 𭫦 𭫧 𭫨 𭫩 𭫪 𭫫 𭫬 𭫭 𭫮 𭫯 𭫰 𭫱 𭫲 𭫳 𭫴 𭫵 𭫶 𭫷 𭫸 𭫹 𭫺 𭫻 𭫼 𭫽 𭫾 𭫿 𭬀 𭬁 𭬂 𭬃 𭬄 𭬅 𭬆 𭬇 𭬈 𭬉 𭬊 𭬋 𭬌 𭬍 𭬎 𭬏 𭬐 𭬑 𭬒 𭬓 𭬔 𭬕 𭬖 𭬗 𭬘 𭬙 𭬚 𭬛 𭬜 𭬝 𭬞 𭬟 𭬠 𭬡 𭬢 𭬣 𭬤 𭬥 𭬦 𭬧 𭬨 𭬩 𭬪 𭬫 𭬬 𭬭 𭬮 𭬯 𭬰 𭬱 𭬲 𭬳 𭬴 𭬵 𭬶 𭬷 𭬸 𭬹 𭬺 𭬻 𭬼 𭬽 𭬾 𭬿 𭭀 𭭁 𭭂 𭭃 𭭄 𭭅 𭭆 𭭇 𭭈 𭭉 𭭊 𭭋 𭭌 𭭍 𭭎 𭭏 𭭐 𭭑 𭭒 𭭓 𭭔 𭭕 𭭖 𭭗</t>
        </is>
      </c>
      <c r="V739" s="14">
        <f>(LEN(O739)+1)/2</f>
        <v/>
      </c>
      <c r="W739" s="14">
        <f>ROUNDDOWN((LEN(P739)+1)/2,0)</f>
        <v/>
      </c>
      <c r="X739" s="14">
        <f>ROUNDDOWN((LEN(Q739)+1)/2,0)</f>
        <v/>
      </c>
      <c r="Y739" s="14">
        <f>ROUNDDOWN((LEN(R739)+1)/2,0)</f>
        <v/>
      </c>
      <c r="Z739" s="14">
        <f>ROUNDDOWN((LEN(S739)+1)/2,0)</f>
        <v/>
      </c>
    </row>
    <row r="740" ht="102" customHeight="1">
      <c r="B740" s="46" t="inlineStr">
        <is>
          <t>U+2DC51-U+2DD49</t>
        </is>
      </c>
      <c r="C740" s="46" t="inlineStr">
        <is>
          <t>CJK Unified Ideographs Extension F</t>
        </is>
      </c>
      <c r="D740" s="54">
        <f>HEX2DEC(MID(B740,3,FIND("-",E740)-3))</f>
        <v/>
      </c>
      <c r="E740" s="46" t="inlineStr">
        <is>
          <t>U+2CEB0-U+2EBEF</t>
        </is>
      </c>
      <c r="F740" s="12" t="n">
        <v>4</v>
      </c>
      <c r="J740" s="19">
        <f>ROUNDDOWN(W740,0)/$V740</f>
        <v/>
      </c>
      <c r="K740" s="19">
        <f>ROUNDDOWN(X740,0)/$V740</f>
        <v/>
      </c>
      <c r="L740" s="19">
        <f>ROUNDDOWN(Y740,0)/$V740</f>
        <v/>
      </c>
      <c r="M740" s="19">
        <f>ROUNDDOWN(Z740,0)/$V740</f>
        <v/>
      </c>
      <c r="O740" s="36" t="inlineStr">
        <is>
          <t>𭭘 𭭙 𭭚 𭭛 𭭜 𭭝 𭭞 𭭟 𭭠 𭭡 𭭢 𭭣 𭭤 𭭥 𭭦 𭭧 𭭨 𭭩 𭭪 𭭫 𭭬 𭭭 𭭮 𭭯 𭭰 𭭱 𭭲 𭭳 𭭴 𭭵 𭭶 𭭷 𭭸 𭭹 𭭺 𭭻 𭭼 𭭽 𭭾 𭭿 𭮀 𭮁 𭮂 𭮃 𭮄 𭮅 𭮆 𭮇 𭮈 𭮉 𭮊 𭮋 𭮌 𭮍 𭮎 𭮏 𭮐 𭮑 𭮒 𭮓 𭮔 𭮕 𭮖 𭮗 𭮘 𭮙 𭮚 𭮛 𭮜 𭮝 𭮞 𭮟 𭮠 𭮡 𭮢 𭮣 𭮤 𭮥 𭮦 𭮧 𭮨 𭮩 𭮪 𭮫 𭮬 𭮭 𭮮 𭮯 𭮰 𭮱 𭮲 𭮳 𭮴 𭮵 𭮶 𭮷 𭮸 𭮹 𭮺 𭮻 𭮼 𭮽 𭮾 𭮿 𭯀 𭯁 𭯂 𭯃 𭯄 𭯅 𭯆 𭯇 𭯈 𭯉 𭯊 𭯋 𭯌 𭯍 𭯎 𭯏 𭯐 𭯑 𭯒 𭯓 𭯔 𭯕 𭯖 𭯗 𭯘 𭯙 𭯚 𭯛 𭯜 𭯝 𭯞 𭯟 𭯠 𭯡 𭯢 𭯣 𭯤 𭯥 𭯦 𭯧 𭯨 𭯩 𭯪 𭯫 𭯬 𭯭 𭯮 𭯯 𭯰 𭯱 𭯲 𭯳 𭯴 𭯵 𭯶 𭯷 𭯸 𭯹 𭯺 𭯻 𭯼 𭯽 𭯾 𭯿 𭰀 𭰁 𭰂 𭰃 𭰄 𭰅 𭰆 𭰇 𭰈 𭰉 𭰊 𭰋 𭰌 𭰍 𭰎 𭰏 𭰐 𭰑 𭰒 𭰓 𭰔 𭰕 𭰖 𭰗 𭰘 𭰙 𭰚 𭰛 𭰜 𭰝 𭰞 𭰟 𭰠 𭰡 𭰢 𭰣 𭰤 𭰥 𭰦 𭰧 𭰨 𭰩 𭰪 𭰫 𭰬 𭰭 𭰮 𭰯 𭰰 𭰱 𭰲 𭰳 𭰴 𭰵 𭰶 𭰷 𭰸 𭰹 𭰺 𭰻 𭰼 𭰽 𭰾 𭰿 𭱀 𭱁 𭱂 𭱃 𭱄 𭱅 𭱆 𭱇 𭱈 𭱉 𭱊 𭱋 𭱌 𭱍 𭱎 𭱏 𭱐</t>
        </is>
      </c>
      <c r="V740" s="14">
        <f>(LEN(O740)+1)/2</f>
        <v/>
      </c>
      <c r="W740" s="14">
        <f>ROUNDDOWN((LEN(P740)+1)/2,0)</f>
        <v/>
      </c>
      <c r="X740" s="14">
        <f>ROUNDDOWN((LEN(Q740)+1)/2,0)</f>
        <v/>
      </c>
      <c r="Y740" s="14">
        <f>ROUNDDOWN((LEN(R740)+1)/2,0)</f>
        <v/>
      </c>
      <c r="Z740" s="14">
        <f>ROUNDDOWN((LEN(S740)+1)/2,0)</f>
        <v/>
      </c>
    </row>
    <row r="741" ht="102" customHeight="1">
      <c r="B741" s="46" t="inlineStr">
        <is>
          <t>U+2DD4A-U+2DE42</t>
        </is>
      </c>
      <c r="C741" s="46" t="inlineStr">
        <is>
          <t>CJK Unified Ideographs Extension F</t>
        </is>
      </c>
      <c r="D741" s="54">
        <f>HEX2DEC(MID(B741,3,FIND("-",E741)-3))</f>
        <v/>
      </c>
      <c r="E741" s="46" t="inlineStr">
        <is>
          <t>U+2CEB0-U+2EBEF</t>
        </is>
      </c>
      <c r="F741" s="12" t="n">
        <v>4</v>
      </c>
      <c r="J741" s="19">
        <f>ROUNDDOWN(W741,0)/$V741</f>
        <v/>
      </c>
      <c r="K741" s="19">
        <f>ROUNDDOWN(X741,0)/$V741</f>
        <v/>
      </c>
      <c r="L741" s="19">
        <f>ROUNDDOWN(Y741,0)/$V741</f>
        <v/>
      </c>
      <c r="M741" s="19">
        <f>ROUNDDOWN(Z741,0)/$V741</f>
        <v/>
      </c>
      <c r="O741" s="36" t="inlineStr">
        <is>
          <t>𭱑 𭱒 𭱓 𭱔 𭱕 𭱖 𭱗 𭱘 𭱙 𭱚 𭱛 𭱜 𭱝 𭱞 𭱟 𭱠 𭱡 𭱢 𭱣 𭱤 𭱥 𭱦 𭱧 𭱨 𭱩 𭱪 𭱫 𭱬 𭱭 𭱮 𭱯 𭱰 𭱱 𭱲 𭱳 𭱴 𭱵 𭱶 𭱷 𭱸 𭱹 𭱺 𭱻 𭱼 𭱽 𭱾 𭱿 𭲀 𭲁 𭲂 𭲃 𭲄 𭲅 𭲆 𭲇 𭲈 𭲉 𭲊 𭲋 𭲌 𭲍 𭲎 𭲏 𭲐 𭲑 𭲒 𭲓 𭲔 𭲕 𭲖 𭲗 𭲘 𭲙 𭲚 𭲛 𭲜 𭲝 𭲞 𭲟 𭲠 𭲡 𭲢 𭲣 𭲤 𭲥 𭲦 𭲧 𭲨 𭲩 𭲪 𭲫 𭲬 𭲭 𭲮 𭲯 𭲰 𭲱 𭲲 𭲳 𭲴 𭲵 𭲶 𭲷 𭲸 𭲹 𭲺 𭲻 𭲼 𭲽 𭲾 𭲿 𭳀 𭳁 𭳂 𭳃 𭳄 𭳅 𭳆 𭳇 𭳈 𭳉 𭳊 𭳋 𭳌 𭳍 𭳎 𭳏 𭳐 𭳑 𭳒 𭳓 𭳔 𭳕 𭳖 𭳗 𭳘 𭳙 𭳚 𭳛 𭳜 𭳝 𭳞 𭳟 𭳠 𭳡 𭳢 𭳣 𭳤 𭳥 𭳦 𭳧 𭳨 𭳩 𭳪 𭳫 𭳬 𭳭 𭳮 𭳯 𭳰 𭳱 𭳲 𭳳 𭳴 𭳵 𭳶 𭳷 𭳸 𭳹 𭳺 𭳻 𭳼 𭳽 𭳾 𭳿 𭴀 𭴁 𭴂 𭴃 𭴄 𭴅 𭴆 𭴇 𭴈 𭴉 𭴊 𭴋 𭴌 𭴍 𭴎 𭴏 𭴐 𭴑 𭴒 𭴓 𭴔 𭴕 𭴖 𭴗 𭴘 𭴙 𭴚 𭴛 𭴜 𭴝 𭴞 𭴟 𭴠 𭴡 𭴢 𭴣 𭴤 𭴥 𭴦 𭴧 𭴨 𭴩 𭴪 𭴫 𭴬 𭴭 𭴮 𭴯 𭴰 𭴱 𭴲 𭴳 𭴴 𭴵 𭴶 𭴷 𭴸 𭴹 𭴺 𭴻 𭴼 𭴽 𭴾 𭴿 𭵀 𭵁 𭵂 𭵃 𭵄 𭵅 𭵆 𭵇 𭵈 𭵉</t>
        </is>
      </c>
      <c r="V741" s="14">
        <f>(LEN(O741)+1)/2</f>
        <v/>
      </c>
      <c r="W741" s="14">
        <f>ROUNDDOWN((LEN(P741)+1)/2,0)</f>
        <v/>
      </c>
      <c r="X741" s="14">
        <f>ROUNDDOWN((LEN(Q741)+1)/2,0)</f>
        <v/>
      </c>
      <c r="Y741" s="14">
        <f>ROUNDDOWN((LEN(R741)+1)/2,0)</f>
        <v/>
      </c>
      <c r="Z741" s="14">
        <f>ROUNDDOWN((LEN(S741)+1)/2,0)</f>
        <v/>
      </c>
    </row>
    <row r="742" ht="102" customHeight="1">
      <c r="B742" s="46" t="inlineStr">
        <is>
          <t>U+2DE43-U+2DF3B</t>
        </is>
      </c>
      <c r="C742" s="46" t="inlineStr">
        <is>
          <t>CJK Unified Ideographs Extension F</t>
        </is>
      </c>
      <c r="D742" s="54">
        <f>HEX2DEC(MID(B742,3,FIND("-",E742)-3))</f>
        <v/>
      </c>
      <c r="E742" s="46" t="inlineStr">
        <is>
          <t>U+2CEB0-U+2EBEF</t>
        </is>
      </c>
      <c r="F742" s="12" t="n">
        <v>4</v>
      </c>
      <c r="J742" s="19">
        <f>ROUNDDOWN(W742,0)/$V742</f>
        <v/>
      </c>
      <c r="K742" s="19">
        <f>ROUNDDOWN(X742,0)/$V742</f>
        <v/>
      </c>
      <c r="L742" s="19">
        <f>ROUNDDOWN(Y742,0)/$V742</f>
        <v/>
      </c>
      <c r="M742" s="19">
        <f>ROUNDDOWN(Z742,0)/$V742</f>
        <v/>
      </c>
      <c r="O742" s="36" t="inlineStr">
        <is>
          <t>𭵊 𭵋 𭵌 𭵍 𭵎 𭵏 𭵐 𭵑 𭵒 𭵓 𭵔 𭵕 𭵖 𭵗 𭵘 𭵙 𭵚 𭵛 𭵜 𭵝 𭵞 𭵟 𭵠 𭵡 𭵢 𭵣 𭵤 𭵥 𭵦 𭵧 𭵨 𭵩 𭵪 𭵫 𭵬 𭵭 𭵮 𭵯 𭵰 𭵱 𭵲 𭵳 𭵴 𭵵 𭵶 𭵷 𭵸 𭵹 𭵺 𭵻 𭵼 𭵽 𭵾 𭵿 𭶀 𭶁 𭶂 𭶃 𭶄 𭶅 𭶆 𭶇 𭶈 𭶉 𭶊 𭶋 𭶌 𭶍 𭶎 𭶏 𭶐 𭶑 𭶒 𭶓 𭶔 𭶕 𭶖 𭶗 𭶘 𭶙 𭶚 𭶛 𭶜 𭶝 𭶞 𭶟 𭶠 𭶡 𭶢 𭶣 𭶤 𭶥 𭶦 𭶧 𭶨 𭶩 𭶪 𭶫 𭶬 𭶭 𭶮 𭶯 𭶰 𭶱 𭶲 𭶳 𭶴 𭶵 𭶶 𭶷 𭶸 𭶹 𭶺 𭶻 𭶼 𭶽 𭶾 𭶿 𭷀 𭷁 𭷂 𭷃 𭷄 𭷅 𭷆 𭷇 𭷈 𭷉 𭷊 𭷋 𭷌 𭷍 𭷎 𭷏 𭷐 𭷑 𭷒 𭷓 𭷔 𭷕 𭷖 𭷗 𭷘 𭷙 𭷚 𭷛 𭷜 𭷝 𭷞 𭷟 𭷠 𭷡 𭷢 𭷣 𭷤 𭷥 𭷦 𭷧 𭷨 𭷩 𭷪 𭷫 𭷬 𭷭 𭷮 𭷯 𭷰 𭷱 𭷲 𭷳 𭷴 𭷵 𭷶 𭷷 𭷸 𭷹 𭷺 𭷻 𭷼 𭷽 𭷾 𭷿 𭸀 𭸁 𭸂 𭸃 𭸄 𭸅 𭸆 𭸇 𭸈 𭸉 𭸊 𭸋 𭸌 𭸍 𭸎 𭸏 𭸐 𭸑 𭸒 𭸓 𭸔 𭸕 𭸖 𭸗 𭸘 𭸙 𭸚 𭸛 𭸜 𭸝 𭸞 𭸟 𭸠 𭸡 𭸢 𭸣 𭸤 𭸥 𭸦 𭸧 𭸨 𭸩 𭸪 𭸫 𭸬 𭸭 𭸮 𭸯 𭸰 𭸱 𭸲 𭸳 𭸴 𭸵 𭸶 𭸷 𭸸 𭸹 𭸺 𭸻 𭸼 𭸽 𭸾 𭸿 𭹀 𭹁 𭹂</t>
        </is>
      </c>
      <c r="V742" s="14">
        <f>(LEN(O742)+1)/2</f>
        <v/>
      </c>
      <c r="W742" s="14">
        <f>ROUNDDOWN((LEN(P742)+1)/2,0)</f>
        <v/>
      </c>
      <c r="X742" s="14">
        <f>ROUNDDOWN((LEN(Q742)+1)/2,0)</f>
        <v/>
      </c>
      <c r="Y742" s="14">
        <f>ROUNDDOWN((LEN(R742)+1)/2,0)</f>
        <v/>
      </c>
      <c r="Z742" s="14">
        <f>ROUNDDOWN((LEN(S742)+1)/2,0)</f>
        <v/>
      </c>
    </row>
    <row r="743" ht="102" customHeight="1">
      <c r="B743" s="46" t="inlineStr">
        <is>
          <t>U+2DF3C-U+2E034</t>
        </is>
      </c>
      <c r="C743" s="46" t="inlineStr">
        <is>
          <t>CJK Unified Ideographs Extension F</t>
        </is>
      </c>
      <c r="D743" s="54">
        <f>HEX2DEC(MID(B743,3,FIND("-",E743)-3))</f>
        <v/>
      </c>
      <c r="E743" s="46" t="inlineStr">
        <is>
          <t>U+2CEB0-U+2EBEF</t>
        </is>
      </c>
      <c r="F743" s="12" t="n">
        <v>4</v>
      </c>
      <c r="J743" s="19">
        <f>ROUNDDOWN(W743,0)/$V743</f>
        <v/>
      </c>
      <c r="K743" s="19">
        <f>ROUNDDOWN(X743,0)/$V743</f>
        <v/>
      </c>
      <c r="L743" s="19">
        <f>ROUNDDOWN(Y743,0)/$V743</f>
        <v/>
      </c>
      <c r="M743" s="19">
        <f>ROUNDDOWN(Z743,0)/$V743</f>
        <v/>
      </c>
      <c r="O743" s="36" t="inlineStr">
        <is>
          <t>𭹃 𭹄 𭹅 𭹆 𭹇 𭹈 𭹉 𭹊 𭹋 𭹌 𭹍 𭹎 𭹏 𭹐 𭹑 𭹒 𭹓 𭹔 𭹕 𭹖 𭹗 𭹘 𭹙 𭹚 𭹛 𭹜 𭹝 𭹞 𭹟 𭹠 𭹡 𭹢 𭹣 𭹤 𭹥 𭹦 𭹧 𭹨 𭹩 𭹪 𭹫 𭹬 𭹭 𭹮 𭹯 𭹰 𭹱 𭹲 𭹳 𭹴 𭹵 𭹶 𭹷 𭹸 𭹹 𭹺 𭹻 𭹼 𭹽 𭹾 𭹿 𭺀 𭺁 𭺂 𭺃 𭺄 𭺅 𭺆 𭺇 𭺈 𭺉 𭺊 𭺋 𭺌 𭺍 𭺎 𭺏 𭺐 𭺑 𭺒 𭺓 𭺔 𭺕 𭺖 𭺗 𭺘 𭺙 𭺚 𭺛 𭺜 𭺝 𭺞 𭺟 𭺠 𭺡 𭺢 𭺣 𭺤 𭺥 𭺦 𭺧 𭺨 𭺩 𭺪 𭺫 𭺬 𭺭 𭺮 𭺯 𭺰 𭺱 𭺲 𭺳 𭺴 𭺵 𭺶 𭺷 𭺸 𭺹 𭺺 𭺻 𭺼 𭺽 𭺾 𭺿 𭻀 𭻁 𭻂 𭻃 𭻄 𭻅 𭻆 𭻇 𭻈 𭻉 𭻊 𭻋 𭻌 𭻍 𭻎 𭻏 𭻐 𭻑 𭻒 𭻓 𭻔 𭻕 𭻖 𭻗 𭻘 𭻙 𭻚 𭻛 𭻜 𭻝 𭻞 𭻟 𭻠 𭻡 𭻢 𭻣 𭻤 𭻥 𭻦 𭻧 𭻨 𭻩 𭻪 𭻫 𭻬 𭻭 𭻮 𭻯 𭻰 𭻱 𭻲 𭻳 𭻴 𭻵 𭻶 𭻷 𭻸 𭻹 𭻺 𭻻 𭻼 𭻽 𭻾 𭻿 𭼀 𭼁 𭼂 𭼃 𭼄 𭼅 𭼆 𭼇 𭼈 𭼉 𭼊 𭼋 𭼌 𭼍 𭼎 𭼏 𭼐 𭼑 𭼒 𭼓 𭼔 𭼕 𭼖 𭼗 𭼘 𭼙 𭼚 𭼛 𭼜 𭼝 𭼞 𭼟 𭼠 𭼡 𭼢 𭼣 𭼤 𭼥 𭼦 𭼧 𭼨 𭼩 𭼪 𭼫 𭼬 𭼭 𭼮 𭼯 𭼰 𭼱 𭼲 𭼳 𭼴 𭼵 𭼶 𭼷 𭼸 𭼹 𭼺 𭼻</t>
        </is>
      </c>
      <c r="V743" s="14">
        <f>(LEN(O743)+1)/2</f>
        <v/>
      </c>
      <c r="W743" s="14">
        <f>ROUNDDOWN((LEN(P743)+1)/2,0)</f>
        <v/>
      </c>
      <c r="X743" s="14">
        <f>ROUNDDOWN((LEN(Q743)+1)/2,0)</f>
        <v/>
      </c>
      <c r="Y743" s="14">
        <f>ROUNDDOWN((LEN(R743)+1)/2,0)</f>
        <v/>
      </c>
      <c r="Z743" s="14">
        <f>ROUNDDOWN((LEN(S743)+1)/2,0)</f>
        <v/>
      </c>
    </row>
    <row r="744" ht="102" customHeight="1">
      <c r="B744" s="46" t="inlineStr">
        <is>
          <t>U+2E035-U+2E12D</t>
        </is>
      </c>
      <c r="C744" s="46" t="inlineStr">
        <is>
          <t>CJK Unified Ideographs Extension F</t>
        </is>
      </c>
      <c r="D744" s="54">
        <f>HEX2DEC(MID(B744,3,FIND("-",E744)-3))</f>
        <v/>
      </c>
      <c r="E744" s="46" t="inlineStr">
        <is>
          <t>U+2CEB0-U+2EBEF</t>
        </is>
      </c>
      <c r="F744" s="12" t="n">
        <v>4</v>
      </c>
      <c r="J744" s="19">
        <f>ROUNDDOWN(W744,0)/$V744</f>
        <v/>
      </c>
      <c r="K744" s="19">
        <f>ROUNDDOWN(X744,0)/$V744</f>
        <v/>
      </c>
      <c r="L744" s="19">
        <f>ROUNDDOWN(Y744,0)/$V744</f>
        <v/>
      </c>
      <c r="M744" s="19">
        <f>ROUNDDOWN(Z744,0)/$V744</f>
        <v/>
      </c>
      <c r="O744" s="36" t="inlineStr">
        <is>
          <t>𭼼 𭼽 𭼾 𭼿 𭽀 𭽁 𭽂 𭽃 𭽄 𭽅 𭽆 𭽇 𭽈 𭽉 𭽊 𭽋 𭽌 𭽍 𭽎 𭽏 𭽐 𭽑 𭽒 𭽓 𭽔 𭽕 𭽖 𭽗 𭽘 𭽙 𭽚 𭽛 𭽜 𭽝 𭽞 𭽟 𭽠 𭽡 𭽢 𭽣 𭽤 𭽥 𭽦 𭽧 𭽨 𭽩 𭽪 𭽫 𭽬 𭽭 𭽮 𭽯 𭽰 𭽱 𭽲 𭽳 𭽴 𭽵 𭽶 𭽷 𭽸 𭽹 𭽺 𭽻 𭽼 𭽽 𭽾 𭽿 𭾀 𭾁 𭾂 𭾃 𭾄 𭾅 𭾆 𭾇 𭾈 𭾉 𭾊 𭾋 𭾌 𭾍 𭾎 𭾏 𭾐 𭾑 𭾒 𭾓 𭾔 𭾕 𭾖 𭾗 𭾘 𭾙 𭾚 𭾛 𭾜 𭾝 𭾞 𭾟 𭾠 𭾡 𭾢 𭾣 𭾤 𭾥 𭾦 𭾧 𭾨 𭾩 𭾪 𭾫 𭾬 𭾭 𭾮 𭾯 𭾰 𭾱 𭾲 𭾳 𭾴 𭾵 𭾶 𭾷 𭾸 𭾹 𭾺 𭾻 𭾼 𭾽 𭾾 𭾿 𭿀 𭿁 𭿂 𭿃 𭿄 𭿅 𭿆 𭿇 𭿈 𭿉 𭿊 𭿋 𭿌 𭿍 𭿎 𭿏 𭿐 𭿑 𭿒 𭿓 𭿔 𭿕 𭿖 𭿗 𭿘 𭿙 𭿚 𭿛 𭿜 𭿝 𭿞 𭿟 𭿠 𭿡 𭿢 𭿣 𭿤 𭿥 𭿦 𭿧 𭿨 𭿩 𭿪 𭿫 𭿬 𭿭 𭿮 𭿯 𭿰 𭿱 𭿲 𭿳 𭿴 𭿵 𭿶 𭿷 𭿸 𭿹 𭿺 𭿻 𭿼 𭿽 𭿾 𭿿 𮀀 𮀁 𮀂 𮀃 𮀄 𮀅 𮀆 𮀇 𮀈 𮀉 𮀊 𮀋 𮀌 𮀍 𮀎 𮀏 𮀐 𮀑 𮀒 𮀓 𮀔 𮀕 𮀖 𮀗 𮀘 𮀙 𮀚 𮀛 𮀜 𮀝 𮀞 𮀟 𮀠 𮀡 𮀢 𮀣 𮀤 𮀥 𮀦 𮀧 𮀨 𮀩 𮀪 𮀫 𮀬 𮀭 𮀮 𮀯 𮀰 𮀱 𮀲 𮀳 𮀴</t>
        </is>
      </c>
      <c r="V744" s="14">
        <f>(LEN(O744)+1)/2</f>
        <v/>
      </c>
      <c r="W744" s="14">
        <f>ROUNDDOWN((LEN(P744)+1)/2,0)</f>
        <v/>
      </c>
      <c r="X744" s="14">
        <f>ROUNDDOWN((LEN(Q744)+1)/2,0)</f>
        <v/>
      </c>
      <c r="Y744" s="14">
        <f>ROUNDDOWN((LEN(R744)+1)/2,0)</f>
        <v/>
      </c>
      <c r="Z744" s="14">
        <f>ROUNDDOWN((LEN(S744)+1)/2,0)</f>
        <v/>
      </c>
    </row>
    <row r="745" ht="102" customHeight="1">
      <c r="B745" s="46" t="inlineStr">
        <is>
          <t>U+2E12E-U+2E226</t>
        </is>
      </c>
      <c r="C745" s="46" t="inlineStr">
        <is>
          <t>CJK Unified Ideographs Extension F</t>
        </is>
      </c>
      <c r="D745" s="54">
        <f>HEX2DEC(MID(B745,3,FIND("-",E745)-3))</f>
        <v/>
      </c>
      <c r="E745" s="46" t="inlineStr">
        <is>
          <t>U+2CEB0-U+2EBEF</t>
        </is>
      </c>
      <c r="F745" s="12" t="n">
        <v>4</v>
      </c>
      <c r="J745" s="19">
        <f>ROUNDDOWN(W745,0)/$V745</f>
        <v/>
      </c>
      <c r="K745" s="19">
        <f>ROUNDDOWN(X745,0)/$V745</f>
        <v/>
      </c>
      <c r="L745" s="19">
        <f>ROUNDDOWN(Y745,0)/$V745</f>
        <v/>
      </c>
      <c r="M745" s="19">
        <f>ROUNDDOWN(Z745,0)/$V745</f>
        <v/>
      </c>
      <c r="O745" s="36" t="inlineStr">
        <is>
          <t>𮀵 𮀶 𮀷 𮀸 𮀹 𮀺 𮀻 𮀼 𮀽 𮀾 𮀿 𮁀 𮁁 𮁂 𮁃 𮁄 𮁅 𮁆 𮁇 𮁈 𮁉 𮁊 𮁋 𮁌 𮁍 𮁎 𮁏 𮁐 𮁑 𮁒 𮁓 𮁔 𮁕 𮁖 𮁗 𮁘 𮁙 𮁚 𮁛 𮁜 𮁝 𮁞 𮁟 𮁠 𮁡 𮁢 𮁣 𮁤 𮁥 𮁦 𮁧 𮁨 𮁩 𮁪 𮁫 𮁬 𮁭 𮁮 𮁯 𮁰 𮁱 𮁲 𮁳 𮁴 𮁵 𮁶 𮁷 𮁸 𮁹 𮁺 𮁻 𮁼 𮁽 𮁾 𮁿 𮂀 𮂁 𮂂 𮂃 𮂄 𮂅 𮂆 𮂇 𮂈 𮂉 𮂊 𮂋 𮂌 𮂍 𮂎 𮂏 𮂐 𮂑 𮂒 𮂓 𮂔 𮂕 𮂖 𮂗 𮂘 𮂙 𮂚 𮂛 𮂜 𮂝 𮂞 𮂟 𮂠 𮂡 𮂢 𮂣 𮂤 𮂥 𮂦 𮂧 𮂨 𮂩 𮂪 𮂫 𮂬 𮂭 𮂮 𮂯 𮂰 𮂱 𮂲 𮂳 𮂴 𮂵 𮂶 𮂷 𮂸 𮂹 𮂺 𮂻 𮂼 𮂽 𮂾 𮂿 𮃀 𮃁 𮃂 𮃃 𮃄 𮃅 𮃆 𮃇 𮃈 𮃉 𮃊 𮃋 𮃌 𮃍 𮃎 𮃏 𮃐 𮃑 𮃒 𮃓 𮃔 𮃕 𮃖 𮃗 𮃘 𮃙 𮃚 𮃛 𮃜 𮃝 𮃞 𮃟 𮃠 𮃡 𮃢 𮃣 𮃤 𮃥 𮃦 𮃧 𮃨 𮃩 𮃪 𮃫 𮃬 𮃭 𮃮 𮃯 𮃰 𮃱 𮃲 𮃳 𮃴 𮃵 𮃶 𮃷 𮃸 𮃹 𮃺 𮃻 𮃼 𮃽 𮃾 𮃿 𮄀 𮄁 𮄂 𮄃 𮄄 𮄅 𮄆 𮄇 𮄈 𮄉 𮄊 𮄋 𮄌 𮄍 𮄎 𮄏 𮄐 𮄑 𮄒 𮄓 𮄔 𮄕 𮄖 𮄗 𮄘 𮄙 𮄚 𮄛 𮄜 𮄝 𮄞 𮄟 𮄠 𮄡 𮄢 𮄣 𮄤 𮄥 𮄦 𮄧 𮄨 𮄩 𮄪 𮄫 𮄬 𮄭</t>
        </is>
      </c>
      <c r="V745" s="14">
        <f>(LEN(O745)+1)/2</f>
        <v/>
      </c>
      <c r="W745" s="14">
        <f>ROUNDDOWN((LEN(P745)+1)/2,0)</f>
        <v/>
      </c>
      <c r="X745" s="14">
        <f>ROUNDDOWN((LEN(Q745)+1)/2,0)</f>
        <v/>
      </c>
      <c r="Y745" s="14">
        <f>ROUNDDOWN((LEN(R745)+1)/2,0)</f>
        <v/>
      </c>
      <c r="Z745" s="14">
        <f>ROUNDDOWN((LEN(S745)+1)/2,0)</f>
        <v/>
      </c>
    </row>
    <row r="746" ht="102" customHeight="1">
      <c r="B746" s="46" t="inlineStr">
        <is>
          <t>U+2E227-U+2E31F</t>
        </is>
      </c>
      <c r="C746" s="46" t="inlineStr">
        <is>
          <t>CJK Unified Ideographs Extension F</t>
        </is>
      </c>
      <c r="D746" s="54">
        <f>HEX2DEC(MID(B746,3,FIND("-",E746)-3))</f>
        <v/>
      </c>
      <c r="E746" s="46" t="inlineStr">
        <is>
          <t>U+2CEB0-U+2EBEF</t>
        </is>
      </c>
      <c r="F746" s="12" t="n">
        <v>4</v>
      </c>
      <c r="J746" s="19">
        <f>ROUNDDOWN(W746,0)/$V746</f>
        <v/>
      </c>
      <c r="K746" s="19">
        <f>ROUNDDOWN(X746,0)/$V746</f>
        <v/>
      </c>
      <c r="L746" s="19">
        <f>ROUNDDOWN(Y746,0)/$V746</f>
        <v/>
      </c>
      <c r="M746" s="19">
        <f>ROUNDDOWN(Z746,0)/$V746</f>
        <v/>
      </c>
      <c r="O746" s="36" t="inlineStr">
        <is>
          <t>𮄮 𮄯 𮄰 𮄱 𮄲 𮄳 𮄴 𮄵 𮄶 𮄷 𮄸 𮄹 𮄺 𮄻 𮄼 𮄽 𮄾 𮄿 𮅀 𮅁 𮅂 𮅃 𮅄 𮅅 𮅆 𮅇 𮅈 𮅉 𮅊 𮅋 𮅌 𮅍 𮅎 𮅏 𮅐 𮅑 𮅒 𮅓 𮅔 𮅕 𮅖 𮅗 𮅘 𮅙 𮅚 𮅛 𮅜 𮅝 𮅞 𮅟 𮅠 𮅡 𮅢 𮅣 𮅤 𮅥 𮅦 𮅧 𮅨 𮅩 𮅪 𮅫 𮅬 𮅭 𮅮 𮅯 𮅰 𮅱 𮅲 𮅳 𮅴 𮅵 𮅶 𮅷 𮅸 𮅹 𮅺 𮅻 𮅼 𮅽 𮅾 𮅿 𮆀 𮆁 𮆂 𮆃 𮆄 𮆅 𮆆 𮆇 𮆈 𮆉 𮆊 𮆋 𮆌 𮆍 𮆎 𮆏 𮆐 𮆑 𮆒 𮆓 𮆔 𮆕 𮆖 𮆗 𮆘 𮆙 𮆚 𮆛 𮆜 𮆝 𮆞 𮆟 𮆠 𮆡 𮆢 𮆣 𮆤 𮆥 𮆦 𮆧 𮆨 𮆩 𮆪 𮆫 𮆬 𮆭 𮆮 𮆯 𮆰 𮆱 𮆲 𮆳 𮆴 𮆵 𮆶 𮆷 𮆸 𮆹 𮆺 𮆻 𮆼 𮆽 𮆾 𮆿 𮇀 𮇁 𮇂 𮇃 𮇄 𮇅 𮇆 𮇇 𮇈 𮇉 𮇊 𮇋 𮇌 𮇍 𮇎 𮇏 𮇐 𮇑 𮇒 𮇓 𮇔 𮇕 𮇖 𮇗 𮇘 𮇙 𮇚 𮇛 𮇜 𮇝 𮇞 𮇟 𮇠 𮇡 𮇢 𮇣 𮇤 𮇥 𮇦 𮇧 𮇨 𮇩 𮇪 𮇫 𮇬 𮇭 𮇮 𮇯 𮇰 𮇱 𮇲 𮇳 𮇴 𮇵 𮇶 𮇷 𮇸 𮇹 𮇺 𮇻 𮇼 𮇽 𮇾 𮇿 𮈀 𮈁 𮈂 𮈃 𮈄 𮈅 𮈆 𮈇 𮈈 𮈉 𮈊 𮈋 𮈌 𮈍 𮈎 𮈏 𮈐 𮈑 𮈒 𮈓 𮈔 𮈕 𮈖 𮈗 𮈘 𮈙 𮈚 𮈛 𮈜 𮈝 𮈞 𮈟 𮈠 𮈡 𮈢 𮈣 𮈤 𮈥 𮈦</t>
        </is>
      </c>
      <c r="V746" s="14">
        <f>(LEN(O746)+1)/2</f>
        <v/>
      </c>
      <c r="W746" s="14">
        <f>ROUNDDOWN((LEN(P746)+1)/2,0)</f>
        <v/>
      </c>
      <c r="X746" s="14">
        <f>ROUNDDOWN((LEN(Q746)+1)/2,0)</f>
        <v/>
      </c>
      <c r="Y746" s="14">
        <f>ROUNDDOWN((LEN(R746)+1)/2,0)</f>
        <v/>
      </c>
      <c r="Z746" s="14">
        <f>ROUNDDOWN((LEN(S746)+1)/2,0)</f>
        <v/>
      </c>
    </row>
    <row r="747" ht="102" customHeight="1">
      <c r="B747" s="46" t="inlineStr">
        <is>
          <t>U+2E320-U+2E418</t>
        </is>
      </c>
      <c r="C747" s="46" t="inlineStr">
        <is>
          <t>CJK Unified Ideographs Extension F</t>
        </is>
      </c>
      <c r="D747" s="54">
        <f>HEX2DEC(MID(B747,3,FIND("-",E747)-3))</f>
        <v/>
      </c>
      <c r="E747" s="46" t="inlineStr">
        <is>
          <t>U+2CEB0-U+2EBEF</t>
        </is>
      </c>
      <c r="F747" s="12" t="n">
        <v>4</v>
      </c>
      <c r="J747" s="19">
        <f>ROUNDDOWN(W747,0)/$V747</f>
        <v/>
      </c>
      <c r="K747" s="19">
        <f>ROUNDDOWN(X747,0)/$V747</f>
        <v/>
      </c>
      <c r="L747" s="19">
        <f>ROUNDDOWN(Y747,0)/$V747</f>
        <v/>
      </c>
      <c r="M747" s="19">
        <f>ROUNDDOWN(Z747,0)/$V747</f>
        <v/>
      </c>
      <c r="O747" s="36" t="inlineStr">
        <is>
          <t>𮈧 𮈨 𮈩 𮈪 𮈫 𮈬 𮈭 𮈮 𮈯 𮈰 𮈱 𮈲 𮈳 𮈴 𮈵 𮈶 𮈷 𮈸 𮈹 𮈺 𮈻 𮈼 𮈽 𮈾 𮈿 𮉀 𮉁 𮉂 𮉃 𮉄 𮉅 𮉆 𮉇 𮉈 𮉉 𮉊 𮉋 𮉌 𮉍 𮉎 𮉏 𮉐 𮉑 𮉒 𮉓 𮉔 𮉕 𮉖 𮉗 𮉘 𮉙 𮉚 𮉛 𮉜 𮉝 𮉞 𮉟 𮉠 𮉡 𮉢 𮉣 𮉤 𮉥 𮉦 𮉧 𮉨 𮉩 𮉪 𮉫 𮉬 𮉭 𮉮 𮉯 𮉰 𮉱 𮉲 𮉳 𮉴 𮉵 𮉶 𮉷 𮉸 𮉹 𮉺 𮉻 𮉼 𮉽 𮉾 𮉿 𮊀 𮊁 𮊂 𮊃 𮊄 𮊅 𮊆 𮊇 𮊈 𮊉 𮊊 𮊋 𮊌 𮊍 𮊎 𮊏 𮊐 𮊑 𮊒 𮊓 𮊔 𮊕 𮊖 𮊗 𮊘 𮊙 𮊚 𮊛 𮊜 𮊝 𮊞 𮊟 𮊠 𮊡 𮊢 𮊣 𮊤 𮊥 𮊦 𮊧 𮊨 𮊩 𮊪 𮊫 𮊬 𮊭 𮊮 𮊯 𮊰 𮊱 𮊲 𮊳 𮊴 𮊵 𮊶 𮊷 𮊸 𮊹 𮊺 𮊻 𮊼 𮊽 𮊾 𮊿 𮋀 𮋁 𮋂 𮋃 𮋄 𮋅 𮋆 𮋇 𮋈 𮋉 𮋊 𮋋 𮋌 𮋍 𮋎 𮋏 𮋐 𮋑 𮋒 𮋓 𮋔 𮋕 𮋖 𮋗 𮋘 𮋙 𮋚 𮋛 𮋜 𮋝 𮋞 𮋟 𮋠 𮋡 𮋢 𮋣 𮋤 𮋥 𮋦 𮋧 𮋨 𮋩 𮋪 𮋫 𮋬 𮋭 𮋮 𮋯 𮋰 𮋱 𮋲 𮋳 𮋴 𮋵 𮋶 𮋷 𮋸 𮋹 𮋺 𮋻 𮋼 𮋽 𮋾 𮋿 𮌀 𮌁 𮌂 𮌃 𮌄 𮌅 𮌆 𮌇 𮌈 𮌉 𮌊 𮌋 𮌌 𮌍 𮌎 𮌏 𮌐 𮌑 𮌒 𮌓 𮌔 𮌕 𮌖 𮌗 𮌘 𮌙 𮌚 𮌛 𮌜 𮌝 𮌞 𮌟</t>
        </is>
      </c>
      <c r="V747" s="14">
        <f>(LEN(O747)+1)/2</f>
        <v/>
      </c>
      <c r="W747" s="14">
        <f>ROUNDDOWN((LEN(P747)+1)/2,0)</f>
        <v/>
      </c>
      <c r="X747" s="14">
        <f>ROUNDDOWN((LEN(Q747)+1)/2,0)</f>
        <v/>
      </c>
      <c r="Y747" s="14">
        <f>ROUNDDOWN((LEN(R747)+1)/2,0)</f>
        <v/>
      </c>
      <c r="Z747" s="14">
        <f>ROUNDDOWN((LEN(S747)+1)/2,0)</f>
        <v/>
      </c>
    </row>
    <row r="748" ht="102" customHeight="1">
      <c r="B748" s="46" t="inlineStr">
        <is>
          <t>U+2E419-U+2E511</t>
        </is>
      </c>
      <c r="C748" s="46" t="inlineStr">
        <is>
          <t>CJK Unified Ideographs Extension F</t>
        </is>
      </c>
      <c r="D748" s="54">
        <f>HEX2DEC(MID(B748,3,FIND("-",E748)-3))</f>
        <v/>
      </c>
      <c r="E748" s="46" t="inlineStr">
        <is>
          <t>U+2CEB0-U+2EBEF</t>
        </is>
      </c>
      <c r="F748" s="12" t="n">
        <v>4</v>
      </c>
      <c r="J748" s="19">
        <f>ROUNDDOWN(W748,0)/$V748</f>
        <v/>
      </c>
      <c r="K748" s="19">
        <f>ROUNDDOWN(X748,0)/$V748</f>
        <v/>
      </c>
      <c r="L748" s="19">
        <f>ROUNDDOWN(Y748,0)/$V748</f>
        <v/>
      </c>
      <c r="M748" s="19">
        <f>ROUNDDOWN(Z748,0)/$V748</f>
        <v/>
      </c>
      <c r="O748" s="36" t="inlineStr">
        <is>
          <t>𮌠 𮌡 𮌢 𮌣 𮌤 𮌥 𮌦 𮌧 𮌨 𮌩 𮌪 𮌫 𮌬 𮌭 𮌮 𮌯 𮌰 𮌱 𮌲 𮌳 𮌴 𮌵 𮌶 𮌷 𮌸 𮌹 𮌺 𮌻 𮌼 𮌽 𮌾 𮌿 𮍀 𮍁 𮍂 𮍃 𮍄 𮍅 𮍆 𮍇 𮍈 𮍉 𮍊 𮍋 𮍌 𮍍 𮍎 𮍏 𮍐 𮍑 𮍒 𮍓 𮍔 𮍕 𮍖 𮍗 𮍘 𮍙 𮍚 𮍛 𮍜 𮍝 𮍞 𮍟 𮍠 𮍡 𮍢 𮍣 𮍤 𮍥 𮍦 𮍧 𮍨 𮍩 𮍪 𮍫 𮍬 𮍭 𮍮 𮍯 𮍰 𮍱 𮍲 𮍳 𮍴 𮍵 𮍶 𮍷 𮍸 𮍹 𮍺 𮍻 𮍼 𮍽 𮍾 𮍿 𮎀 𮎁 𮎂 𮎃 𮎄 𮎅 𮎆 𮎇 𮎈 𮎉 𮎊 𮎋 𮎌 𮎍 𮎎 𮎏 𮎐 𮎑 𮎒 𮎓 𮎔 𮎕 𮎖 𮎗 𮎘 𮎙 𮎚 𮎛 𮎜 𮎝 𮎞 𮎟 𮎠 𮎡 𮎢 𮎣 𮎤 𮎥 𮎦 𮎧 𮎨 𮎩 𮎪 𮎫 𮎬 𮎭 𮎮 𮎯 𮎰 𮎱 𮎲 𮎳 𮎴 𮎵 𮎶 𮎷 𮎸 𮎹 𮎺 𮎻 𮎼 𮎽 𮎾 𮎿 𮏀 𮏁 𮏂 𮏃 𮏄 𮏅 𮏆 𮏇 𮏈 𮏉 𮏊 𮏋 𮏌 𮏍 𮏎 𮏏 𮏐 𮏑 𮏒 𮏓 𮏔 𮏕 𮏖 𮏗 𮏘 𮏙 𮏚 𮏛 𮏜 𮏝 𮏞 𮏟 𮏠 𮏡 𮏢 𮏣 𮏤 𮏥 𮏦 𮏧 𮏨 𮏩 𮏪 𮏫 𮏬 𮏭 𮏮 𮏯 𮏰 𮏱 𮏲 𮏳 𮏴 𮏵 𮏶 𮏷 𮏸 𮏹 𮏺 𮏻 𮏼 𮏽 𮏾 𮏿 𮐀 𮐁 𮐂 𮐃 𮐄 𮐅 𮐆 𮐇 𮐈 𮐉 𮐊 𮐋 𮐌 𮐍 𮐎 𮐏 𮐐 𮐑 𮐒 𮐓 𮐔 𮐕 𮐖 𮐗 𮐘</t>
        </is>
      </c>
      <c r="V748" s="14">
        <f>(LEN(O748)+1)/2</f>
        <v/>
      </c>
      <c r="W748" s="14">
        <f>ROUNDDOWN((LEN(P748)+1)/2,0)</f>
        <v/>
      </c>
      <c r="X748" s="14">
        <f>ROUNDDOWN((LEN(Q748)+1)/2,0)</f>
        <v/>
      </c>
      <c r="Y748" s="14">
        <f>ROUNDDOWN((LEN(R748)+1)/2,0)</f>
        <v/>
      </c>
      <c r="Z748" s="14">
        <f>ROUNDDOWN((LEN(S748)+1)/2,0)</f>
        <v/>
      </c>
    </row>
    <row r="749" ht="102" customHeight="1">
      <c r="B749" s="46" t="inlineStr">
        <is>
          <t>U+2E512-U+2E60A</t>
        </is>
      </c>
      <c r="C749" s="46" t="inlineStr">
        <is>
          <t>CJK Unified Ideographs Extension F</t>
        </is>
      </c>
      <c r="D749" s="54">
        <f>HEX2DEC(MID(B749,3,FIND("-",E749)-3))</f>
        <v/>
      </c>
      <c r="E749" s="46" t="inlineStr">
        <is>
          <t>U+2CEB0-U+2EBEF</t>
        </is>
      </c>
      <c r="F749" s="12" t="n">
        <v>4</v>
      </c>
      <c r="J749" s="19">
        <f>ROUNDDOWN(W749,0)/$V749</f>
        <v/>
      </c>
      <c r="K749" s="19">
        <f>ROUNDDOWN(X749,0)/$V749</f>
        <v/>
      </c>
      <c r="L749" s="19">
        <f>ROUNDDOWN(Y749,0)/$V749</f>
        <v/>
      </c>
      <c r="M749" s="19">
        <f>ROUNDDOWN(Z749,0)/$V749</f>
        <v/>
      </c>
      <c r="O749" s="36" t="inlineStr">
        <is>
          <t>𮐙 𮐚 𮐛 𮐜 𮐝 𮐞 𮐟 𮐠 𮐡 𮐢 𮐣 𮐤 𮐥 𮐦 𮐧 𮐨 𮐩 𮐪 𮐫 𮐬 𮐭 𮐮 𮐯 𮐰 𮐱 𮐲 𮐳 𮐴 𮐵 𮐶 𮐷 𮐸 𮐹 𮐺 𮐻 𮐼 𮐽 𮐾 𮐿 𮑀 𮑁 𮑂 𮑃 𮑄 𮑅 𮑆 𮑇 𮑈 𮑉 𮑊 𮑋 𮑌 𮑍 𮑎 𮑏 𮑐 𮑑 𮑒 𮑓 𮑔 𮑕 𮑖 𮑗 𮑘 𮑙 𮑚 𮑛 𮑜 𮑝 𮑞 𮑟 𮑠 𮑡 𮑢 𮑣 𮑤 𮑥 𮑦 𮑧 𮑨 𮑩 𮑪 𮑫 𮑬 𮑭 𮑮 𮑯 𮑰 𮑱 𮑲 𮑳 𮑴 𮑵 𮑶 𮑷 𮑸 𮑹 𮑺 𮑻 𮑼 𮑽 𮑾 𮑿 𮒀 𮒁 𮒂 𮒃 𮒄 𮒅 𮒆 𮒇 𮒈 𮒉 𮒊 𮒋 𮒌 𮒍 𮒎 𮒏 𮒐 𮒑 𮒒 𮒓 𮒔 𮒕 𮒖 𮒗 𮒘 𮒙 𮒚 𮒛 𮒜 𮒝 𮒞 𮒟 𮒠 𮒡 𮒢 𮒣 𮒤 𮒥 𮒦 𮒧 𮒨 𮒩 𮒪 𮒫 𮒬 𮒭 𮒮 𮒯 𮒰 𮒱 𮒲 𮒳 𮒴 𮒵 𮒶 𮒷 𮒸 𮒹 𮒺 𮒻 𮒼 𮒽 𮒾 𮒿 𮓀 𮓁 𮓂 𮓃 𮓄 𮓅 𮓆 𮓇 𮓈 𮓉 𮓊 𮓋 𮓌 𮓍 𮓎 𮓏 𮓐 𮓑 𮓒 𮓓 𮓔 𮓕 𮓖 𮓗 𮓘 𮓙 𮓚 𮓛 𮓜 𮓝 𮓞 𮓟 𮓠 𮓡 𮓢 𮓣 𮓤 𮓥 𮓦 𮓧 𮓨 𮓩 𮓪 𮓫 𮓬 𮓭 𮓮 𮓯 𮓰 𮓱 𮓲 𮓳 𮓴 𮓵 𮓶 𮓷 𮓸 𮓹 𮓺 𮓻 𮓼 𮓽 𮓾 𮓿 𮔀 𮔁 𮔂 𮔃 𮔄 𮔅 𮔆 𮔇 𮔈 𮔉 𮔊 𮔋 𮔌 𮔍 𮔎 𮔏 𮔐 𮔑</t>
        </is>
      </c>
      <c r="V749" s="14">
        <f>(LEN(O749)+1)/2</f>
        <v/>
      </c>
      <c r="W749" s="14">
        <f>ROUNDDOWN((LEN(P749)+1)/2,0)</f>
        <v/>
      </c>
      <c r="X749" s="14">
        <f>ROUNDDOWN((LEN(Q749)+1)/2,0)</f>
        <v/>
      </c>
      <c r="Y749" s="14">
        <f>ROUNDDOWN((LEN(R749)+1)/2,0)</f>
        <v/>
      </c>
      <c r="Z749" s="14">
        <f>ROUNDDOWN((LEN(S749)+1)/2,0)</f>
        <v/>
      </c>
    </row>
    <row r="750" ht="102" customHeight="1">
      <c r="B750" s="46" t="inlineStr">
        <is>
          <t>U+2E60B-U+2E703</t>
        </is>
      </c>
      <c r="C750" s="46" t="inlineStr">
        <is>
          <t>CJK Unified Ideographs Extension F</t>
        </is>
      </c>
      <c r="D750" s="54">
        <f>HEX2DEC(MID(B750,3,FIND("-",E750)-3))</f>
        <v/>
      </c>
      <c r="E750" s="46" t="inlineStr">
        <is>
          <t>U+2CEB0-U+2EBEF</t>
        </is>
      </c>
      <c r="F750" s="12" t="n">
        <v>4</v>
      </c>
      <c r="J750" s="19">
        <f>ROUNDDOWN(W750,0)/$V750</f>
        <v/>
      </c>
      <c r="K750" s="19">
        <f>ROUNDDOWN(X750,0)/$V750</f>
        <v/>
      </c>
      <c r="L750" s="19">
        <f>ROUNDDOWN(Y750,0)/$V750</f>
        <v/>
      </c>
      <c r="M750" s="19">
        <f>ROUNDDOWN(Z750,0)/$V750</f>
        <v/>
      </c>
      <c r="O750" s="36" t="inlineStr">
        <is>
          <t>𮔒 𮔓 𮔔 𮔕 𮔖 𮔗 𮔘 𮔙 𮔚 𮔛 𮔜 𮔝 𮔞 𮔟 𮔠 𮔡 𮔢 𮔣 𮔤 𮔥 𮔦 𮔧 𮔨 𮔩 𮔪 𮔫 𮔬 𮔭 𮔮 𮔯 𮔰 𮔱 𮔲 𮔳 𮔴 𮔵 𮔶 𮔷 𮔸 𮔹 𮔺 𮔻 𮔼 𮔽 𮔾 𮔿 𮕀 𮕁 𮕂 𮕃 𮕄 𮕅 𮕆 𮕇 𮕈 𮕉 𮕊 𮕋 𮕌 𮕍 𮕎 𮕏 𮕐 𮕑 𮕒 𮕓 𮕔 𮕕 𮕖 𮕗 𮕘 𮕙 𮕚 𮕛 𮕜 𮕝 𮕞 𮕟 𮕠 𮕡 𮕢 𮕣 𮕤 𮕥 𮕦 𮕧 𮕨 𮕩 𮕪 𮕫 𮕬 𮕭 𮕮 𮕯 𮕰 𮕱 𮕲 𮕳 𮕴 𮕵 𮕶 𮕷 𮕸 𮕹 𮕺 𮕻 𮕼 𮕽 𮕾 𮕿 𮖀 𮖁 𮖂 𮖃 𮖄 𮖅 𮖆 𮖇 𮖈 𮖉 𮖊 𮖋 𮖌 𮖍 𮖎 𮖏 𮖐 𮖑 𮖒 𮖓 𮖔 𮖕 𮖖 𮖗 𮖘 𮖙 𮖚 𮖛 𮖜 𮖝 𮖞 𮖟 𮖠 𮖡 𮖢 𮖣 𮖤 𮖥 𮖦 𮖧 𮖨 𮖩 𮖪 𮖫 𮖬 𮖭 𮖮 𮖯 𮖰 𮖱 𮖲 𮖳 𮖴 𮖵 𮖶 𮖷 𮖸 𮖹 𮖺 𮖻 𮖼 𮖽 𮖾 𮖿 𮗀 𮗁 𮗂 𮗃 𮗄 𮗅 𮗆 𮗇 𮗈 𮗉 𮗊 𮗋 𮗌 𮗍 𮗎 𮗏 𮗐 𮗑 𮗒 𮗓 𮗔 𮗕 𮗖 𮗗 𮗘 𮗙 𮗚 𮗛 𮗜 𮗝 𮗞 𮗟 𮗠 𮗡 𮗢 𮗣 𮗤 𮗥 𮗦 𮗧 𮗨 𮗩 𮗪 𮗫 𮗬 𮗭 𮗮 𮗯 𮗰 𮗱 𮗲 𮗳 𮗴 𮗵 𮗶 𮗷 𮗸 𮗹 𮗺 𮗻 𮗼 𮗽 𮗾 𮗿 𮘀 𮘁 𮘂 𮘃 𮘄 𮘅 𮘆 𮘇 𮘈 𮘉 𮘊</t>
        </is>
      </c>
      <c r="V750" s="14">
        <f>(LEN(O750)+1)/2</f>
        <v/>
      </c>
      <c r="W750" s="14">
        <f>ROUNDDOWN((LEN(P750)+1)/2,0)</f>
        <v/>
      </c>
      <c r="X750" s="14">
        <f>ROUNDDOWN((LEN(Q750)+1)/2,0)</f>
        <v/>
      </c>
      <c r="Y750" s="14">
        <f>ROUNDDOWN((LEN(R750)+1)/2,0)</f>
        <v/>
      </c>
      <c r="Z750" s="14">
        <f>ROUNDDOWN((LEN(S750)+1)/2,0)</f>
        <v/>
      </c>
    </row>
    <row r="751" ht="102" customHeight="1">
      <c r="B751" s="46" t="inlineStr">
        <is>
          <t>U+2E704-U+2E7FC</t>
        </is>
      </c>
      <c r="C751" s="46" t="inlineStr">
        <is>
          <t>CJK Unified Ideographs Extension F</t>
        </is>
      </c>
      <c r="D751" s="54">
        <f>HEX2DEC(MID(B751,3,FIND("-",E751)-3))</f>
        <v/>
      </c>
      <c r="E751" s="46" t="inlineStr">
        <is>
          <t>U+2CEB0-U+2EBEF</t>
        </is>
      </c>
      <c r="F751" s="12" t="n">
        <v>4</v>
      </c>
      <c r="J751" s="19">
        <f>ROUNDDOWN(W751,0)/$V751</f>
        <v/>
      </c>
      <c r="K751" s="19">
        <f>ROUNDDOWN(X751,0)/$V751</f>
        <v/>
      </c>
      <c r="L751" s="19">
        <f>ROUNDDOWN(Y751,0)/$V751</f>
        <v/>
      </c>
      <c r="M751" s="19">
        <f>ROUNDDOWN(Z751,0)/$V751</f>
        <v/>
      </c>
      <c r="O751" s="36" t="inlineStr">
        <is>
          <t>𮘋 𮘌 𮘍 𮘎 𮘏 𮘐 𮘑 𮘒 𮘓 𮘔 𮘕 𮘖 𮘗 𮘘 𮘙 𮘚 𮘛 𮘜 𮘝 𮘞 𮘟 𮘠 𮘡 𮘢 𮘣 𮘤 𮘥 𮘦 𮘧 𮘨 𮘩 𮘪 𮘫 𮘬 𮘭 𮘮 𮘯 𮘰 𮘱 𮘲 𮘳 𮘴 𮘵 𮘶 𮘷 𮘸 𮘹 𮘺 𮘻 𮘼 𮘽 𮘾 𮘿 𮙀 𮙁 𮙂 𮙃 𮙄 𮙅 𮙆 𮙇 𮙈 𮙉 𮙊 𮙋 𮙌 𮙍 𮙎 𮙏 𮙐 𮙑 𮙒 𮙓 𮙔 𮙕 𮙖 𮙗 𮙘 𮙙 𮙚 𮙛 𮙜 𮙝 𮙞 𮙟 𮙠 𮙡 𮙢 𮙣 𮙤 𮙥 𮙦 𮙧 𮙨 𮙩 𮙪 𮙫 𮙬 𮙭 𮙮 𮙯 𮙰 𮙱 𮙲 𮙳 𮙴 𮙵 𮙶 𮙷 𮙸 𮙹 𮙺 𮙻 𮙼 𮙽 𮙾 𮙿 𮚀 𮚁 𮚂 𮚃 𮚄 𮚅 𮚆 𮚇 𮚈 𮚉 𮚊 𮚋 𮚌 𮚍 𮚎 𮚏 𮚐 𮚑 𮚒 𮚓 𮚔 𮚕 𮚖 𮚗 𮚘 𮚙 𮚚 𮚛 𮚜 𮚝 𮚞 𮚟 𮚠 𮚡 𮚢 𮚣 𮚤 𮚥 𮚦 𮚧 𮚨 𮚩 𮚪 𮚫 𮚬 𮚭 𮚮 𮚯 𮚰 𮚱 𮚲 𮚳 𮚴 𮚵 𮚶 𮚷 𮚸 𮚹 𮚺 𮚻 𮚼 𮚽 𮚾 𮚿 𮛀 𮛁 𮛂 𮛃 𮛄 𮛅 𮛆 𮛇 𮛈 𮛉 𮛊 𮛋 𮛌 𮛍 𮛎 𮛏 𮛐 𮛑 𮛒 𮛓 𮛔 𮛕 𮛖 𮛗 𮛘 𮛙 𮛚 𮛛 𮛜 𮛝 𮛞 𮛟 𮛠 𮛡 𮛢 𮛣 𮛤 𮛥 𮛦 𮛧 𮛨 𮛩 𮛪 𮛫 𮛬 𮛭 𮛮 𮛯 𮛰 𮛱 𮛲 𮛳 𮛴 𮛵 𮛶 𮛷 𮛸 𮛹 𮛺 𮛻 𮛼 𮛽 𮛾 𮛿 𮜀 𮜁 𮜂 𮜃</t>
        </is>
      </c>
      <c r="V751" s="14">
        <f>(LEN(O751)+1)/2</f>
        <v/>
      </c>
      <c r="W751" s="14">
        <f>ROUNDDOWN((LEN(P751)+1)/2,0)</f>
        <v/>
      </c>
      <c r="X751" s="14">
        <f>ROUNDDOWN((LEN(Q751)+1)/2,0)</f>
        <v/>
      </c>
      <c r="Y751" s="14">
        <f>ROUNDDOWN((LEN(R751)+1)/2,0)</f>
        <v/>
      </c>
      <c r="Z751" s="14">
        <f>ROUNDDOWN((LEN(S751)+1)/2,0)</f>
        <v/>
      </c>
    </row>
    <row r="752" ht="102" customHeight="1">
      <c r="B752" s="46" t="inlineStr">
        <is>
          <t>U+2E7FD-U+2E8F5</t>
        </is>
      </c>
      <c r="C752" s="46" t="inlineStr">
        <is>
          <t>CJK Unified Ideographs Extension F</t>
        </is>
      </c>
      <c r="D752" s="54">
        <f>HEX2DEC(MID(B752,3,FIND("-",E752)-3))</f>
        <v/>
      </c>
      <c r="E752" s="46" t="inlineStr">
        <is>
          <t>U+2CEB0-U+2EBEF</t>
        </is>
      </c>
      <c r="F752" s="12" t="n">
        <v>4</v>
      </c>
      <c r="J752" s="19">
        <f>ROUNDDOWN(W752,0)/$V752</f>
        <v/>
      </c>
      <c r="K752" s="19">
        <f>ROUNDDOWN(X752,0)/$V752</f>
        <v/>
      </c>
      <c r="L752" s="19">
        <f>ROUNDDOWN(Y752,0)/$V752</f>
        <v/>
      </c>
      <c r="M752" s="19">
        <f>ROUNDDOWN(Z752,0)/$V752</f>
        <v/>
      </c>
      <c r="O752" s="36" t="inlineStr">
        <is>
          <t>𮜄 𮜅 𮜆 𮜇 𮜈 𮜉 𮜊 𮜋 𮜌 𮜍 𮜎 𮜏 𮜐 𮜑 𮜒 𮜓 𮜔 𮜕 𮜖 𮜗 𮜘 𮜙 𮜚 𮜛 𮜜 𮜝 𮜞 𮜟 𮜠 𮜡 𮜢 𮜣 𮜤 𮜥 𮜦 𮜧 𮜨 𮜩 𮜪 𮜫 𮜬 𮜭 𮜮 𮜯 𮜰 𮜱 𮜲 𮜳 𮜴 𮜵 𮜶 𮜷 𮜸 𮜹 𮜺 𮜻 𮜼 𮜽 𮜾 𮜿 𮝀 𮝁 𮝂 𮝃 𮝄 𮝅 𮝆 𮝇 𮝈 𮝉 𮝊 𮝋 𮝌 𮝍 𮝎 𮝏 𮝐 𮝑 𮝒 𮝓 𮝔 𮝕 𮝖 𮝗 𮝘 𮝙 𮝚 𮝛 𮝜 𮝝 𮝞 𮝟 𮝠 𮝡 𮝢 𮝣 𮝤 𮝥 𮝦 𮝧 𮝨 𮝩 𮝪 𮝫 𮝬 𮝭 𮝮 𮝯 𮝰 𮝱 𮝲 𮝳 𮝴 𮝵 𮝶 𮝷 𮝸 𮝹 𮝺 𮝻 𮝼 𮝽 𮝾 𮝿 𮞀 𮞁 𮞂 𮞃 𮞄 𮞅 𮞆 𮞇 𮞈 𮞉 𮞊 𮞋 𮞌 𮞍 𮞎 𮞏 𮞐 𮞑 𮞒 𮞓 𮞔 𮞕 𮞖 𮞗 𮞘 𮞙 𮞚 𮞛 𮞜 𮞝 𮞞 𮞟 𮞠 𮞡 𮞢 𮞣 𮞤 𮞥 𮞦 𮞧 𮞨 𮞩 𮞪 𮞫 𮞬 𮞭 𮞮 𮞯 𮞰 𮞱 𮞲 𮞳 𮞴 𮞵 𮞶 𮞷 𮞸 𮞹 𮞺 𮞻 𮞼 𮞽 𮞾 𮞿 𮟀 𮟁 𮟂 𮟃 𮟄 𮟅 𮟆 𮟇 𮟈 𮟉 𮟊 𮟋 𮟌 𮟍 𮟎 𮟏 𮟐 𮟑 𮟒 𮟓 𮟔 𮟕 𮟖 𮟗 𮟘 𮟙 𮟚 𮟛 𮟜 𮟝 𮟞 𮟟 𮟠 𮟡 𮟢 𮟣 𮟤 𮟥 𮟦 𮟧 𮟨 𮟩 𮟪 𮟫 𮟬 𮟭 𮟮 𮟯 𮟰 𮟱 𮟲 𮟳 𮟴 𮟵 𮟶 𮟷 𮟸 𮟹 𮟺 𮟻 𮟼</t>
        </is>
      </c>
      <c r="V752" s="14">
        <f>(LEN(O752)+1)/2</f>
        <v/>
      </c>
      <c r="W752" s="14">
        <f>ROUNDDOWN((LEN(P752)+1)/2,0)</f>
        <v/>
      </c>
      <c r="X752" s="14">
        <f>ROUNDDOWN((LEN(Q752)+1)/2,0)</f>
        <v/>
      </c>
      <c r="Y752" s="14">
        <f>ROUNDDOWN((LEN(R752)+1)/2,0)</f>
        <v/>
      </c>
      <c r="Z752" s="14">
        <f>ROUNDDOWN((LEN(S752)+1)/2,0)</f>
        <v/>
      </c>
    </row>
    <row r="753" ht="102" customHeight="1">
      <c r="B753" s="46" t="inlineStr">
        <is>
          <t>U+2E8F6-U+2E9EE</t>
        </is>
      </c>
      <c r="C753" s="46" t="inlineStr">
        <is>
          <t>CJK Unified Ideographs Extension F</t>
        </is>
      </c>
      <c r="D753" s="54">
        <f>HEX2DEC(MID(B753,3,FIND("-",E753)-3))</f>
        <v/>
      </c>
      <c r="E753" s="46" t="inlineStr">
        <is>
          <t>U+2CEB0-U+2EBEF</t>
        </is>
      </c>
      <c r="F753" s="12" t="n">
        <v>4</v>
      </c>
      <c r="J753" s="19">
        <f>ROUNDDOWN(W753,0)/$V753</f>
        <v/>
      </c>
      <c r="K753" s="19">
        <f>ROUNDDOWN(X753,0)/$V753</f>
        <v/>
      </c>
      <c r="L753" s="19">
        <f>ROUNDDOWN(Y753,0)/$V753</f>
        <v/>
      </c>
      <c r="M753" s="19">
        <f>ROUNDDOWN(Z753,0)/$V753</f>
        <v/>
      </c>
      <c r="O753" s="36" t="inlineStr">
        <is>
          <t>𮟽 𮟾 𮟿 𮠀 𮠁 𮠂 𮠃 𮠄 𮠅 𮠆 𮠇 𮠈 𮠉 𮠊 𮠋 𮠌 𮠍 𮠎 𮠏 𮠐 𮠑 𮠒 𮠓 𮠔 𮠕 𮠖 𮠗 𮠘 𮠙 𮠚 𮠛 𮠜 𮠝 𮠞 𮠟 𮠠 𮠡 𮠢 𮠣 𮠤 𮠥 𮠦 𮠧 𮠨 𮠩 𮠪 𮠫 𮠬 𮠭 𮠮 𮠯 𮠰 𮠱 𮠲 𮠳 𮠴 𮠵 𮠶 𮠷 𮠸 𮠹 𮠺 𮠻 𮠼 𮠽 𮠾 𮠿 𮡀 𮡁 𮡂 𮡃 𮡄 𮡅 𮡆 𮡇 𮡈 𮡉 𮡊 𮡋 𮡌 𮡍 𮡎 𮡏 𮡐 𮡑 𮡒 𮡓 𮡔 𮡕 𮡖 𮡗 𮡘 𮡙 𮡚 𮡛 𮡜 𮡝 𮡞 𮡟 𮡠 𮡡 𮡢 𮡣 𮡤 𮡥 𮡦 𮡧 𮡨 𮡩 𮡪 𮡫 𮡬 𮡭 𮡮 𮡯 𮡰 𮡱 𮡲 𮡳 𮡴 𮡵 𮡶 𮡷 𮡸 𮡹 𮡺 𮡻 𮡼 𮡽 𮡾 𮡿 𮢀 𮢁 𮢂 𮢃 𮢄 𮢅 𮢆 𮢇 𮢈 𮢉 𮢊 𮢋 𮢌 𮢍 𮢎 𮢏 𮢐 𮢑 𮢒 𮢓 𮢔 𮢕 𮢖 𮢗 𮢘 𮢙 𮢚 𮢛 𮢜 𮢝 𮢞 𮢟 𮢠 𮢡 𮢢 𮢣 𮢤 𮢥 𮢦 𮢧 𮢨 𮢩 𮢪 𮢫 𮢬 𮢭 𮢮 𮢯 𮢰 𮢱 𮢲 𮢳 𮢴 𮢵 𮢶 𮢷 𮢸 𮢹 𮢺 𮢻 𮢼 𮢽 𮢾 𮢿 𮣀 𮣁 𮣂 𮣃 𮣄 𮣅 𮣆 𮣇 𮣈 𮣉 𮣊 𮣋 𮣌 𮣍 𮣎 𮣏 𮣐 𮣑 𮣒 𮣓 𮣔 𮣕 𮣖 𮣗 𮣘 𮣙 𮣚 𮣛 𮣜 𮣝 𮣞 𮣟 𮣠 𮣡 𮣢 𮣣 𮣤 𮣥 𮣦 𮣧 𮣨 𮣩 𮣪 𮣫 𮣬 𮣭 𮣮 𮣯 𮣰 𮣱 𮣲 𮣳 𮣴 𮣵</t>
        </is>
      </c>
      <c r="V753" s="14">
        <f>(LEN(O753)+1)/2</f>
        <v/>
      </c>
      <c r="W753" s="14">
        <f>ROUNDDOWN((LEN(P753)+1)/2,0)</f>
        <v/>
      </c>
      <c r="X753" s="14">
        <f>ROUNDDOWN((LEN(Q753)+1)/2,0)</f>
        <v/>
      </c>
      <c r="Y753" s="14">
        <f>ROUNDDOWN((LEN(R753)+1)/2,0)</f>
        <v/>
      </c>
      <c r="Z753" s="14">
        <f>ROUNDDOWN((LEN(S753)+1)/2,0)</f>
        <v/>
      </c>
    </row>
    <row r="754" ht="102" customHeight="1">
      <c r="B754" s="46" t="inlineStr">
        <is>
          <t>U+2E9EF-U+2EAE7</t>
        </is>
      </c>
      <c r="C754" s="46" t="inlineStr">
        <is>
          <t>CJK Unified Ideographs Extension F</t>
        </is>
      </c>
      <c r="D754" s="54">
        <f>HEX2DEC(MID(B754,3,FIND("-",E754)-3))</f>
        <v/>
      </c>
      <c r="E754" s="46" t="inlineStr">
        <is>
          <t>U+2CEB0-U+2EBEF</t>
        </is>
      </c>
      <c r="F754" s="12" t="n">
        <v>4</v>
      </c>
      <c r="J754" s="19">
        <f>ROUNDDOWN(W754,0)/$V754</f>
        <v/>
      </c>
      <c r="K754" s="19">
        <f>ROUNDDOWN(X754,0)/$V754</f>
        <v/>
      </c>
      <c r="L754" s="19">
        <f>ROUNDDOWN(Y754,0)/$V754</f>
        <v/>
      </c>
      <c r="M754" s="19">
        <f>ROUNDDOWN(Z754,0)/$V754</f>
        <v/>
      </c>
      <c r="O754" s="36" t="inlineStr">
        <is>
          <t>𮣶 𮣷 𮣸 𮣹 𮣺 𮣻 𮣼 𮣽 𮣾 𮣿 𮤀 𮤁 𮤂 𮤃 𮤄 𮤅 𮤆 𮤇 𮤈 𮤉 𮤊 𮤋 𮤌 𮤍 𮤎 𮤏 𮤐 𮤑 𮤒 𮤓 𮤔 𮤕 𮤖 𮤗 𮤘 𮤙 𮤚 𮤛 𮤜 𮤝 𮤞 𮤟 𮤠 𮤡 𮤢 𮤣 𮤤 𮤥 𮤦 𮤧 𮤨 𮤩 𮤪 𮤫 𮤬 𮤭 𮤮 𮤯 𮤰 𮤱 𮤲 𮤳 𮤴 𮤵 𮤶 𮤷 𮤸 𮤹 𮤺 𮤻 𮤼 𮤽 𮤾 𮤿 𮥀 𮥁 𮥂 𮥃 𮥄 𮥅 𮥆 𮥇 𮥈 𮥉 𮥊 𮥋 𮥌 𮥍 𮥎 𮥏 𮥐 𮥑 𮥒 𮥓 𮥔 𮥕 𮥖 𮥗 𮥘 𮥙 𮥚 𮥛 𮥜 𮥝 𮥞 𮥟 𮥠 𮥡 𮥢 𮥣 𮥤 𮥥 𮥦 𮥧 𮥨 𮥩 𮥪 𮥫 𮥬 𮥭 𮥮 𮥯 𮥰 𮥱 𮥲 𮥳 𮥴 𮥵 𮥶 𮥷 𮥸 𮥹 𮥺 𮥻 𮥼 𮥽 𮥾 𮥿 𮦀 𮦁 𮦂 𮦃 𮦄 𮦅 𮦆 𮦇 𮦈 𮦉 𮦊 𮦋 𮦌 𮦍 𮦎 𮦏 𮦐 𮦑 𮦒 𮦓 𮦔 𮦕 𮦖 𮦗 𮦘 𮦙 𮦚 𮦛 𮦜 𮦝 𮦞 𮦟 𮦠 𮦡 𮦢 𮦣 𮦤 𮦥 𮦦 𮦧 𮦨 𮦩 𮦪 𮦫 𮦬 𮦭 𮦮 𮦯 𮦰 𮦱 𮦲 𮦳 𮦴 𮦵 𮦶 𮦷 𮦸 𮦹 𮦺 𮦻 𮦼 𮦽 𮦾 𮦿 𮧀 𮧁 𮧂 𮧃 𮧄 𮧅 𮧆 𮧇 𮧈 𮧉 𮧊 𮧋 𮧌 𮧍 𮧎 𮧏 𮧐 𮧑 𮧒 𮧓 𮧔 𮧕 𮧖 𮧗 𮧘 𮧙 𮧚 𮧛 𮧜 𮧝 𮧞 𮧟 𮧠 𮧡 𮧢 𮧣 𮧤 𮧥 𮧦 𮧧 𮧨 𮧩 𮧪 𮧫 𮧬 𮧭 𮧮</t>
        </is>
      </c>
      <c r="V754" s="14">
        <f>(LEN(O754)+1)/2</f>
        <v/>
      </c>
      <c r="W754" s="14">
        <f>ROUNDDOWN((LEN(P754)+1)/2,0)</f>
        <v/>
      </c>
      <c r="X754" s="14">
        <f>ROUNDDOWN((LEN(Q754)+1)/2,0)</f>
        <v/>
      </c>
      <c r="Y754" s="14">
        <f>ROUNDDOWN((LEN(R754)+1)/2,0)</f>
        <v/>
      </c>
      <c r="Z754" s="14">
        <f>ROUNDDOWN((LEN(S754)+1)/2,0)</f>
        <v/>
      </c>
    </row>
    <row r="755" ht="102" customHeight="1">
      <c r="B755" s="46" t="inlineStr">
        <is>
          <t>U+2EAE8-U+2EBE0</t>
        </is>
      </c>
      <c r="C755" s="46" t="inlineStr">
        <is>
          <t>CJK Unified Ideographs Extension F</t>
        </is>
      </c>
      <c r="D755" s="54">
        <f>HEX2DEC(MID(B755,3,FIND("-",E755)-3))</f>
        <v/>
      </c>
      <c r="E755" s="46" t="inlineStr">
        <is>
          <t>U+2CEB0-U+2EBEF</t>
        </is>
      </c>
      <c r="F755" s="12" t="n">
        <v>4</v>
      </c>
      <c r="J755" s="19">
        <f>ROUNDDOWN(W755,0)/$V755</f>
        <v/>
      </c>
      <c r="K755" s="19">
        <f>ROUNDDOWN(X755,0)/$V755</f>
        <v/>
      </c>
      <c r="L755" s="19">
        <f>ROUNDDOWN(Y755,0)/$V755</f>
        <v/>
      </c>
      <c r="M755" s="19">
        <f>ROUNDDOWN(Z755,0)/$V755</f>
        <v/>
      </c>
      <c r="O755" s="36" t="inlineStr">
        <is>
          <t>𮧯 𮧰 𮧱 𮧲 𮧳 𮧴 𮧵 𮧶 𮧷 𮧸 𮧹 𮧺 𮧻 𮧼 𮧽 𮧾 𮧿 𮨀 𮨁 𮨂 𮨃 𮨄 𮨅 𮨆 𮨇 𮨈 𮨉 𮨊 𮨋 𮨌 𮨍 𮨎 𮨏 𮨐 𮨑 𮨒 𮨓 𮨔 𮨕 𮨖 𮨗 𮨘 𮨙 𮨚 𮨛 𮨜 𮨝 𮨞 𮨟 𮨠 𮨡 𮨢 𮨣 𮨤 𮨥 𮨦 𮨧 𮨨 𮨩 𮨪 𮨫 𮨬 𮨭 𮨮 𮨯 𮨰 𮨱 𮨲 𮨳 𮨴 𮨵 𮨶 𮨷 𮨸 𮨹 𮨺 𮨻 𮨼 𮨽 𮨾 𮨿 𮩀 𮩁 𮩂 𮩃 𮩄 𮩅 𮩆 𮩇 𮩈 𮩉 𮩊 𮩋 𮩌 𮩍 𮩎 𮩏 𮩐 𮩑 𮩒 𮩓 𮩔 𮩕 𮩖 𮩗 𮩘 𮩙 𮩚 𮩛 𮩜 𮩝 𮩞 𮩟 𮩠 𮩡 𮩢 𮩣 𮩤 𮩥 𮩦 𮩧 𮩨 𮩩 𮩪 𮩫 𮩬 𮩭 𮩮 𮩯 𮩰 𮩱 𮩲 𮩳 𮩴 𮩵 𮩶 𮩷 𮩸 𮩹 𮩺 𮩻 𮩼 𮩽 𮩾 𮩿 𮪀 𮪁 𮪂 𮪃 𮪄 𮪅 𮪆 𮪇 𮪈 𮪉 𮪊 𮪋 𮪌 𮪍 𮪎 𮪏 𮪐 𮪑 𮪒 𮪓 𮪔 𮪕 𮪖 𮪗 𮪘 𮪙 𮪚 𮪛 𮪜 𮪝 𮪞 𮪟 𮪠 𮪡 𮪢 𮪣 𮪤 𮪥 𮪦 𮪧 𮪨 𮪩 𮪪 𮪫 𮪬 𮪭 𮪮 𮪯 𮪰 𮪱 𮪲 𮪳 𮪴 𮪵 𮪶 𮪷 𮪸 𮪹 𮪺 𮪻 𮪼 𮪽 𮪾 𮪿 𮫀 𮫁 𮫂 𮫃 𮫄 𮫅 𮫆 𮫇 𮫈 𮫉 𮫊 𮫋 𮫌 𮫍 𮫎 𮫏 𮫐 𮫑 𮫒 𮫓 𮫔 𮫕 𮫖 𮫗 𮫘 𮫙 𮫚 𮫛 𮫜 𮫝 𮫞 𮫟 𮫠 𮫡 𮫢 𮫣 𮫤 𮫥 𮫦 𮫧</t>
        </is>
      </c>
      <c r="V755" s="14">
        <f>(LEN(O755)+1)/2</f>
        <v/>
      </c>
      <c r="W755" s="14">
        <f>ROUNDDOWN((LEN(P755)+1)/2,0)</f>
        <v/>
      </c>
      <c r="X755" s="14">
        <f>ROUNDDOWN((LEN(Q755)+1)/2,0)</f>
        <v/>
      </c>
      <c r="Y755" s="14">
        <f>ROUNDDOWN((LEN(R755)+1)/2,0)</f>
        <v/>
      </c>
      <c r="Z755" s="14">
        <f>ROUNDDOWN((LEN(S755)+1)/2,0)</f>
        <v/>
      </c>
    </row>
    <row r="756" ht="102" customHeight="1">
      <c r="B756" s="46" t="inlineStr">
        <is>
          <t>U+2EBF0-U+2ECBF</t>
        </is>
      </c>
      <c r="C756" s="46" t="inlineStr">
        <is>
          <t>CJK Unified Ideographs Extension I</t>
        </is>
      </c>
      <c r="D756" s="54">
        <f>HEX2DEC(MID(B756,3,FIND("-",E756)-3))</f>
        <v/>
      </c>
      <c r="E756" s="46" t="inlineStr">
        <is>
          <t>U+2EBF0-U+2EE5F</t>
        </is>
      </c>
      <c r="F756" s="12" t="n">
        <v>4</v>
      </c>
      <c r="J756" s="19">
        <f>ROUNDDOWN(W756,0)/$V756</f>
        <v/>
      </c>
      <c r="K756" s="19">
        <f>ROUNDDOWN(X756,0)/$V756</f>
        <v/>
      </c>
      <c r="L756" s="19">
        <f>ROUNDDOWN(Y756,0)/$V756</f>
        <v/>
      </c>
      <c r="M756" s="19">
        <f>ROUNDDOWN(Z756,0)/$V756</f>
        <v/>
      </c>
      <c r="O756" s="36" t="inlineStr">
        <is>
          <t>𮫨 𮫩 𮫪 𮫫 𮫬 𮫭 𮫮 𮫯 𮫰 𮫱 𮫲 𮫳 𮫴 𮫵 𮫶 𮫷 𮫸 𮫹 𮫺 𮫻 𮫼 𮫽 𮫾 𮫿 𮬀 𮬁 𮬂 𮬃 𮬄 𮬅 𮬆 𮬇 𮬈 𮬉 𮬊 𮬋 𮬌 𮬍 𮬎 𮬏 𮬐 𮬑 𮬒 𮬓 𮬔 𮬕 𮬖 𮬗 𮬘 𮬙 𮬚 𮬛 𮬜 𮬝 𮬞 𮬟 𮬠 𮬡 𮬢 𮬣 𮬤 𮬥 𮬦 𮬧 𮬨 𮬩 𮬪 𮬫 𮬬 𮬭 𮬮 𮬯 𮬰 𮬱 𮬲 𮬳 𮬴 𮬵 𮬶 𮬷 𮬸 𮬹 𮬺 𮬻 𮬼 𮬽 𮬾 𮬿 𮭀 𮭁 𮭂 𮭃 𮭄 𮭅 𮭆 𮭇 𮭈 𮭉 𮭊 𮭋 𮭌 𮭍 𮭎 𮭏 𮭐 𮭑 𮭒 𮭓 𮭔 𮭕 𮭖 𮭗 𮭘 𮭙 𮭚 𮭛 𮭜 𮭝 𮭞 𮭟 𮭠 𮭡 𮭢 𮭣 𮭤 𮭥 𮭦 𮭧 𮭨 𮭩 𮭪 𮭫 𮭬 𮭭 𮭮 𮭯 𮭰 𮭱 𮭲 𮭳 𮭴 𮭵 𮭶 𮭷 𮭸 𮭹 𮭺 𮭻 𮭼 𮭽 𮭾 𮭿 𮮀 𮮁 𮮂 𮮃 𮮄 𮮅 𮮆 𮮇 𮮈 𮮉 𮮊 𮮋 𮮌 𮮍 𮮎 𮮏 𮮐 𮮑 𮮒 𮮓 𮮔 𮮕 𮮖 𮮗 𮮘 𮮙 𮮚 𮮛 𮮜 𮮝 𮮞 𮮟 𮮠 𮮡 𮮢 𮮣 𮮤 𮮥 𮮦 𮮧 𮮨 𮮩 𮮪 𮮫 𮮬 𮮭 𮮮 𮮯 𮮰 𮮱 𮮲 𮮳 𮮴 𮮵 𮮶 𮮷 𮮸 𮮹 𮮺 𮮻 𮮼 𮮽 𮮾 𮮿 𮯀 𮯁 𮯂 𮯃 𮯄 𮯅 𮯆 𮯇 𮯈 𮯉 𮯊 𮯋 𮯌 𮯍 𮯎 𮯏 𮯐 𮯑 𮯒 𮯓 𮯔 𮯕 𮯖 𮯗 𮯘 𮯙 𮯚 𮯛 𮯜 𮯝 𮯞 𮯟 𮯠</t>
        </is>
      </c>
      <c r="V756" s="14">
        <f>(LEN(O756)+1)/2</f>
        <v/>
      </c>
      <c r="W756" s="14">
        <f>ROUNDDOWN((LEN(P756)+1)/2,0)</f>
        <v/>
      </c>
      <c r="X756" s="14">
        <f>ROUNDDOWN((LEN(Q756)+1)/2,0)</f>
        <v/>
      </c>
      <c r="Y756" s="14">
        <f>ROUNDDOWN((LEN(R756)+1)/2,0)</f>
        <v/>
      </c>
      <c r="Z756" s="14">
        <f>ROUNDDOWN((LEN(S756)+1)/2,0)</f>
        <v/>
      </c>
    </row>
    <row r="757" ht="89.25" customHeight="1">
      <c r="B757" s="46" t="inlineStr">
        <is>
          <t>U+2ECC0-U+2ED8E</t>
        </is>
      </c>
      <c r="C757" s="46" t="inlineStr">
        <is>
          <t>CJK Unified Ideographs Extension I</t>
        </is>
      </c>
      <c r="D757" s="54">
        <f>HEX2DEC(MID(B757,3,FIND("-",E757)-3))</f>
        <v/>
      </c>
      <c r="E757" s="46" t="inlineStr">
        <is>
          <t>U+2EBF0-U+2EE5F</t>
        </is>
      </c>
      <c r="F757" s="12" t="n">
        <v>4</v>
      </c>
      <c r="J757" s="19">
        <f>ROUNDDOWN(W757,0)/$V757</f>
        <v/>
      </c>
      <c r="K757" s="19">
        <f>ROUNDDOWN(X757,0)/$V757</f>
        <v/>
      </c>
      <c r="L757" s="19">
        <f>ROUNDDOWN(Y757,0)/$V757</f>
        <v/>
      </c>
      <c r="M757" s="19">
        <f>ROUNDDOWN(Z757,0)/$V757</f>
        <v/>
      </c>
      <c r="O757" s="36" t="inlineStr">
        <is>
          <t>𮯰 𮯱 𮯲 𮯳 𮯴 𮯵 𮯶 𮯷 𮯸 𮯹 𮯺 𮯻 𮯼 𮯽 𮯾 𮯿 𮰀 𮰁 𮰂 𮰃 𮰄 𮰅 𮰆 𮰇 𮰈 𮰉 𮰊 𮰋 𮰌 𮰍 𮰎 𮰏 𮰐 𮰑 𮰒 𮰓 𮰔 𮰕 𮰖 𮰗 𮰘 𮰙 𮰚 𮰛 𮰜 𮰝 𮰞 𮰟 𮰠 𮰡 𮰢 𮰣 𮰤 𮰥 𮰦 𮰧 𮰨 𮰩 𮰪 𮰫 𮰬 𮰭 𮰮 𮰯 𮰰 𮰱 𮰲 𮰳 𮰴 𮰵 𮰶 𮰷 𮰸 𮰹 𮰺 𮰻 𮰼 𮰽 𮰾 𮰿 𮱀 𮱁 𮱂 𮱃 𮱄 𮱅 𮱆 𮱇 𮱈 𮱉 𮱊 𮱋 𮱌 𮱍 𮱎 𮱏 𮱐 𮱑 𮱒 𮱓 𮱔 𮱕 𮱖 𮱗 𮱘 𮱙 𮱚 𮱛 𮱜 𮱝 𮱞 𮱟 𮱠 𮱡 𮱢 𮱣 𮱤 𮱥 𮱦 𮱧 𮱨 𮱩 𮱪 𮱫 𮱬 𮱭 𮱮 𮱯 𮱰 𮱱 𮱲 𮱳 𮱴 𮱵 𮱶 𮱷 𮱸 𮱹 𮱺 𮱻 𮱼 𮱽 𮱾 𮱿 𮲀 𮲁 𮲂 𮲃 𮲄 𮲅 𮲆 𮲇 𮲈 𮲉 𮲊 𮲋 𮲌 𮲍 𮲎 𮲏 𮲐 𮲑 𮲒 𮲓 𮲔 𮲕 𮲖 𮲗 𮲘 𮲙 𮲚 𮲛 𮲜 𮲝 𮲞 𮲟 𮲠 𮲡 𮲢 𮲣 𮲤 𮲥 𮲦 𮲧 𮲨 𮲩 𮲪 𮲫 𮲬 𮲭 𮲮 𮲯 𮲰 𮲱 𮲲 𮲳 𮲴 𮲵 𮲶 𮲷 𮲸 𮲹 𮲺 𮲻 𮲼 𮲽 𮲾 𮲿</t>
        </is>
      </c>
      <c r="V757" s="14">
        <f>(LEN(O757)+1)/2</f>
        <v/>
      </c>
      <c r="W757" s="14">
        <f>ROUNDDOWN((LEN(P757)+1)/2,0)</f>
        <v/>
      </c>
      <c r="X757" s="14">
        <f>ROUNDDOWN((LEN(Q757)+1)/2,0)</f>
        <v/>
      </c>
      <c r="Y757" s="14">
        <f>ROUNDDOWN((LEN(R757)+1)/2,0)</f>
        <v/>
      </c>
      <c r="Z757" s="14">
        <f>ROUNDDOWN((LEN(S757)+1)/2,0)</f>
        <v/>
      </c>
    </row>
    <row r="758" ht="89.25" customHeight="1">
      <c r="B758" s="46" t="inlineStr">
        <is>
          <t>U+2ED8F-U+2EE5D</t>
        </is>
      </c>
      <c r="C758" s="46" t="inlineStr">
        <is>
          <t>CJK Unified Ideographs Extension I</t>
        </is>
      </c>
      <c r="D758" s="54">
        <f>HEX2DEC(MID(B758,3,FIND("-",E758)-3))</f>
        <v/>
      </c>
      <c r="E758" s="46" t="inlineStr">
        <is>
          <t>U+2EBF0-U+2EE5F</t>
        </is>
      </c>
      <c r="F758" s="12" t="n">
        <v>4</v>
      </c>
      <c r="J758" s="19">
        <f>ROUNDDOWN(W758,0)/$V758</f>
        <v/>
      </c>
      <c r="K758" s="19">
        <f>ROUNDDOWN(X758,0)/$V758</f>
        <v/>
      </c>
      <c r="L758" s="19">
        <f>ROUNDDOWN(Y758,0)/$V758</f>
        <v/>
      </c>
      <c r="M758" s="19">
        <f>ROUNDDOWN(Z758,0)/$V758</f>
        <v/>
      </c>
      <c r="O758" s="36" t="inlineStr">
        <is>
          <t>𮳀 𮳁 𮳂 𮳃 𮳄 𮳅 𮳆 𮳇 𮳈 𮳉 𮳊 𮳋 𮳌 𮳍 𮳎 𮳏 𮳐 𮳑 𮳒 𮳓 𮳔 𮳕 𮳖 𮳗 𮳘 𮳙 𮳚 𮳛 𮳜 𮳝 𮳞 𮳟 𮳠 𮳡 𮳢 𮳣 𮳤 𮳥 𮳦 𮳧 𮳨 𮳩 𮳪 𮳫 𮳬 𮳭 𮳮 𮳯 𮳰 𮳱 𮳲 𮳳 𮳴 𮳵 𮳶 𮳷 𮳸 𮳹 𮳺 𮳻 𮳼 𮳽 𮳾 𮳿 𮴀 𮴁 𮴂 𮴃 𮴄 𮴅 𮴆 𮴇 𮴈 𮴉 𮴊 𮴋 𮴌 𮴍 𮴎 𮴏 𮴐 𮴑 𮴒 𮴓 𮴔 𮴕 𮴖 𮴗 𮴘 𮴙 𮴚 𮴛 𮴜 𮴝 𮴞 𮴟 𮴠 𮴡 𮴢 𮴣 𮴤 𮴥 𮴦 𮴧 𮴨 𮴩 𮴪 𮴫 𮴬 𮴭 𮴮 𮴯 𮴰 𮴱 𮴲 𮴳 𮴴 𮴵 𮴶 𮴷 𮴸 𮴹 𮴺 𮴻 𮴼 𮴽 𮴾 𮴿 𮵀 𮵁 𮵂 𮵃 𮵄 𮵅 𮵆 𮵇 𮵈 𮵉 𮵊 𮵋 𮵌 𮵍 𮵎 𮵏 𮵐 𮵑 𮵒 𮵓 𮵔 𮵕 𮵖 𮵗 𮵘 𮵙 𮵚 𮵛 𮵜 𮵝 𮵞 𮵟 𮵠 𮵡 𮵢 𮵣 𮵤 𮵥 𮵦 𮵧 𮵨 𮵩 𮵪 𮵫 𮵬 𮵭 𮵮 𮵯 𮵰 𮵱 𮵲 𮵳 𮵴 𮵵 𮵶 𮵷 𮵸 𮵹 𮵺 𮵻 𮵼 𮵽 𮵾 𮵿 𮶀 𮶁 𮶂 𮶃 𮶄 𮶅 𮶆 𮶇 𮶈 𮶉 𮶊 𮶋 𮶌 𮶍 𮶎</t>
        </is>
      </c>
      <c r="V758" s="14">
        <f>(LEN(O758)+1)/2</f>
        <v/>
      </c>
      <c r="W758" s="14">
        <f>ROUNDDOWN((LEN(P758)+1)/2,0)</f>
        <v/>
      </c>
      <c r="X758" s="14">
        <f>ROUNDDOWN((LEN(Q758)+1)/2,0)</f>
        <v/>
      </c>
      <c r="Y758" s="14">
        <f>ROUNDDOWN((LEN(R758)+1)/2,0)</f>
        <v/>
      </c>
      <c r="Z758" s="14">
        <f>ROUNDDOWN((LEN(S758)+1)/2,0)</f>
        <v/>
      </c>
    </row>
    <row r="759" ht="89.25" customHeight="1">
      <c r="B759" s="46" t="inlineStr">
        <is>
          <t>U+2F800-U+2F8B4</t>
        </is>
      </c>
      <c r="C759" s="46" t="inlineStr">
        <is>
          <t>CJK Compatibility Ideographs Supplement</t>
        </is>
      </c>
      <c r="D759" s="54">
        <f>HEX2DEC(MID(B759,3,FIND("-",E759)-3))</f>
        <v/>
      </c>
      <c r="E759" s="46" t="inlineStr">
        <is>
          <t>U+2F800-U+2FA1F</t>
        </is>
      </c>
      <c r="F759" s="12" t="n">
        <v>4</v>
      </c>
      <c r="J759" s="19">
        <f>ROUNDDOWN(W759,0)/$V759</f>
        <v/>
      </c>
      <c r="K759" s="19">
        <f>ROUNDDOWN(X759,0)/$V759</f>
        <v/>
      </c>
      <c r="L759" s="19">
        <f>ROUNDDOWN(Y759,0)/$V759</f>
        <v/>
      </c>
      <c r="M759" s="19">
        <f>ROUNDDOWN(Z759,0)/$V759</f>
        <v/>
      </c>
      <c r="O759" s="36" t="inlineStr">
        <is>
          <t>𮶏 𮶐 𮶑 𮶒 𮶓 𮶔 𮶕 𮶖 𮶗 𮶘 𮶙 𮶚 𮶛 𮶜 𮶝 𮶞 𮶟 𮶠 𮶡 𮶢 𮶣 𮶤 𮶥 𮶦 𮶧 𮶨 𮶩 𮶪 𮶫 𮶬 𮶭 𮶮 𮶯 𮶰 𮶱 𮶲 𮶳 𮶴 𮶵 𮶶 𮶷 𮶸 𮶹 𮶺 𮶻 𮶼 𮶽 𮶾 𮶿 𮷀 𮷁 𮷂 𮷃 𮷄 𮷅 𮷆 𮷇 𮷈 𮷉 𮷊 𮷋 𮷌 𮷍 𮷎 𮷏 𮷐 𮷑 𮷒 𮷓 𮷔 𮷕 𮷖 𮷗 𮷘 𮷙 𮷚 𮷛 𮷜 𮷝 𮷞 𮷟 𮷠 𮷡 𮷢 𮷣 𮷤 𮷥 𮷦 𮷧 𮷨 𮷩 𮷪 𮷫 𮷬 𮷭 𮷮 𮷯 𮷰 𮷱 𮷲 𮷳 𮷴 𮷵 𮷶 𮷷 𮷸 𮷹 𮷺 𮷻 𮷼 𮷽 𮷾 𮷿 𮸀 𮸁 𮸂 𮸃 𮸄 𮸅 𮸆 𮸇 𮸈 𮸉 𮸊 𮸋 𮸌 𮸍 𮸎 𮸏 𮸐 𮸑 𮸒 𮸓 𮸔 𮸕 𮸖 𮸗 𮸘 𮸙 𮸚 𮸛 𮸜 𮸝 𮸞 𮸟 𮸠 𮸡 𮸢 𮸣 𮸤 𮸥 𮸦 𮸧 𮸨 𮸩 𮸪 𮸫 𮸬 𮸭 𮸮 𮸯 𮸰 𮸱 𮸲 𮸳 𮸴 𮸵 𮸶 𮸷 𮸸 𮸹 𮸺 𮸻 𮸼 𮸽 𮸾 𮸿 𮹀 𮹁 𮹂 𮹃 𮹄 𮹅 𮹆 𮹇 𮹈 𮹉 𮹊 𮹋 𮹌 𮹍 𮹎 𮹏 𮹐 𮹑 𮹒 𮹓 𮹔 𮹕 𮹖 𮹗 𮹘 𮹙 𮹚 𮹛 𮹜 𮹝</t>
        </is>
      </c>
      <c r="V759" s="14">
        <f>(LEN(O759)+1)/2</f>
        <v/>
      </c>
      <c r="W759" s="14">
        <f>ROUNDDOWN((LEN(P759)+1)/2,0)</f>
        <v/>
      </c>
      <c r="X759" s="14">
        <f>ROUNDDOWN((LEN(Q759)+1)/2,0)</f>
        <v/>
      </c>
      <c r="Y759" s="14">
        <f>ROUNDDOWN((LEN(R759)+1)/2,0)</f>
        <v/>
      </c>
      <c r="Z759" s="14">
        <f>ROUNDDOWN((LEN(S759)+1)/2,0)</f>
        <v/>
      </c>
    </row>
    <row r="760" ht="76.5" customHeight="1">
      <c r="B760" s="46" t="inlineStr">
        <is>
          <t>U+2F8B5-U+2F969</t>
        </is>
      </c>
      <c r="C760" s="46" t="inlineStr">
        <is>
          <t>CJK Compatibility Ideographs Supplement</t>
        </is>
      </c>
      <c r="D760" s="54">
        <f>HEX2DEC(MID(B760,3,FIND("-",E760)-3))</f>
        <v/>
      </c>
      <c r="E760" s="46" t="inlineStr">
        <is>
          <t>U+2F800-U+2FA1F</t>
        </is>
      </c>
      <c r="F760" s="12" t="n">
        <v>4</v>
      </c>
      <c r="J760" s="19">
        <f>ROUNDDOWN(W760,0)/$V760</f>
        <v/>
      </c>
      <c r="K760" s="19">
        <f>ROUNDDOWN(X760,0)/$V760</f>
        <v/>
      </c>
      <c r="L760" s="19">
        <f>ROUNDDOWN(Y760,0)/$V760</f>
        <v/>
      </c>
      <c r="M760" s="19">
        <f>ROUNDDOWN(Z760,0)/$V760</f>
        <v/>
      </c>
      <c r="O760" s="36" t="inlineStr">
        <is>
          <t>丽 丸 乁 𠄢 你 侮 侻 倂 偺 備 僧 像 㒞 𠘺 免 兔 兤 具 𠔜 㒹 內 再 𠕋 冗 冤 仌 冬 况 𩇟 凵 刃 㓟 刻 剆 割 剷 㔕 勇 勉 勤 勺 包 匆 北 卉 卑 博 即 卽 卿 卿 卿 𠨬 灰 及 叟 𠭣 叫 叱 吆 咞 吸 呈 周 咢 哶 唐 啓 啣 善 善 喙 喫 喳 嗂 圖 嘆 圗 噑 噴 切 壮 城 埴 堍 型 堲 報 墬 𡓤 売 壷 夆 多 夢 奢 𡚨 𡛪 姬 娛 娧 姘 婦 㛮 㛼 嬈 嬾 嬾 𡧈 寃 寘 寧 寳 𡬘 寿 将 当 尢 㞁 屠 屮 峀 岍 𡷤 嵃 𡷦 嵮 嵫 嵼 巡 巢 㠯 巽 帨 帽 幩 㡢 𢆃 㡼 庰 庳 庶 廊 𪎒 廾 𢌱 𢌱 舁 弢 弢 㣇 𣊸 𦇚 形 彫 㣣 徚 忍 志 忹 悁 㤺 㤜 悔 𢛔 惇 慈 慌 慎 慌 慺 憎 憲 憤 憯 懞 懲 懶 成 戛 扝</t>
        </is>
      </c>
      <c r="V760" s="14">
        <f>(LEN(O760)+1)/2</f>
        <v/>
      </c>
      <c r="W760" s="14">
        <f>ROUNDDOWN((LEN(P760)+1)/2,0)</f>
        <v/>
      </c>
      <c r="X760" s="14">
        <f>ROUNDDOWN((LEN(Q760)+1)/2,0)</f>
        <v/>
      </c>
      <c r="Y760" s="14">
        <f>ROUNDDOWN((LEN(R760)+1)/2,0)</f>
        <v/>
      </c>
      <c r="Z760" s="14">
        <f>ROUNDDOWN((LEN(S760)+1)/2,0)</f>
        <v/>
      </c>
    </row>
    <row r="761" ht="76.5" customHeight="1">
      <c r="B761" s="46" t="inlineStr">
        <is>
          <t>U+2F96A-U+2FA1D</t>
        </is>
      </c>
      <c r="C761" s="46" t="inlineStr">
        <is>
          <t>CJK Compatibility Ideographs Supplement</t>
        </is>
      </c>
      <c r="D761" s="54">
        <f>HEX2DEC(MID(B761,3,FIND("-",E761)-3))</f>
        <v/>
      </c>
      <c r="E761" s="46" t="inlineStr">
        <is>
          <t>U+2F800-U+2FA1F</t>
        </is>
      </c>
      <c r="F761" s="12" t="n">
        <v>4</v>
      </c>
      <c r="J761" s="19">
        <f>ROUNDDOWN(W761,0)/$V761</f>
        <v/>
      </c>
      <c r="K761" s="19">
        <f>ROUNDDOWN(X761,0)/$V761</f>
        <v/>
      </c>
      <c r="L761" s="19">
        <f>ROUNDDOWN(Y761,0)/$V761</f>
        <v/>
      </c>
      <c r="M761" s="19">
        <f>ROUNDDOWN(Z761,0)/$V761</f>
        <v/>
      </c>
      <c r="O761" s="36" t="inlineStr">
        <is>
          <t>抱 拔 捐 𢬌 挽 拼 捨 掃 揤 𢯱 搢 揅 掩 㨮 摩 摾 撝 摷 㩬 敏 敬 𣀊 旣 書 晉 㬙 暑 㬈 㫤 冒 冕 最 暜 肭 䏙 朗 望 朡 杞 杓 𣏃 㭉 柺 枅 桒 梅 𣑭 梎 栟 椔 㮝 楂 榣 槪 檨 𣚣 櫛 㰘 次 𣢧 歔 㱎 歲 殟 殺 殻 𣪍 𡴋 𣫺 汎 𣲼 沿 泍 汧 洖 派 海 流 浩 浸 涅 𣴞 洴 港 湮 㴳 滋 滇 𣻑 淹 潮 𣽞 𣾎 濆 瀹 瀞 瀛 㶖 灊 災 灷 炭 𠔥 煅 𤉣 熜 𤎫 爨 爵 牐 𤘈 犀 犕 𤜵 𤠔 獺 王 㺬 玥 㺸 㺸 瑇 瑜 瑱 璅 瓊 㼛 甤 𤰶 甾 𤲒 異 𢆟 瘐 𤾡 𤾸 𥁄 㿼 䀈 直 𥃳 𥃲 𥄙 𥄳 眞 真 真 睊 䀹 瞋 䁆 䂖 𥐝 硎 碌 磌 䃣 𥘦 祖 𥚚 𥛅 福 秫 䄯 穀 穊 穏 𥥼 𥪧 𥪧 竮 䈂 𥮫 篆 築 䈧 𥲀 糒 䊠 糨 糣</t>
        </is>
      </c>
      <c r="V761" s="14">
        <f>(LEN(O761)+1)/2</f>
        <v/>
      </c>
      <c r="W761" s="14">
        <f>ROUNDDOWN((LEN(P761)+1)/2,0)</f>
        <v/>
      </c>
      <c r="X761" s="14">
        <f>ROUNDDOWN((LEN(Q761)+1)/2,0)</f>
        <v/>
      </c>
      <c r="Y761" s="14">
        <f>ROUNDDOWN((LEN(R761)+1)/2,0)</f>
        <v/>
      </c>
      <c r="Z761" s="14">
        <f>ROUNDDOWN((LEN(S761)+1)/2,0)</f>
        <v/>
      </c>
    </row>
    <row r="762" ht="76.5" customHeight="1">
      <c r="B762" s="46" t="inlineStr">
        <is>
          <t>U+30000-U+300F6</t>
        </is>
      </c>
      <c r="C762" s="46" t="inlineStr">
        <is>
          <t>CJK Unified Ideographs Extension G</t>
        </is>
      </c>
      <c r="D762" s="54">
        <f>HEX2DEC(MID(B762,3,FIND("-",E762)-3))</f>
        <v/>
      </c>
      <c r="E762" s="46" t="inlineStr">
        <is>
          <t>U+30000-U+3134F</t>
        </is>
      </c>
      <c r="F762" s="12" t="n">
        <v>4</v>
      </c>
      <c r="J762" s="19">
        <f>ROUNDDOWN(W762,0)/$V762</f>
        <v/>
      </c>
      <c r="K762" s="19">
        <f>ROUNDDOWN(X762,0)/$V762</f>
        <v/>
      </c>
      <c r="L762" s="19">
        <f>ROUNDDOWN(Y762,0)/$V762</f>
        <v/>
      </c>
      <c r="M762" s="19">
        <f>ROUNDDOWN(Z762,0)/$V762</f>
        <v/>
      </c>
      <c r="O762" s="36" t="inlineStr">
        <is>
          <t>紀 𥾆 絣 䌁 緇 縂 繅 䌴 𦈨 𦉇 䍙 𦋙 罺 𦌾 羕 翺 者 𦓚 𦔣 聠 𦖨 聰 𣍟 䏕 育 脃 䐋 脾 媵 𦞧 𦞵 𣎓 𣎜 舁 舄 辞 䑫 芑 芋 芝 劳 花 芳 芽 苦 𦬼 若 茝 荣 莭 茣 莽 菧 著 荓 菊 菌 菜 𦰶 𦵫 𦳕 䔫 蓱 蓳 蔖 𧏊 蕤 𦼬 䕝 䕡 𦾱 𧃒 䕫 虐 虜 虧 虩 蚩 蚈 蜎 蛢 蝹 蜨 蝫 螆 䗗 蟡 蠁 䗹 衠 衣 𧙧 裗 裞 䘵 裺 㒻 𧢮 𧥦 䚾 䛇 誠 諭 變 豕 𧲨 貫 賁 贛 起 𧼯 𠠄 跋 趼 跰 𠣞 軔 輸 𨗒 𨗭 邔 郱 鄑 𨜮 鄛 鈸 鋗 鋘 鉼 鏹 鐕 𨯺 開 䦕 閷 𨵷 䧦 雃 嶲 霣 𩅅 𩈚 䩮 䩶 韠 𩐊 䪲 𩒖 頋 頋 頩 𩖶 飢 䬳 餩 馧 駂 駾 䯎 𩬰 鬒 鱀 鳽 䳎 䳭 鵧 𪃎 䳸 𪄅 𪈎 𪊑 麻 䵖 黹 黾 鼅 鼏 鼖 鼻 𪘀</t>
        </is>
      </c>
      <c r="V762" s="14">
        <f>(LEN(O762)+1)/2</f>
        <v/>
      </c>
      <c r="W762" s="14">
        <f>ROUNDDOWN((LEN(P762)+1)/2,0)</f>
        <v/>
      </c>
      <c r="X762" s="14">
        <f>ROUNDDOWN((LEN(Q762)+1)/2,0)</f>
        <v/>
      </c>
      <c r="Y762" s="14">
        <f>ROUNDDOWN((LEN(R762)+1)/2,0)</f>
        <v/>
      </c>
      <c r="Z762" s="14">
        <f>ROUNDDOWN((LEN(S762)+1)/2,0)</f>
        <v/>
      </c>
    </row>
    <row r="763" ht="102" customHeight="1">
      <c r="B763" s="46" t="inlineStr">
        <is>
          <t>U+300F7-U+301ED</t>
        </is>
      </c>
      <c r="C763" s="46" t="inlineStr">
        <is>
          <t>CJK Unified Ideographs Extension G</t>
        </is>
      </c>
      <c r="D763" s="54">
        <f>HEX2DEC(MID(B763,3,FIND("-",E763)-3))</f>
        <v/>
      </c>
      <c r="E763" s="46" t="inlineStr">
        <is>
          <t>U+30000-U+3134F</t>
        </is>
      </c>
      <c r="F763" s="12" t="n">
        <v>4</v>
      </c>
      <c r="J763" s="19">
        <f>ROUNDDOWN(W763,0)/$V763</f>
        <v/>
      </c>
      <c r="K763" s="19">
        <f>ROUNDDOWN(X763,0)/$V763</f>
        <v/>
      </c>
      <c r="L763" s="19">
        <f>ROUNDDOWN(Y763,0)/$V763</f>
        <v/>
      </c>
      <c r="M763" s="19">
        <f>ROUNDDOWN(Z763,0)/$V763</f>
        <v/>
      </c>
      <c r="O763" s="36" t="inlineStr">
        <is>
          <t>𰀀 𰀁 𰀂 𰀃 𰀄 𰀅 𰀆 𰀇 𰀈 𰀉 𰀊 𰀋 𰀌 𰀍 𰀎 𰀏 𰀐 𰀑 𰀒 𰀓 𰀔 𰀕 𰀖 𰀗 𰀘 𰀙 𰀚 𰀛 𰀜 𰀝 𰀞 𰀟 𰀠 𰀡 𰀢 𰀣 𰀤 𰀥 𰀦 𰀧 𰀨 𰀩 𰀪 𰀫 𰀬 𰀭 𰀮 𰀯 𰀰 𰀱 𰀲 𰀳 𰀴 𰀵 𰀶 𰀷 𰀸 𰀹 𰀺 𰀻 𰀼 𰀽 𰀾 𰀿 𰁀 𰁁 𰁂 𰁃 𰁄 𰁅 𰁆 𰁇 𰁈 𰁉 𰁊 𰁋 𰁌 𰁍 𰁎 𰁏 𰁐 𰁑 𰁒 𰁓 𰁔 𰁕 𰁖 𰁗 𰁘 𰁙 𰁚 𰁛 𰁜 𰁝 𰁞 𰁟 𰁠 𰁡 𰁢 𰁣 𰁤 𰁥 𰁦 𰁧 𰁨 𰁩 𰁪 𰁫 𰁬 𰁭 𰁮 𰁯 𰁰 𰁱 𰁲 𰁳 𰁴 𰁵 𰁶 𰁷 𰁸 𰁹 𰁺 𰁻 𰁼 𰁽 𰁾 𰁿 𰂀 𰂁 𰂂 𰂃 𰂄 𰂅 𰂆 𰂇 𰂈 𰂉 𰂊 𰂋 𰂌 𰂍 𰂎 𰂏 𰂐 𰂑 𰂒 𰂓 𰂔 𰂕 𰂖 𰂗 𰂘 𰂙 𰂚 𰂛 𰂜 𰂝 𰂞 𰂟 𰂠 𰂡 𰂢 𰂣 𰂤 𰂥 𰂦 𰂧 𰂨 𰂩 𰂪 𰂫 𰂬 𰂭 𰂮 𰂯 𰂰 𰂱 𰂲 𰂳 𰂴 𰂵 𰂶 𰂷 𰂸 𰂹 𰂺 𰂻 𰂼 𰂽 𰂾 𰂿 𰃀 𰃁 𰃂 𰃃 𰃄 𰃅 𰃆 𰃇 𰃈 𰃉 𰃊 𰃋 𰃌 𰃍 𰃎 𰃏 𰃐 𰃑 𰃒 𰃓 𰃔 𰃕 𰃖 𰃗 𰃘 𰃙 𰃚 𰃛 𰃜 𰃝 𰃞 𰃟 𰃠 𰃡 𰃢 𰃣 𰃤 𰃥 𰃦 𰃧 𰃨 𰃩 𰃪 𰃫 𰃬 𰃭 𰃮 𰃯 𰃰 𰃱 𰃲 𰃳 𰃴 𰃵 𰃶</t>
        </is>
      </c>
      <c r="V763" s="14">
        <f>(LEN(O763)+1)/2</f>
        <v/>
      </c>
      <c r="W763" s="14">
        <f>ROUNDDOWN((LEN(P763)+1)/2,0)</f>
        <v/>
      </c>
      <c r="X763" s="14">
        <f>ROUNDDOWN((LEN(Q763)+1)/2,0)</f>
        <v/>
      </c>
      <c r="Y763" s="14">
        <f>ROUNDDOWN((LEN(R763)+1)/2,0)</f>
        <v/>
      </c>
      <c r="Z763" s="14">
        <f>ROUNDDOWN((LEN(S763)+1)/2,0)</f>
        <v/>
      </c>
    </row>
    <row r="764" ht="102" customHeight="1">
      <c r="B764" s="46" t="inlineStr">
        <is>
          <t>U+301EE-U+302E4</t>
        </is>
      </c>
      <c r="C764" s="46" t="inlineStr">
        <is>
          <t>CJK Unified Ideographs Extension G</t>
        </is>
      </c>
      <c r="D764" s="54">
        <f>HEX2DEC(MID(B764,3,FIND("-",E764)-3))</f>
        <v/>
      </c>
      <c r="E764" s="46" t="inlineStr">
        <is>
          <t>U+30000-U+3134F</t>
        </is>
      </c>
      <c r="F764" s="12" t="n">
        <v>4</v>
      </c>
      <c r="J764" s="19">
        <f>ROUNDDOWN(W764,0)/$V764</f>
        <v/>
      </c>
      <c r="K764" s="19">
        <f>ROUNDDOWN(X764,0)/$V764</f>
        <v/>
      </c>
      <c r="L764" s="19">
        <f>ROUNDDOWN(Y764,0)/$V764</f>
        <v/>
      </c>
      <c r="M764" s="19">
        <f>ROUNDDOWN(Z764,0)/$V764</f>
        <v/>
      </c>
      <c r="O764" s="36" t="inlineStr">
        <is>
          <t>𰃷 𰃸 𰃹 𰃺 𰃻 𰃼 𰃽 𰃾 𰃿 𰄀 𰄁 𰄂 𰄃 𰄄 𰄅 𰄆 𰄇 𰄈 𰄉 𰄊 𰄋 𰄌 𰄍 𰄎 𰄏 𰄐 𰄑 𰄒 𰄓 𰄔 𰄕 𰄖 𰄗 𰄘 𰄙 𰄚 𰄛 𰄜 𰄝 𰄞 𰄟 𰄠 𰄡 𰄢 𰄣 𰄤 𰄥 𰄦 𰄧 𰄨 𰄩 𰄪 𰄫 𰄬 𰄭 𰄮 𰄯 𰄰 𰄱 𰄲 𰄳 𰄴 𰄵 𰄶 𰄷 𰄸 𰄹 𰄺 𰄻 𰄼 𰄽 𰄾 𰄿 𰅀 𰅁 𰅂 𰅃 𰅄 𰅅 𰅆 𰅇 𰅈 𰅉 𰅊 𰅋 𰅌 𰅍 𰅎 𰅏 𰅐 𰅑 𰅒 𰅓 𰅔 𰅕 𰅖 𰅗 𰅘 𰅙 𰅚 𰅛 𰅜 𰅝 𰅞 𰅟 𰅠 𰅡 𰅢 𰅣 𰅤 𰅥 𰅦 𰅧 𰅨 𰅩 𰅪 𰅫 𰅬 𰅭 𰅮 𰅯 𰅰 𰅱 𰅲 𰅳 𰅴 𰅵 𰅶 𰅷 𰅸 𰅹 𰅺 𰅻 𰅼 𰅽 𰅾 𰅿 𰆀 𰆁 𰆂 𰆃 𰆄 𰆅 𰆆 𰆇 𰆈 𰆉 𰆊 𰆋 𰆌 𰆍 𰆎 𰆏 𰆐 𰆑 𰆒 𰆓 𰆔 𰆕 𰆖 𰆗 𰆘 𰆙 𰆚 𰆛 𰆜 𰆝 𰆞 𰆟 𰆠 𰆡 𰆢 𰆣 𰆤 𰆥 𰆦 𰆧 𰆨 𰆩 𰆪 𰆫 𰆬 𰆭 𰆮 𰆯 𰆰 𰆱 𰆲 𰆳 𰆴 𰆵 𰆶 𰆷 𰆸 𰆹 𰆺 𰆻 𰆼 𰆽 𰆾 𰆿 𰇀 𰇁 𰇂 𰇃 𰇄 𰇅 𰇆 𰇇 𰇈 𰇉 𰇊 𰇋 𰇌 𰇍 𰇎 𰇏 𰇐 𰇑 𰇒 𰇓 𰇔 𰇕 𰇖 𰇗 𰇘 𰇙 𰇚 𰇛 𰇜 𰇝 𰇞 𰇟 𰇠 𰇡 𰇢 𰇣 𰇤 𰇥 𰇦 𰇧 𰇨 𰇩 𰇪 𰇫 𰇬 𰇭</t>
        </is>
      </c>
      <c r="V764" s="14">
        <f>(LEN(O764)+1)/2</f>
        <v/>
      </c>
      <c r="W764" s="14">
        <f>ROUNDDOWN((LEN(P764)+1)/2,0)</f>
        <v/>
      </c>
      <c r="X764" s="14">
        <f>ROUNDDOWN((LEN(Q764)+1)/2,0)</f>
        <v/>
      </c>
      <c r="Y764" s="14">
        <f>ROUNDDOWN((LEN(R764)+1)/2,0)</f>
        <v/>
      </c>
      <c r="Z764" s="14">
        <f>ROUNDDOWN((LEN(S764)+1)/2,0)</f>
        <v/>
      </c>
    </row>
    <row r="765" ht="102" customHeight="1">
      <c r="B765" s="46" t="inlineStr">
        <is>
          <t>U+302E5-U+303DB</t>
        </is>
      </c>
      <c r="C765" s="46" t="inlineStr">
        <is>
          <t>CJK Unified Ideographs Extension G</t>
        </is>
      </c>
      <c r="D765" s="54">
        <f>HEX2DEC(MID(B765,3,FIND("-",E765)-3))</f>
        <v/>
      </c>
      <c r="E765" s="46" t="inlineStr">
        <is>
          <t>U+30000-U+3134F</t>
        </is>
      </c>
      <c r="F765" s="12" t="n">
        <v>4</v>
      </c>
      <c r="J765" s="19">
        <f>ROUNDDOWN(W765,0)/$V765</f>
        <v/>
      </c>
      <c r="K765" s="19">
        <f>ROUNDDOWN(X765,0)/$V765</f>
        <v/>
      </c>
      <c r="L765" s="19">
        <f>ROUNDDOWN(Y765,0)/$V765</f>
        <v/>
      </c>
      <c r="M765" s="19">
        <f>ROUNDDOWN(Z765,0)/$V765</f>
        <v/>
      </c>
      <c r="O765" s="36" t="inlineStr">
        <is>
          <t>𰇮 𰇯 𰇰 𰇱 𰇲 𰇳 𰇴 𰇵 𰇶 𰇷 𰇸 𰇹 𰇺 𰇻 𰇼 𰇽 𰇾 𰇿 𰈀 𰈁 𰈂 𰈃 𰈄 𰈅 𰈆 𰈇 𰈈 𰈉 𰈊 𰈋 𰈌 𰈍 𰈎 𰈏 𰈐 𰈑 𰈒 𰈓 𰈔 𰈕 𰈖 𰈗 𰈘 𰈙 𰈚 𰈛 𰈜 𰈝 𰈞 𰈟 𰈠 𰈡 𰈢 𰈣 𰈤 𰈥 𰈦 𰈧 𰈨 𰈩 𰈪 𰈫 𰈬 𰈭 𰈮 𰈯 𰈰 𰈱 𰈲 𰈳 𰈴 𰈵 𰈶 𰈷 𰈸 𰈹 𰈺 𰈻 𰈼 𰈽 𰈾 𰈿 𰉀 𰉁 𰉂 𰉃 𰉄 𰉅 𰉆 𰉇 𰉈 𰉉 𰉊 𰉋 𰉌 𰉍 𰉎 𰉏 𰉐 𰉑 𰉒 𰉓 𰉔 𰉕 𰉖 𰉗 𰉘 𰉙 𰉚 𰉛 𰉜 𰉝 𰉞 𰉟 𰉠 𰉡 𰉢 𰉣 𰉤 𰉥 𰉦 𰉧 𰉨 𰉩 𰉪 𰉫 𰉬 𰉭 𰉮 𰉯 𰉰 𰉱 𰉲 𰉳 𰉴 𰉵 𰉶 𰉷 𰉸 𰉹 𰉺 𰉻 𰉼 𰉽 𰉾 𰉿 𰊀 𰊁 𰊂 𰊃 𰊄 𰊅 𰊆 𰊇 𰊈 𰊉 𰊊 𰊋 𰊌 𰊍 𰊎 𰊏 𰊐 𰊑 𰊒 𰊓 𰊔 𰊕 𰊖 𰊗 𰊘 𰊙 𰊚 𰊛 𰊜 𰊝 𰊞 𰊟 𰊠 𰊡 𰊢 𰊣 𰊤 𰊥 𰊦 𰊧 𰊨 𰊩 𰊪 𰊫 𰊬 𰊭 𰊮 𰊯 𰊰 𰊱 𰊲 𰊳 𰊴 𰊵 𰊶 𰊷 𰊸 𰊹 𰊺 𰊻 𰊼 𰊽 𰊾 𰊿 𰋀 𰋁 𰋂 𰋃 𰋄 𰋅 𰋆 𰋇 𰋈 𰋉 𰋊 𰋋 𰋌 𰋍 𰋎 𰋏 𰋐 𰋑 𰋒 𰋓 𰋔 𰋕 𰋖 𰋗 𰋘 𰋙 𰋚 𰋛 𰋜 𰋝 𰋞 𰋟 𰋠 𰋡 𰋢 𰋣 𰋤</t>
        </is>
      </c>
      <c r="V765" s="14">
        <f>(LEN(O765)+1)/2</f>
        <v/>
      </c>
      <c r="W765" s="14">
        <f>ROUNDDOWN((LEN(P765)+1)/2,0)</f>
        <v/>
      </c>
      <c r="X765" s="14">
        <f>ROUNDDOWN((LEN(Q765)+1)/2,0)</f>
        <v/>
      </c>
      <c r="Y765" s="14">
        <f>ROUNDDOWN((LEN(R765)+1)/2,0)</f>
        <v/>
      </c>
      <c r="Z765" s="14">
        <f>ROUNDDOWN((LEN(S765)+1)/2,0)</f>
        <v/>
      </c>
    </row>
    <row r="766" ht="102" customHeight="1">
      <c r="B766" s="46" t="inlineStr">
        <is>
          <t>U+303DC-U+304D2</t>
        </is>
      </c>
      <c r="C766" s="46" t="inlineStr">
        <is>
          <t>CJK Unified Ideographs Extension G</t>
        </is>
      </c>
      <c r="D766" s="54">
        <f>HEX2DEC(MID(B766,3,FIND("-",E766)-3))</f>
        <v/>
      </c>
      <c r="E766" s="46" t="inlineStr">
        <is>
          <t>U+30000-U+3134F</t>
        </is>
      </c>
      <c r="F766" s="12" t="n">
        <v>4</v>
      </c>
      <c r="J766" s="19">
        <f>ROUNDDOWN(W766,0)/$V766</f>
        <v/>
      </c>
      <c r="K766" s="19">
        <f>ROUNDDOWN(X766,0)/$V766</f>
        <v/>
      </c>
      <c r="L766" s="19">
        <f>ROUNDDOWN(Y766,0)/$V766</f>
        <v/>
      </c>
      <c r="M766" s="19">
        <f>ROUNDDOWN(Z766,0)/$V766</f>
        <v/>
      </c>
      <c r="O766" s="36" t="inlineStr">
        <is>
          <t>𰋥 𰋦 𰋧 𰋨 𰋩 𰋪 𰋫 𰋬 𰋭 𰋮 𰋯 𰋰 𰋱 𰋲 𰋳 𰋴 𰋵 𰋶 𰋷 𰋸 𰋹 𰋺 𰋻 𰋼 𰋽 𰋾 𰋿 𰌀 𰌁 𰌂 𰌃 𰌄 𰌅 𰌆 𰌇 𰌈 𰌉 𰌊 𰌋 𰌌 𰌍 𰌎 𰌏 𰌐 𰌑 𰌒 𰌓 𰌔 𰌕 𰌖 𰌗 𰌘 𰌙 𰌚 𰌛 𰌜 𰌝 𰌞 𰌟 𰌠 𰌡 𰌢 𰌣 𰌤 𰌥 𰌦 𰌧 𰌨 𰌩 𰌪 𰌫 𰌬 𰌭 𰌮 𰌯 𰌰 𰌱 𰌲 𰌳 𰌴 𰌵 𰌶 𰌷 𰌸 𰌹 𰌺 𰌻 𰌼 𰌽 𰌾 𰌿 𰍀 𰍁 𰍂 𰍃 𰍄 𰍅 𰍆 𰍇 𰍈 𰍉 𰍊 𰍋 𰍌 𰍍 𰍎 𰍏 𰍐 𰍑 𰍒 𰍓 𰍔 𰍕 𰍖 𰍗 𰍘 𰍙 𰍚 𰍛 𰍜 𰍝 𰍞 𰍟 𰍠 𰍡 𰍢 𰍣 𰍤 𰍥 𰍦 𰍧 𰍨 𰍩 𰍪 𰍫 𰍬 𰍭 𰍮 𰍯 𰍰 𰍱 𰍲 𰍳 𰍴 𰍵 𰍶 𰍷 𰍸 𰍹 𰍺 𰍻 𰍼 𰍽 𰍾 𰍿 𰎀 𰎁 𰎂 𰎃 𰎄 𰎅 𰎆 𰎇 𰎈 𰎉 𰎊 𰎋 𰎌 𰎍 𰎎 𰎏 𰎐 𰎑 𰎒 𰎓 𰎔 𰎕 𰎖 𰎗 𰎘 𰎙 𰎚 𰎛 𰎜 𰎝 𰎞 𰎟 𰎠 𰎡 𰎢 𰎣 𰎤 𰎥 𰎦 𰎧 𰎨 𰎩 𰎪 𰎫 𰎬 𰎭 𰎮 𰎯 𰎰 𰎱 𰎲 𰎳 𰎴 𰎵 𰎶 𰎷 𰎸 𰎹 𰎺 𰎻 𰎼 𰎽 𰎾 𰎿 𰏀 𰏁 𰏂 𰏃 𰏄 𰏅 𰏆 𰏇 𰏈 𰏉 𰏊 𰏋 𰏌 𰏍 𰏎 𰏏 𰏐 𰏑 𰏒 𰏓 𰏔 𰏕 𰏖 𰏗 𰏘 𰏙 𰏚 𰏛</t>
        </is>
      </c>
      <c r="V766" s="14">
        <f>(LEN(O766)+1)/2</f>
        <v/>
      </c>
      <c r="W766" s="14">
        <f>ROUNDDOWN((LEN(P766)+1)/2,0)</f>
        <v/>
      </c>
      <c r="X766" s="14">
        <f>ROUNDDOWN((LEN(Q766)+1)/2,0)</f>
        <v/>
      </c>
      <c r="Y766" s="14">
        <f>ROUNDDOWN((LEN(R766)+1)/2,0)</f>
        <v/>
      </c>
      <c r="Z766" s="14">
        <f>ROUNDDOWN((LEN(S766)+1)/2,0)</f>
        <v/>
      </c>
    </row>
    <row r="767" ht="102" customHeight="1">
      <c r="B767" s="46" t="inlineStr">
        <is>
          <t>U+304D3-U+305C9</t>
        </is>
      </c>
      <c r="C767" s="46" t="inlineStr">
        <is>
          <t>CJK Unified Ideographs Extension G</t>
        </is>
      </c>
      <c r="D767" s="54">
        <f>HEX2DEC(MID(B767,3,FIND("-",E767)-3))</f>
        <v/>
      </c>
      <c r="E767" s="46" t="inlineStr">
        <is>
          <t>U+30000-U+3134F</t>
        </is>
      </c>
      <c r="F767" s="12" t="n">
        <v>4</v>
      </c>
      <c r="J767" s="19">
        <f>ROUNDDOWN(W767,0)/$V767</f>
        <v/>
      </c>
      <c r="K767" s="19">
        <f>ROUNDDOWN(X767,0)/$V767</f>
        <v/>
      </c>
      <c r="L767" s="19">
        <f>ROUNDDOWN(Y767,0)/$V767</f>
        <v/>
      </c>
      <c r="M767" s="19">
        <f>ROUNDDOWN(Z767,0)/$V767</f>
        <v/>
      </c>
      <c r="O767" s="36" t="inlineStr">
        <is>
          <t>𰏜 𰏝 𰏞 𰏟 𰏠 𰏡 𰏢 𰏣 𰏤 𰏥 𰏦 𰏧 𰏨 𰏩 𰏪 𰏫 𰏬 𰏭 𰏮 𰏯 𰏰 𰏱 𰏲 𰏳 𰏴 𰏵 𰏶 𰏷 𰏸 𰏹 𰏺 𰏻 𰏼 𰏽 𰏾 𰏿 𰐀 𰐁 𰐂 𰐃 𰐄 𰐅 𰐆 𰐇 𰐈 𰐉 𰐊 𰐋 𰐌 𰐍 𰐎 𰐏 𰐐 𰐑 𰐒 𰐓 𰐔 𰐕 𰐖 𰐗 𰐘 𰐙 𰐚 𰐛 𰐜 𰐝 𰐞 𰐟 𰐠 𰐡 𰐢 𰐣 𰐤 𰐥 𰐦 𰐧 𰐨 𰐩 𰐪 𰐫 𰐬 𰐭 𰐮 𰐯 𰐰 𰐱 𰐲 𰐳 𰐴 𰐵 𰐶 𰐷 𰐸 𰐹 𰐺 𰐻 𰐼 𰐽 𰐾 𰐿 𰑀 𰑁 𰑂 𰑃 𰑄 𰑅 𰑆 𰑇 𰑈 𰑉 𰑊 𰑋 𰑌 𰑍 𰑎 𰑏 𰑐 𰑑 𰑒 𰑓 𰑔 𰑕 𰑖 𰑗 𰑘 𰑙 𰑚 𰑛 𰑜 𰑝 𰑞 𰑟 𰑠 𰑡 𰑢 𰑣 𰑤 𰑥 𰑦 𰑧 𰑨 𰑩 𰑪 𰑫 𰑬 𰑭 𰑮 𰑯 𰑰 𰑱 𰑲 𰑳 𰑴 𰑵 𰑶 𰑷 𰑸 𰑹 𰑺 𰑻 𰑼 𰑽 𰑾 𰑿 𰒀 𰒁 𰒂 𰒃 𰒄 𰒅 𰒆 𰒇 𰒈 𰒉 𰒊 𰒋 𰒌 𰒍 𰒎 𰒏 𰒐 𰒑 𰒒 𰒓 𰒔 𰒕 𰒖 𰒗 𰒘 𰒙 𰒚 𰒛 𰒜 𰒝 𰒞 𰒟 𰒠 𰒡 𰒢 𰒣 𰒤 𰒥 𰒦 𰒧 𰒨 𰒩 𰒪 𰒫 𰒬 𰒭 𰒮 𰒯 𰒰 𰒱 𰒲 𰒳 𰒴 𰒵 𰒶 𰒷 𰒸 𰒹 𰒺 𰒻 𰒼 𰒽 𰒾 𰒿 𰓀 𰓁 𰓂 𰓃 𰓄 𰓅 𰓆 𰓇 𰓈 𰓉 𰓊 𰓋 𰓌 𰓍 𰓎 𰓏 𰓐 𰓑 𰓒</t>
        </is>
      </c>
      <c r="V767" s="14">
        <f>(LEN(O767)+1)/2</f>
        <v/>
      </c>
      <c r="W767" s="14">
        <f>ROUNDDOWN((LEN(P767)+1)/2,0)</f>
        <v/>
      </c>
      <c r="X767" s="14">
        <f>ROUNDDOWN((LEN(Q767)+1)/2,0)</f>
        <v/>
      </c>
      <c r="Y767" s="14">
        <f>ROUNDDOWN((LEN(R767)+1)/2,0)</f>
        <v/>
      </c>
      <c r="Z767" s="14">
        <f>ROUNDDOWN((LEN(S767)+1)/2,0)</f>
        <v/>
      </c>
    </row>
    <row r="768" ht="102" customHeight="1">
      <c r="B768" s="46" t="inlineStr">
        <is>
          <t>U+305CA-U+306C0</t>
        </is>
      </c>
      <c r="C768" s="46" t="inlineStr">
        <is>
          <t>CJK Unified Ideographs Extension G</t>
        </is>
      </c>
      <c r="D768" s="54">
        <f>HEX2DEC(MID(B768,3,FIND("-",E768)-3))</f>
        <v/>
      </c>
      <c r="E768" s="46" t="inlineStr">
        <is>
          <t>U+30000-U+3134F</t>
        </is>
      </c>
      <c r="F768" s="12" t="n">
        <v>4</v>
      </c>
      <c r="J768" s="19">
        <f>ROUNDDOWN(W768,0)/$V768</f>
        <v/>
      </c>
      <c r="K768" s="19">
        <f>ROUNDDOWN(X768,0)/$V768</f>
        <v/>
      </c>
      <c r="L768" s="19">
        <f>ROUNDDOWN(Y768,0)/$V768</f>
        <v/>
      </c>
      <c r="M768" s="19">
        <f>ROUNDDOWN(Z768,0)/$V768</f>
        <v/>
      </c>
      <c r="O768" s="36" t="inlineStr">
        <is>
          <t>𰓓 𰓔 𰓕 𰓖 𰓗 𰓘 𰓙 𰓚 𰓛 𰓜 𰓝 𰓞 𰓟 𰓠 𰓡 𰓢 𰓣 𰓤 𰓥 𰓦 𰓧 𰓨 𰓩 𰓪 𰓫 𰓬 𰓭 𰓮 𰓯 𰓰 𰓱 𰓲 𰓳 𰓴 𰓵 𰓶 𰓷 𰓸 𰓹 𰓺 𰓻 𰓼 𰓽 𰓾 𰓿 𰔀 𰔁 𰔂 𰔃 𰔄 𰔅 𰔆 𰔇 𰔈 𰔉 𰔊 𰔋 𰔌 𰔍 𰔎 𰔏 𰔐 𰔑 𰔒 𰔓 𰔔 𰔕 𰔖 𰔗 𰔘 𰔙 𰔚 𰔛 𰔜 𰔝 𰔞 𰔟 𰔠 𰔡 𰔢 𰔣 𰔤 𰔥 𰔦 𰔧 𰔨 𰔩 𰔪 𰔫 𰔬 𰔭 𰔮 𰔯 𰔰 𰔱 𰔲 𰔳 𰔴 𰔵 𰔶 𰔷 𰔸 𰔹 𰔺 𰔻 𰔼 𰔽 𰔾 𰔿 𰕀 𰕁 𰕂 𰕃 𰕄 𰕅 𰕆 𰕇 𰕈 𰕉 𰕊 𰕋 𰕌 𰕍 𰕎 𰕏 𰕐 𰕑 𰕒 𰕓 𰕔 𰕕 𰕖 𰕗 𰕘 𰕙 𰕚 𰕛 𰕜 𰕝 𰕞 𰕟 𰕠 𰕡 𰕢 𰕣 𰕤 𰕥 𰕦 𰕧 𰕨 𰕩 𰕪 𰕫 𰕬 𰕭 𰕮 𰕯 𰕰 𰕱 𰕲 𰕳 𰕴 𰕵 𰕶 𰕷 𰕸 𰕹 𰕺 𰕻 𰕼 𰕽 𰕾 𰕿 𰖀 𰖁 𰖂 𰖃 𰖄 𰖅 𰖆 𰖇 𰖈 𰖉 𰖊 𰖋 𰖌 𰖍 𰖎 𰖏 𰖐 𰖑 𰖒 𰖓 𰖔 𰖕 𰖖 𰖗 𰖘 𰖙 𰖚 𰖛 𰖜 𰖝 𰖞 𰖟 𰖠 𰖡 𰖢 𰖣 𰖤 𰖥 𰖦 𰖧 𰖨 𰖩 𰖪 𰖫 𰖬 𰖭 𰖮 𰖯 𰖰 𰖱 𰖲 𰖳 𰖴 𰖵 𰖶 𰖷 𰖸 𰖹 𰖺 𰖻 𰖼 𰖽 𰖾 𰖿 𰗀 𰗁 𰗂 𰗃 𰗄 𰗅 𰗆 𰗇 𰗈 𰗉</t>
        </is>
      </c>
      <c r="V768" s="14">
        <f>(LEN(O768)+1)/2</f>
        <v/>
      </c>
      <c r="W768" s="14">
        <f>ROUNDDOWN((LEN(P768)+1)/2,0)</f>
        <v/>
      </c>
      <c r="X768" s="14">
        <f>ROUNDDOWN((LEN(Q768)+1)/2,0)</f>
        <v/>
      </c>
      <c r="Y768" s="14">
        <f>ROUNDDOWN((LEN(R768)+1)/2,0)</f>
        <v/>
      </c>
      <c r="Z768" s="14">
        <f>ROUNDDOWN((LEN(S768)+1)/2,0)</f>
        <v/>
      </c>
    </row>
    <row r="769" ht="102" customHeight="1">
      <c r="B769" s="46" t="inlineStr">
        <is>
          <t>U+306C1-U+307B7</t>
        </is>
      </c>
      <c r="C769" s="46" t="inlineStr">
        <is>
          <t>CJK Unified Ideographs Extension G</t>
        </is>
      </c>
      <c r="D769" s="54">
        <f>HEX2DEC(MID(B769,3,FIND("-",E769)-3))</f>
        <v/>
      </c>
      <c r="E769" s="46" t="inlineStr">
        <is>
          <t>U+30000-U+3134F</t>
        </is>
      </c>
      <c r="F769" s="12" t="n">
        <v>4</v>
      </c>
      <c r="J769" s="19">
        <f>ROUNDDOWN(W769,0)/$V769</f>
        <v/>
      </c>
      <c r="K769" s="19">
        <f>ROUNDDOWN(X769,0)/$V769</f>
        <v/>
      </c>
      <c r="L769" s="19">
        <f>ROUNDDOWN(Y769,0)/$V769</f>
        <v/>
      </c>
      <c r="M769" s="19">
        <f>ROUNDDOWN(Z769,0)/$V769</f>
        <v/>
      </c>
      <c r="O769" s="36" t="inlineStr">
        <is>
          <t>𰗊 𰗋 𰗌 𰗍 𰗎 𰗏 𰗐 𰗑 𰗒 𰗓 𰗔 𰗕 𰗖 𰗗 𰗘 𰗙 𰗚 𰗛 𰗜 𰗝 𰗞 𰗟 𰗠 𰗡 𰗢 𰗣 𰗤 𰗥 𰗦 𰗧 𰗨 𰗩 𰗪 𰗫 𰗬 𰗭 𰗮 𰗯 𰗰 𰗱 𰗲 𰗳 𰗴 𰗵 𰗶 𰗷 𰗸 𰗹 𰗺 𰗻 𰗼 𰗽 𰗾 𰗿 𰘀 𰘁 𰘂 𰘃 𰘄 𰘅 𰘆 𰘇 𰘈 𰘉 𰘊 𰘋 𰘌 𰘍 𰘎 𰘏 𰘐 𰘑 𰘒 𰘓 𰘔 𰘕 𰘖 𰘗 𰘘 𰘙 𰘚 𰘛 𰘜 𰘝 𰘞 𰘟 𰘠 𰘡 𰘢 𰘣 𰘤 𰘥 𰘦 𰘧 𰘨 𰘩 𰘪 𰘫 𰘬 𰘭 𰘮 𰘯 𰘰 𰘱 𰘲 𰘳 𰘴 𰘵 𰘶 𰘷 𰘸 𰘹 𰘺 𰘻 𰘼 𰘽 𰘾 𰘿 𰙀 𰙁 𰙂 𰙃 𰙄 𰙅 𰙆 𰙇 𰙈 𰙉 𰙊 𰙋 𰙌 𰙍 𰙎 𰙏 𰙐 𰙑 𰙒 𰙓 𰙔 𰙕 𰙖 𰙗 𰙘 𰙙 𰙚 𰙛 𰙜 𰙝 𰙞 𰙟 𰙠 𰙡 𰙢 𰙣 𰙤 𰙥 𰙦 𰙧 𰙨 𰙩 𰙪 𰙫 𰙬 𰙭 𰙮 𰙯 𰙰 𰙱 𰙲 𰙳 𰙴 𰙵 𰙶 𰙷 𰙸 𰙹 𰙺 𰙻 𰙼 𰙽 𰙾 𰙿 𰚀 𰚁 𰚂 𰚃 𰚄 𰚅 𰚆 𰚇 𰚈 𰚉 𰚊 𰚋 𰚌 𰚍 𰚎 𰚏 𰚐 𰚑 𰚒 𰚓 𰚔 𰚕 𰚖 𰚗 𰚘 𰚙 𰚚 𰚛 𰚜 𰚝 𰚞 𰚟 𰚠 𰚡 𰚢 𰚣 𰚤 𰚥 𰚦 𰚧 𰚨 𰚩 𰚪 𰚫 𰚬 𰚭 𰚮 𰚯 𰚰 𰚱 𰚲 𰚳 𰚴 𰚵 𰚶 𰚷 𰚸 𰚹 𰚺 𰚻 𰚼 𰚽 𰚾 𰚿 𰛀</t>
        </is>
      </c>
      <c r="V769" s="14">
        <f>(LEN(O769)+1)/2</f>
        <v/>
      </c>
      <c r="W769" s="14">
        <f>ROUNDDOWN((LEN(P769)+1)/2,0)</f>
        <v/>
      </c>
      <c r="X769" s="14">
        <f>ROUNDDOWN((LEN(Q769)+1)/2,0)</f>
        <v/>
      </c>
      <c r="Y769" s="14">
        <f>ROUNDDOWN((LEN(R769)+1)/2,0)</f>
        <v/>
      </c>
      <c r="Z769" s="14">
        <f>ROUNDDOWN((LEN(S769)+1)/2,0)</f>
        <v/>
      </c>
    </row>
    <row r="770" ht="102" customHeight="1">
      <c r="B770" s="46" t="inlineStr">
        <is>
          <t>U+307B8-U+308AE</t>
        </is>
      </c>
      <c r="C770" s="46" t="inlineStr">
        <is>
          <t>CJK Unified Ideographs Extension G</t>
        </is>
      </c>
      <c r="D770" s="54">
        <f>HEX2DEC(MID(B770,3,FIND("-",E770)-3))</f>
        <v/>
      </c>
      <c r="E770" s="46" t="inlineStr">
        <is>
          <t>U+30000-U+3134F</t>
        </is>
      </c>
      <c r="F770" s="12" t="n">
        <v>4</v>
      </c>
      <c r="J770" s="19">
        <f>ROUNDDOWN(W770,0)/$V770</f>
        <v/>
      </c>
      <c r="K770" s="19">
        <f>ROUNDDOWN(X770,0)/$V770</f>
        <v/>
      </c>
      <c r="L770" s="19">
        <f>ROUNDDOWN(Y770,0)/$V770</f>
        <v/>
      </c>
      <c r="M770" s="19">
        <f>ROUNDDOWN(Z770,0)/$V770</f>
        <v/>
      </c>
      <c r="O770" s="36" t="inlineStr">
        <is>
          <t>𰛁 𰛂 𰛃 𰛄 𰛅 𰛆 𰛇 𰛈 𰛉 𰛊 𰛋 𰛌 𰛍 𰛎 𰛏 𰛐 𰛑 𰛒 𰛓 𰛔 𰛕 𰛖 𰛗 𰛘 𰛙 𰛚 𰛛 𰛜 𰛝 𰛞 𰛟 𰛠 𰛡 𰛢 𰛣 𰛤 𰛥 𰛦 𰛧 𰛨 𰛩 𰛪 𰛫 𰛬 𰛭 𰛮 𰛯 𰛰 𰛱 𰛲 𰛳 𰛴 𰛵 𰛶 𰛷 𰛸 𰛹 𰛺 𰛻 𰛼 𰛽 𰛾 𰛿 𰜀 𰜁 𰜂 𰜃 𰜄 𰜅 𰜆 𰜇 𰜈 𰜉 𰜊 𰜋 𰜌 𰜍 𰜎 𰜏 𰜐 𰜑 𰜒 𰜓 𰜔 𰜕 𰜖 𰜗 𰜘 𰜙 𰜚 𰜛 𰜜 𰜝 𰜞 𰜟 𰜠 𰜡 𰜢 𰜣 𰜤 𰜥 𰜦 𰜧 𰜨 𰜩 𰜪 𰜫 𰜬 𰜭 𰜮 𰜯 𰜰 𰜱 𰜲 𰜳 𰜴 𰜵 𰜶 𰜷 𰜸 𰜹 𰜺 𰜻 𰜼 𰜽 𰜾 𰜿 𰝀 𰝁 𰝂 𰝃 𰝄 𰝅 𰝆 𰝇 𰝈 𰝉 𰝊 𰝋 𰝌 𰝍 𰝎 𰝏 𰝐 𰝑 𰝒 𰝓 𰝔 𰝕 𰝖 𰝗 𰝘 𰝙 𰝚 𰝛 𰝜 𰝝 𰝞 𰝟 𰝠 𰝡 𰝢 𰝣 𰝤 𰝥 𰝦 𰝧 𰝨 𰝩 𰝪 𰝫 𰝬 𰝭 𰝮 𰝯 𰝰 𰝱 𰝲 𰝳 𰝴 𰝵 𰝶 𰝷 𰝸 𰝹 𰝺 𰝻 𰝼 𰝽 𰝾 𰝿 𰞀 𰞁 𰞂 𰞃 𰞄 𰞅 𰞆 𰞇 𰞈 𰞉 𰞊 𰞋 𰞌 𰞍 𰞎 𰞏 𰞐 𰞑 𰞒 𰞓 𰞔 𰞕 𰞖 𰞗 𰞘 𰞙 𰞚 𰞛 𰞜 𰞝 𰞞 𰞟 𰞠 𰞡 𰞢 𰞣 𰞤 𰞥 𰞦 𰞧 𰞨 𰞩 𰞪 𰞫 𰞬 𰞭 𰞮 𰞯 𰞰 𰞱 𰞲 𰞳 𰞴 𰞵 𰞶 𰞷</t>
        </is>
      </c>
      <c r="V770" s="14">
        <f>(LEN(O770)+1)/2</f>
        <v/>
      </c>
      <c r="W770" s="14">
        <f>ROUNDDOWN((LEN(P770)+1)/2,0)</f>
        <v/>
      </c>
      <c r="X770" s="14">
        <f>ROUNDDOWN((LEN(Q770)+1)/2,0)</f>
        <v/>
      </c>
      <c r="Y770" s="14">
        <f>ROUNDDOWN((LEN(R770)+1)/2,0)</f>
        <v/>
      </c>
      <c r="Z770" s="14">
        <f>ROUNDDOWN((LEN(S770)+1)/2,0)</f>
        <v/>
      </c>
    </row>
    <row r="771" ht="102" customHeight="1">
      <c r="B771" s="46" t="inlineStr">
        <is>
          <t>U+308AF-U+309A5</t>
        </is>
      </c>
      <c r="C771" s="46" t="inlineStr">
        <is>
          <t>CJK Unified Ideographs Extension G</t>
        </is>
      </c>
      <c r="D771" s="54">
        <f>HEX2DEC(MID(B771,3,FIND("-",E771)-3))</f>
        <v/>
      </c>
      <c r="E771" s="46" t="inlineStr">
        <is>
          <t>U+30000-U+3134F</t>
        </is>
      </c>
      <c r="F771" s="12" t="n">
        <v>4</v>
      </c>
      <c r="J771" s="19">
        <f>ROUNDDOWN(W771,0)/$V771</f>
        <v/>
      </c>
      <c r="K771" s="19">
        <f>ROUNDDOWN(X771,0)/$V771</f>
        <v/>
      </c>
      <c r="L771" s="19">
        <f>ROUNDDOWN(Y771,0)/$V771</f>
        <v/>
      </c>
      <c r="M771" s="19">
        <f>ROUNDDOWN(Z771,0)/$V771</f>
        <v/>
      </c>
      <c r="O771" s="36" t="inlineStr">
        <is>
          <t>𰞸 𰞹 𰞺 𰞻 𰞼 𰞽 𰞾 𰞿 𰟀 𰟁 𰟂 𰟃 𰟄 𰟅 𰟆 𰟇 𰟈 𰟉 𰟊 𰟋 𰟌 𰟍 𰟎 𰟏 𰟐 𰟑 𰟒 𰟓 𰟔 𰟕 𰟖 𰟗 𰟘 𰟙 𰟚 𰟛 𰟜 𰟝 𰟞 𰟟 𰟠 𰟡 𰟢 𰟣 𰟤 𰟥 𰟦 𰟧 𰟨 𰟩 𰟪 𰟫 𰟬 𰟭 𰟮 𰟯 𰟰 𰟱 𰟲 𰟳 𰟴 𰟵 𰟶 𰟷 𰟸 𰟹 𰟺 𰟻 𰟼 𰟽 𰟾 𰟿 𰠀 𰠁 𰠂 𰠃 𰠄 𰠅 𰠆 𰠇 𰠈 𰠉 𰠊 𰠋 𰠌 𰠍 𰠎 𰠏 𰠐 𰠑 𰠒 𰠓 𰠔 𰠕 𰠖 𰠗 𰠘 𰠙 𰠚 𰠛 𰠜 𰠝 𰠞 𰠟 𰠠 𰠡 𰠢 𰠣 𰠤 𰠥 𰠦 𰠧 𰠨 𰠩 𰠪 𰠫 𰠬 𰠭 𰠮 𰠯 𰠰 𰠱 𰠲 𰠳 𰠴 𰠵 𰠶 𰠷 𰠸 𰠹 𰠺 𰠻 𰠼 𰠽 𰠾 𰠿 𰡀 𰡁 𰡂 𰡃 𰡄 𰡅 𰡆 𰡇 𰡈 𰡉 𰡊 𰡋 𰡌 𰡍 𰡎 𰡏 𰡐 𰡑 𰡒 𰡓 𰡔 𰡕 𰡖 𰡗 𰡘 𰡙 𰡚 𰡛 𰡜 𰡝 𰡞 𰡟 𰡠 𰡡 𰡢 𰡣 𰡤 𰡥 𰡦 𰡧 𰡨 𰡩 𰡪 𰡫 𰡬 𰡭 𰡮 𰡯 𰡰 𰡱 𰡲 𰡳 𰡴 𰡵 𰡶 𰡷 𰡸 𰡹 𰡺 𰡻 𰡼 𰡽 𰡾 𰡿 𰢀 𰢁 𰢂 𰢃 𰢄 𰢅 𰢆 𰢇 𰢈 𰢉 𰢊 𰢋 𰢌 𰢍 𰢎 𰢏 𰢐 𰢑 𰢒 𰢓 𰢔 𰢕 𰢖 𰢗 𰢘 𰢙 𰢚 𰢛 𰢜 𰢝 𰢞 𰢟 𰢠 𰢡 𰢢 𰢣 𰢤 𰢥 𰢦 𰢧 𰢨 𰢩 𰢪 𰢫 𰢬 𰢭 𰢮</t>
        </is>
      </c>
      <c r="V771" s="14">
        <f>(LEN(O771)+1)/2</f>
        <v/>
      </c>
      <c r="W771" s="14">
        <f>ROUNDDOWN((LEN(P771)+1)/2,0)</f>
        <v/>
      </c>
      <c r="X771" s="14">
        <f>ROUNDDOWN((LEN(Q771)+1)/2,0)</f>
        <v/>
      </c>
      <c r="Y771" s="14">
        <f>ROUNDDOWN((LEN(R771)+1)/2,0)</f>
        <v/>
      </c>
      <c r="Z771" s="14">
        <f>ROUNDDOWN((LEN(S771)+1)/2,0)</f>
        <v/>
      </c>
    </row>
    <row r="772" ht="102" customHeight="1">
      <c r="B772" s="46" t="inlineStr">
        <is>
          <t>U+309A6-U+30A9C</t>
        </is>
      </c>
      <c r="C772" s="46" t="inlineStr">
        <is>
          <t>CJK Unified Ideographs Extension G</t>
        </is>
      </c>
      <c r="D772" s="54">
        <f>HEX2DEC(MID(B772,3,FIND("-",E772)-3))</f>
        <v/>
      </c>
      <c r="E772" s="46" t="inlineStr">
        <is>
          <t>U+30000-U+3134F</t>
        </is>
      </c>
      <c r="F772" s="12" t="n">
        <v>4</v>
      </c>
      <c r="J772" s="19">
        <f>ROUNDDOWN(W772,0)/$V772</f>
        <v/>
      </c>
      <c r="K772" s="19">
        <f>ROUNDDOWN(X772,0)/$V772</f>
        <v/>
      </c>
      <c r="L772" s="19">
        <f>ROUNDDOWN(Y772,0)/$V772</f>
        <v/>
      </c>
      <c r="M772" s="19">
        <f>ROUNDDOWN(Z772,0)/$V772</f>
        <v/>
      </c>
      <c r="O772" s="36" t="inlineStr">
        <is>
          <t>𰢯 𰢰 𰢱 𰢲 𰢳 𰢴 𰢵 𰢶 𰢷 𰢸 𰢹 𰢺 𰢻 𰢼 𰢽 𰢾 𰢿 𰣀 𰣁 𰣂 𰣃 𰣄 𰣅 𰣆 𰣇 𰣈 𰣉 𰣊 𰣋 𰣌 𰣍 𰣎 𰣏 𰣐 𰣑 𰣒 𰣓 𰣔 𰣕 𰣖 𰣗 𰣘 𰣙 𰣚 𰣛 𰣜 𰣝 𰣞 𰣟 𰣠 𰣡 𰣢 𰣣 𰣤 𰣥 𰣦 𰣧 𰣨 𰣩 𰣪 𰣫 𰣬 𰣭 𰣮 𰣯 𰣰 𰣱 𰣲 𰣳 𰣴 𰣵 𰣶 𰣷 𰣸 𰣹 𰣺 𰣻 𰣼 𰣽 𰣾 𰣿 𰤀 𰤁 𰤂 𰤃 𰤄 𰤅 𰤆 𰤇 𰤈 𰤉 𰤊 𰤋 𰤌 𰤍 𰤎 𰤏 𰤐 𰤑 𰤒 𰤓 𰤔 𰤕 𰤖 𰤗 𰤘 𰤙 𰤚 𰤛 𰤜 𰤝 𰤞 𰤟 𰤠 𰤡 𰤢 𰤣 𰤤 𰤥 𰤦 𰤧 𰤨 𰤩 𰤪 𰤫 𰤬 𰤭 𰤮 𰤯 𰤰 𰤱 𰤲 𰤳 𰤴 𰤵 𰤶 𰤷 𰤸 𰤹 𰤺 𰤻 𰤼 𰤽 𰤾 𰤿 𰥀 𰥁 𰥂 𰥃 𰥄 𰥅 𰥆 𰥇 𰥈 𰥉 𰥊 𰥋 𰥌 𰥍 𰥎 𰥏 𰥐 𰥑 𰥒 𰥓 𰥔 𰥕 𰥖 𰥗 𰥘 𰥙 𰥚 𰥛 𰥜 𰥝 𰥞 𰥟 𰥠 𰥡 𰥢 𰥣 𰥤 𰥥 𰥦 𰥧 𰥨 𰥩 𰥪 𰥫 𰥬 𰥭 𰥮 𰥯 𰥰 𰥱 𰥲 𰥳 𰥴 𰥵 𰥶 𰥷 𰥸 𰥹 𰥺 𰥻 𰥼 𰥽 𰥾 𰥿 𰦀 𰦁 𰦂 𰦃 𰦄 𰦅 𰦆 𰦇 𰦈 𰦉 𰦊 𰦋 𰦌 𰦍 𰦎 𰦏 𰦐 𰦑 𰦒 𰦓 𰦔 𰦕 𰦖 𰦗 𰦘 𰦙 𰦚 𰦛 𰦜 𰦝 𰦞 𰦟 𰦠 𰦡 𰦢 𰦣 𰦤 𰦥</t>
        </is>
      </c>
      <c r="V772" s="14">
        <f>(LEN(O772)+1)/2</f>
        <v/>
      </c>
      <c r="W772" s="14">
        <f>ROUNDDOWN((LEN(P772)+1)/2,0)</f>
        <v/>
      </c>
      <c r="X772" s="14">
        <f>ROUNDDOWN((LEN(Q772)+1)/2,0)</f>
        <v/>
      </c>
      <c r="Y772" s="14">
        <f>ROUNDDOWN((LEN(R772)+1)/2,0)</f>
        <v/>
      </c>
      <c r="Z772" s="14">
        <f>ROUNDDOWN((LEN(S772)+1)/2,0)</f>
        <v/>
      </c>
    </row>
    <row r="773" ht="102" customHeight="1">
      <c r="B773" s="46" t="inlineStr">
        <is>
          <t>U+30A9D-U+30B93</t>
        </is>
      </c>
      <c r="C773" s="46" t="inlineStr">
        <is>
          <t>CJK Unified Ideographs Extension G</t>
        </is>
      </c>
      <c r="D773" s="54">
        <f>HEX2DEC(MID(B773,3,FIND("-",E773)-3))</f>
        <v/>
      </c>
      <c r="E773" s="46" t="inlineStr">
        <is>
          <t>U+30000-U+3134F</t>
        </is>
      </c>
      <c r="F773" s="12" t="n">
        <v>4</v>
      </c>
      <c r="J773" s="19">
        <f>ROUNDDOWN(W773,0)/$V773</f>
        <v/>
      </c>
      <c r="K773" s="19">
        <f>ROUNDDOWN(X773,0)/$V773</f>
        <v/>
      </c>
      <c r="L773" s="19">
        <f>ROUNDDOWN(Y773,0)/$V773</f>
        <v/>
      </c>
      <c r="M773" s="19">
        <f>ROUNDDOWN(Z773,0)/$V773</f>
        <v/>
      </c>
      <c r="O773" s="36" t="inlineStr">
        <is>
          <t>𰦦 𰦧 𰦨 𰦩 𰦪 𰦫 𰦬 𰦭 𰦮 𰦯 𰦰 𰦱 𰦲 𰦳 𰦴 𰦵 𰦶 𰦷 𰦸 𰦹 𰦺 𰦻 𰦼 𰦽 𰦾 𰦿 𰧀 𰧁 𰧂 𰧃 𰧄 𰧅 𰧆 𰧇 𰧈 𰧉 𰧊 𰧋 𰧌 𰧍 𰧎 𰧏 𰧐 𰧑 𰧒 𰧓 𰧔 𰧕 𰧖 𰧗 𰧘 𰧙 𰧚 𰧛 𰧜 𰧝 𰧞 𰧟 𰧠 𰧡 𰧢 𰧣 𰧤 𰧥 𰧦 𰧧 𰧨 𰧩 𰧪 𰧫 𰧬 𰧭 𰧮 𰧯 𰧰 𰧱 𰧲 𰧳 𰧴 𰧵 𰧶 𰧷 𰧸 𰧹 𰧺 𰧻 𰧼 𰧽 𰧾 𰧿 𰨀 𰨁 𰨂 𰨃 𰨄 𰨅 𰨆 𰨇 𰨈 𰨉 𰨊 𰨋 𰨌 𰨍 𰨎 𰨏 𰨐 𰨑 𰨒 𰨓 𰨔 𰨕 𰨖 𰨗 𰨘 𰨙 𰨚 𰨛 𰨜 𰨝 𰨞 𰨟 𰨠 𰨡 𰨢 𰨣 𰨤 𰨥 𰨦 𰨧 𰨨 𰨩 𰨪 𰨫 𰨬 𰨭 𰨮 𰨯 𰨰 𰨱 𰨲 𰨳 𰨴 𰨵 𰨶 𰨷 𰨸 𰨹 𰨺 𰨻 𰨼 𰨽 𰨾 𰨿 𰩀 𰩁 𰩂 𰩃 𰩄 𰩅 𰩆 𰩇 𰩈 𰩉 𰩊 𰩋 𰩌 𰩍 𰩎 𰩏 𰩐 𰩑 𰩒 𰩓 𰩔 𰩕 𰩖 𰩗 𰩘 𰩙 𰩚 𰩛 𰩜 𰩝 𰩞 𰩟 𰩠 𰩡 𰩢 𰩣 𰩤 𰩥 𰩦 𰩧 𰩨 𰩩 𰩪 𰩫 𰩬 𰩭 𰩮 𰩯 𰩰 𰩱 𰩲 𰩳 𰩴 𰩵 𰩶 𰩷 𰩸 𰩹 𰩺 𰩻 𰩼 𰩽 𰩾 𰩿 𰪀 𰪁 𰪂 𰪃 𰪄 𰪅 𰪆 𰪇 𰪈 𰪉 𰪊 𰪋 𰪌 𰪍 𰪎 𰪏 𰪐 𰪑 𰪒 𰪓 𰪔 𰪕 𰪖 𰪗 𰪘 𰪙 𰪚 𰪛 𰪜</t>
        </is>
      </c>
      <c r="V773" s="14">
        <f>(LEN(O773)+1)/2</f>
        <v/>
      </c>
      <c r="W773" s="14">
        <f>ROUNDDOWN((LEN(P773)+1)/2,0)</f>
        <v/>
      </c>
      <c r="X773" s="14">
        <f>ROUNDDOWN((LEN(Q773)+1)/2,0)</f>
        <v/>
      </c>
      <c r="Y773" s="14">
        <f>ROUNDDOWN((LEN(R773)+1)/2,0)</f>
        <v/>
      </c>
      <c r="Z773" s="14">
        <f>ROUNDDOWN((LEN(S773)+1)/2,0)</f>
        <v/>
      </c>
    </row>
    <row r="774" ht="102" customHeight="1">
      <c r="B774" s="46" t="inlineStr">
        <is>
          <t>U+30B94-U+30C8A</t>
        </is>
      </c>
      <c r="C774" s="46" t="inlineStr">
        <is>
          <t>CJK Unified Ideographs Extension G</t>
        </is>
      </c>
      <c r="D774" s="54">
        <f>HEX2DEC(MID(B774,3,FIND("-",E774)-3))</f>
        <v/>
      </c>
      <c r="E774" s="46" t="inlineStr">
        <is>
          <t>U+30000-U+3134F</t>
        </is>
      </c>
      <c r="F774" s="12" t="n">
        <v>4</v>
      </c>
      <c r="J774" s="19">
        <f>ROUNDDOWN(W774,0)/$V774</f>
        <v/>
      </c>
      <c r="K774" s="19">
        <f>ROUNDDOWN(X774,0)/$V774</f>
        <v/>
      </c>
      <c r="L774" s="19">
        <f>ROUNDDOWN(Y774,0)/$V774</f>
        <v/>
      </c>
      <c r="M774" s="19">
        <f>ROUNDDOWN(Z774,0)/$V774</f>
        <v/>
      </c>
      <c r="O774" s="36" t="inlineStr">
        <is>
          <t>𰪝 𰪞 𰪟 𰪠 𰪡 𰪢 𰪣 𰪤 𰪥 𰪦 𰪧 𰪨 𰪩 𰪪 𰪫 𰪬 𰪭 𰪮 𰪯 𰪰 𰪱 𰪲 𰪳 𰪴 𰪵 𰪶 𰪷 𰪸 𰪹 𰪺 𰪻 𰪼 𰪽 𰪾 𰪿 𰫀 𰫁 𰫂 𰫃 𰫄 𰫅 𰫆 𰫇 𰫈 𰫉 𰫊 𰫋 𰫌 𰫍 𰫎 𰫏 𰫐 𰫑 𰫒 𰫓 𰫔 𰫕 𰫖 𰫗 𰫘 𰫙 𰫚 𰫛 𰫜 𰫝 𰫞 𰫟 𰫠 𰫡 𰫢 𰫣 𰫤 𰫥 𰫦 𰫧 𰫨 𰫩 𰫪 𰫫 𰫬 𰫭 𰫮 𰫯 𰫰 𰫱 𰫲 𰫳 𰫴 𰫵 𰫶 𰫷 𰫸 𰫹 𰫺 𰫻 𰫼 𰫽 𰫾 𰫿 𰬀 𰬁 𰬂 𰬃 𰬄 𰬅 𰬆 𰬇 𰬈 𰬉 𰬊 𰬋 𰬌 𰬍 𰬎 𰬏 𰬐 𰬑 𰬒 𰬓 𰬔 𰬕 𰬖 𰬗 𰬘 𰬙 𰬚 𰬛 𰬜 𰬝 𰬞 𰬟 𰬠 𰬡 𰬢 𰬣 𰬤 𰬥 𰬦 𰬧 𰬨 𰬩 𰬪 𰬫 𰬬 𰬭 𰬮 𰬯 𰬰 𰬱 𰬲 𰬳 𰬴 𰬵 𰬶 𰬷 𰬸 𰬹 𰬺 𰬻 𰬼 𰬽 𰬾 𰬿 𰭀 𰭁 𰭂 𰭃 𰭄 𰭅 𰭆 𰭇 𰭈 𰭉 𰭊 𰭋 𰭌 𰭍 𰭎 𰭏 𰭐 𰭑 𰭒 𰭓 𰭔 𰭕 𰭖 𰭗 𰭘 𰭙 𰭚 𰭛 𰭜 𰭝 𰭞 𰭟 𰭠 𰭡 𰭢 𰭣 𰭤 𰭥 𰭦 𰭧 𰭨 𰭩 𰭪 𰭫 𰭬 𰭭 𰭮 𰭯 𰭰 𰭱 𰭲 𰭳 𰭴 𰭵 𰭶 𰭷 𰭸 𰭹 𰭺 𰭻 𰭼 𰭽 𰭾 𰭿 𰮀 𰮁 𰮂 𰮃 𰮄 𰮅 𰮆 𰮇 𰮈 𰮉 𰮊 𰮋 𰮌 𰮍 𰮎 𰮏 𰮐 𰮑 𰮒 𰮓</t>
        </is>
      </c>
      <c r="V774" s="14">
        <f>(LEN(O774)+1)/2</f>
        <v/>
      </c>
      <c r="W774" s="14">
        <f>ROUNDDOWN((LEN(P774)+1)/2,0)</f>
        <v/>
      </c>
      <c r="X774" s="14">
        <f>ROUNDDOWN((LEN(Q774)+1)/2,0)</f>
        <v/>
      </c>
      <c r="Y774" s="14">
        <f>ROUNDDOWN((LEN(R774)+1)/2,0)</f>
        <v/>
      </c>
      <c r="Z774" s="14">
        <f>ROUNDDOWN((LEN(S774)+1)/2,0)</f>
        <v/>
      </c>
    </row>
    <row r="775" ht="102" customHeight="1">
      <c r="B775" s="46" t="inlineStr">
        <is>
          <t>U+30C8B-U+30D81</t>
        </is>
      </c>
      <c r="C775" s="46" t="inlineStr">
        <is>
          <t>CJK Unified Ideographs Extension G</t>
        </is>
      </c>
      <c r="D775" s="54">
        <f>HEX2DEC(MID(B775,3,FIND("-",E775)-3))</f>
        <v/>
      </c>
      <c r="E775" s="46" t="inlineStr">
        <is>
          <t>U+30000-U+3134F</t>
        </is>
      </c>
      <c r="F775" s="12" t="n">
        <v>4</v>
      </c>
      <c r="J775" s="19">
        <f>ROUNDDOWN(W775,0)/$V775</f>
        <v/>
      </c>
      <c r="K775" s="19">
        <f>ROUNDDOWN(X775,0)/$V775</f>
        <v/>
      </c>
      <c r="L775" s="19">
        <f>ROUNDDOWN(Y775,0)/$V775</f>
        <v/>
      </c>
      <c r="M775" s="19">
        <f>ROUNDDOWN(Z775,0)/$V775</f>
        <v/>
      </c>
      <c r="O775" s="36" t="inlineStr">
        <is>
          <t>𰮔 𰮕 𰮖 𰮗 𰮘 𰮙 𰮚 𰮛 𰮜 𰮝 𰮞 𰮟 𰮠 𰮡 𰮢 𰮣 𰮤 𰮥 𰮦 𰮧 𰮨 𰮩 𰮪 𰮫 𰮬 𰮭 𰮮 𰮯 𰮰 𰮱 𰮲 𰮳 𰮴 𰮵 𰮶 𰮷 𰮸 𰮹 𰮺 𰮻 𰮼 𰮽 𰮾 𰮿 𰯀 𰯁 𰯂 𰯃 𰯄 𰯅 𰯆 𰯇 𰯈 𰯉 𰯊 𰯋 𰯌 𰯍 𰯎 𰯏 𰯐 𰯑 𰯒 𰯓 𰯔 𰯕 𰯖 𰯗 𰯘 𰯙 𰯚 𰯛 𰯜 𰯝 𰯞 𰯟 𰯠 𰯡 𰯢 𰯣 𰯤 𰯥 𰯦 𰯧 𰯨 𰯩 𰯪 𰯫 𰯬 𰯭 𰯮 𰯯 𰯰 𰯱 𰯲 𰯳 𰯴 𰯵 𰯶 𰯷 𰯸 𰯹 𰯺 𰯻 𰯼 𰯽 𰯾 𰯿 𰰀 𰰁 𰰂 𰰃 𰰄 𰰅 𰰆 𰰇 𰰈 𰰉 𰰊 𰰋 𰰌 𰰍 𰰎 𰰏 𰰐 𰰑 𰰒 𰰓 𰰔 𰰕 𰰖 𰰗 𰰘 𰰙 𰰚 𰰛 𰰜 𰰝 𰰞 𰰟 𰰠 𰰡 𰰢 𰰣 𰰤 𰰥 𰰦 𰰧 𰰨 𰰩 𰰪 𰰫 𰰬 𰰭 𰰮 𰰯 𰰰 𰰱 𰰲 𰰳 𰰴 𰰵 𰰶 𰰷 𰰸 𰰹 𰰺 𰰻 𰰼 𰰽 𰰾 𰰿 𰱀 𰱁 𰱂 𰱃 𰱄 𰱅 𰱆 𰱇 𰱈 𰱉 𰱊 𰱋 𰱌 𰱍 𰱎 𰱏 𰱐 𰱑 𰱒 𰱓 𰱔 𰱕 𰱖 𰱗 𰱘 𰱙 𰱚 𰱛 𰱜 𰱝 𰱞 𰱟 𰱠 𰱡 𰱢 𰱣 𰱤 𰱥 𰱦 𰱧 𰱨 𰱩 𰱪 𰱫 𰱬 𰱭 𰱮 𰱯 𰱰 𰱱 𰱲 𰱳 𰱴 𰱵 𰱶 𰱷 𰱸 𰱹 𰱺 𰱻 𰱼 𰱽 𰱾 𰱿 𰲀 𰲁 𰲂 𰲃 𰲄 𰲅 𰲆 𰲇 𰲈 𰲉 𰲊</t>
        </is>
      </c>
      <c r="V775" s="14">
        <f>(LEN(O775)+1)/2</f>
        <v/>
      </c>
      <c r="W775" s="14">
        <f>ROUNDDOWN((LEN(P775)+1)/2,0)</f>
        <v/>
      </c>
      <c r="X775" s="14">
        <f>ROUNDDOWN((LEN(Q775)+1)/2,0)</f>
        <v/>
      </c>
      <c r="Y775" s="14">
        <f>ROUNDDOWN((LEN(R775)+1)/2,0)</f>
        <v/>
      </c>
      <c r="Z775" s="14">
        <f>ROUNDDOWN((LEN(S775)+1)/2,0)</f>
        <v/>
      </c>
    </row>
    <row r="776" ht="102" customHeight="1">
      <c r="B776" s="46" t="inlineStr">
        <is>
          <t>U+30D82-U+30E78</t>
        </is>
      </c>
      <c r="C776" s="46" t="inlineStr">
        <is>
          <t>CJK Unified Ideographs Extension G</t>
        </is>
      </c>
      <c r="D776" s="54">
        <f>HEX2DEC(MID(B776,3,FIND("-",E776)-3))</f>
        <v/>
      </c>
      <c r="E776" s="46" t="inlineStr">
        <is>
          <t>U+30000-U+3134F</t>
        </is>
      </c>
      <c r="F776" s="12" t="n">
        <v>4</v>
      </c>
      <c r="J776" s="19">
        <f>ROUNDDOWN(W776,0)/$V776</f>
        <v/>
      </c>
      <c r="K776" s="19">
        <f>ROUNDDOWN(X776,0)/$V776</f>
        <v/>
      </c>
      <c r="L776" s="19">
        <f>ROUNDDOWN(Y776,0)/$V776</f>
        <v/>
      </c>
      <c r="M776" s="19">
        <f>ROUNDDOWN(Z776,0)/$V776</f>
        <v/>
      </c>
      <c r="O776" s="36" t="inlineStr">
        <is>
          <t>𰲋 𰲌 𰲍 𰲎 𰲏 𰲐 𰲑 𰲒 𰲓 𰲔 𰲕 𰲖 𰲗 𰲘 𰲙 𰲚 𰲛 𰲜 𰲝 𰲞 𰲟 𰲠 𰲡 𰲢 𰲣 𰲤 𰲥 𰲦 𰲧 𰲨 𰲩 𰲪 𰲫 𰲬 𰲭 𰲮 𰲯 𰲰 𰲱 𰲲 𰲳 𰲴 𰲵 𰲶 𰲷 𰲸 𰲹 𰲺 𰲻 𰲼 𰲽 𰲾 𰲿 𰳀 𰳁 𰳂 𰳃 𰳄 𰳅 𰳆 𰳇 𰳈 𰳉 𰳊 𰳋 𰳌 𰳍 𰳎 𰳏 𰳐 𰳑 𰳒 𰳓 𰳔 𰳕 𰳖 𰳗 𰳘 𰳙 𰳚 𰳛 𰳜 𰳝 𰳞 𰳟 𰳠 𰳡 𰳢 𰳣 𰳤 𰳥 𰳦 𰳧 𰳨 𰳩 𰳪 𰳫 𰳬 𰳭 𰳮 𰳯 𰳰 𰳱 𰳲 𰳳 𰳴 𰳵 𰳶 𰳷 𰳸 𰳹 𰳺 𰳻 𰳼 𰳽 𰳾 𰳿 𰴀 𰴁 𰴂 𰴃 𰴄 𰴅 𰴆 𰴇 𰴈 𰴉 𰴊 𰴋 𰴌 𰴍 𰴎 𰴏 𰴐 𰴑 𰴒 𰴓 𰴔 𰴕 𰴖 𰴗 𰴘 𰴙 𰴚 𰴛 𰴜 𰴝 𰴞 𰴟 𰴠 𰴡 𰴢 𰴣 𰴤 𰴥 𰴦 𰴧 𰴨 𰴩 𰴪 𰴫 𰴬 𰴭 𰴮 𰴯 𰴰 𰴱 𰴲 𰴳 𰴴 𰴵 𰴶 𰴷 𰴸 𰴹 𰴺 𰴻 𰴼 𰴽 𰴾 𰴿 𰵀 𰵁 𰵂 𰵃 𰵄 𰵅 𰵆 𰵇 𰵈 𰵉 𰵊 𰵋 𰵌 𰵍 𰵎 𰵏 𰵐 𰵑 𰵒 𰵓 𰵔 𰵕 𰵖 𰵗 𰵘 𰵙 𰵚 𰵛 𰵜 𰵝 𰵞 𰵟 𰵠 𰵡 𰵢 𰵣 𰵤 𰵥 𰵦 𰵧 𰵨 𰵩 𰵪 𰵫 𰵬 𰵭 𰵮 𰵯 𰵰 𰵱 𰵲 𰵳 𰵴 𰵵 𰵶 𰵷 𰵸 𰵹 𰵺 𰵻 𰵼 𰵽 𰵾 𰵿 𰶀 𰶁</t>
        </is>
      </c>
      <c r="V776" s="14">
        <f>(LEN(O776)+1)/2</f>
        <v/>
      </c>
      <c r="W776" s="14">
        <f>ROUNDDOWN((LEN(P776)+1)/2,0)</f>
        <v/>
      </c>
      <c r="X776" s="14">
        <f>ROUNDDOWN((LEN(Q776)+1)/2,0)</f>
        <v/>
      </c>
      <c r="Y776" s="14">
        <f>ROUNDDOWN((LEN(R776)+1)/2,0)</f>
        <v/>
      </c>
      <c r="Z776" s="14">
        <f>ROUNDDOWN((LEN(S776)+1)/2,0)</f>
        <v/>
      </c>
    </row>
    <row r="777" ht="102" customHeight="1">
      <c r="B777" s="46" t="inlineStr">
        <is>
          <t>U+30E79-U+30F6F</t>
        </is>
      </c>
      <c r="C777" s="46" t="inlineStr">
        <is>
          <t>CJK Unified Ideographs Extension G</t>
        </is>
      </c>
      <c r="D777" s="54">
        <f>HEX2DEC(MID(B777,3,FIND("-",E777)-3))</f>
        <v/>
      </c>
      <c r="E777" s="46" t="inlineStr">
        <is>
          <t>U+30000-U+3134F</t>
        </is>
      </c>
      <c r="F777" s="12" t="n">
        <v>4</v>
      </c>
      <c r="J777" s="19">
        <f>ROUNDDOWN(W777,0)/$V777</f>
        <v/>
      </c>
      <c r="K777" s="19">
        <f>ROUNDDOWN(X777,0)/$V777</f>
        <v/>
      </c>
      <c r="L777" s="19">
        <f>ROUNDDOWN(Y777,0)/$V777</f>
        <v/>
      </c>
      <c r="M777" s="19">
        <f>ROUNDDOWN(Z777,0)/$V777</f>
        <v/>
      </c>
      <c r="O777" s="36" t="inlineStr">
        <is>
          <t>𰶂 𰶃 𰶄 𰶅 𰶆 𰶇 𰶈 𰶉 𰶊 𰶋 𰶌 𰶍 𰶎 𰶏 𰶐 𰶑 𰶒 𰶓 𰶔 𰶕 𰶖 𰶗 𰶘 𰶙 𰶚 𰶛 𰶜 𰶝 𰶞 𰶟 𰶠 𰶡 𰶢 𰶣 𰶤 𰶥 𰶦 𰶧 𰶨 𰶩 𰶪 𰶫 𰶬 𰶭 𰶮 𰶯 𰶰 𰶱 𰶲 𰶳 𰶴 𰶵 𰶶 𰶷 𰶸 𰶹 𰶺 𰶻 𰶼 𰶽 𰶾 𰶿 𰷀 𰷁 𰷂 𰷃 𰷄 𰷅 𰷆 𰷇 𰷈 𰷉 𰷊 𰷋 𰷌 𰷍 𰷎 𰷏 𰷐 𰷑 𰷒 𰷓 𰷔 𰷕 𰷖 𰷗 𰷘 𰷙 𰷚 𰷛 𰷜 𰷝 𰷞 𰷟 𰷠 𰷡 𰷢 𰷣 𰷤 𰷥 𰷦 𰷧 𰷨 𰷩 𰷪 𰷫 𰷬 𰷭 𰷮 𰷯 𰷰 𰷱 𰷲 𰷳 𰷴 𰷵 𰷶 𰷷 𰷸 𰷹 𰷺 𰷻 𰷼 𰷽 𰷾 𰷿 𰸀 𰸁 𰸂 𰸃 𰸄 𰸅 𰸆 𰸇 𰸈 𰸉 𰸊 𰸋 𰸌 𰸍 𰸎 𰸏 𰸐 𰸑 𰸒 𰸓 𰸔 𰸕 𰸖 𰸗 𰸘 𰸙 𰸚 𰸛 𰸜 𰸝 𰸞 𰸟 𰸠 𰸡 𰸢 𰸣 𰸤 𰸥 𰸦 𰸧 𰸨 𰸩 𰸪 𰸫 𰸬 𰸭 𰸮 𰸯 𰸰 𰸱 𰸲 𰸳 𰸴 𰸵 𰸶 𰸷 𰸸 𰸹 𰸺 𰸻 𰸼 𰸽 𰸾 𰸿 𰹀 𰹁 𰹂 𰹃 𰹄 𰹅 𰹆 𰹇 𰹈 𰹉 𰹊 𰹋 𰹌 𰹍 𰹎 𰹏 𰹐 𰹑 𰹒 𰹓 𰹔 𰹕 𰹖 𰹗 𰹘 𰹙 𰹚 𰹛 𰹜 𰹝 𰹞 𰹟 𰹠 𰹡 𰹢 𰹣 𰹤 𰹥 𰹦 𰹧 𰹨 𰹩 𰹪 𰹫 𰹬 𰹭 𰹮 𰹯 𰹰 𰹱 𰹲 𰹳 𰹴 𰹵 𰹶 𰹷 𰹸</t>
        </is>
      </c>
      <c r="V777" s="14">
        <f>(LEN(O777)+1)/2</f>
        <v/>
      </c>
      <c r="W777" s="14">
        <f>ROUNDDOWN((LEN(P777)+1)/2,0)</f>
        <v/>
      </c>
      <c r="X777" s="14">
        <f>ROUNDDOWN((LEN(Q777)+1)/2,0)</f>
        <v/>
      </c>
      <c r="Y777" s="14">
        <f>ROUNDDOWN((LEN(R777)+1)/2,0)</f>
        <v/>
      </c>
      <c r="Z777" s="14">
        <f>ROUNDDOWN((LEN(S777)+1)/2,0)</f>
        <v/>
      </c>
    </row>
    <row r="778" ht="102" customHeight="1">
      <c r="B778" s="46" t="inlineStr">
        <is>
          <t>U+30F70-U+31066</t>
        </is>
      </c>
      <c r="C778" s="46" t="inlineStr">
        <is>
          <t>CJK Unified Ideographs Extension G</t>
        </is>
      </c>
      <c r="D778" s="54">
        <f>HEX2DEC(MID(B778,3,FIND("-",E778)-3))</f>
        <v/>
      </c>
      <c r="E778" s="46" t="inlineStr">
        <is>
          <t>U+30000-U+3134F</t>
        </is>
      </c>
      <c r="F778" s="12" t="n">
        <v>4</v>
      </c>
      <c r="J778" s="19">
        <f>ROUNDDOWN(W778,0)/$V778</f>
        <v/>
      </c>
      <c r="K778" s="19">
        <f>ROUNDDOWN(X778,0)/$V778</f>
        <v/>
      </c>
      <c r="L778" s="19">
        <f>ROUNDDOWN(Y778,0)/$V778</f>
        <v/>
      </c>
      <c r="M778" s="19">
        <f>ROUNDDOWN(Z778,0)/$V778</f>
        <v/>
      </c>
      <c r="O778" s="36" t="inlineStr">
        <is>
          <t>𰹹 𰹺 𰹻 𰹼 𰹽 𰹾 𰹿 𰺀 𰺁 𰺂 𰺃 𰺄 𰺅 𰺆 𰺇 𰺈 𰺉 𰺊 𰺋 𰺌 𰺍 𰺎 𰺏 𰺐 𰺑 𰺒 𰺓 𰺔 𰺕 𰺖 𰺗 𰺘 𰺙 𰺚 𰺛 𰺜 𰺝 𰺞 𰺟 𰺠 𰺡 𰺢 𰺣 𰺤 𰺥 𰺦 𰺧 𰺨 𰺩 𰺪 𰺫 𰺬 𰺭 𰺮 𰺯 𰺰 𰺱 𰺲 𰺳 𰺴 𰺵 𰺶 𰺷 𰺸 𰺹 𰺺 𰺻 𰺼 𰺽 𰺾 𰺿 𰻀 𰻁 𰻂 𰻃 𰻄 𰻅 𰻆 𰻇 𰻈 𰻉 𰻊 𰻋 𰻌 𰻍 𰻎 𰻏 𰻐 𰻑 𰻒 𰻓 𰻔 𰻕 𰻖 𰻗 𰻘 𰻙 𰻚 𰻛 𰻜 𰻝 𰻞 𰻟 𰻠 𰻡 𰻢 𰻣 𰻤 𰻥 𰻦 𰻧 𰻨 𰻩 𰻪 𰻫 𰻬 𰻭 𰻮 𰻯 𰻰 𰻱 𰻲 𰻳 𰻴 𰻵 𰻶 𰻷 𰻸 𰻹 𰻺 𰻻 𰻼 𰻽 𰻾 𰻿 𰼀 𰼁 𰼂 𰼃 𰼄 𰼅 𰼆 𰼇 𰼈 𰼉 𰼊 𰼋 𰼌 𰼍 𰼎 𰼏 𰼐 𰼑 𰼒 𰼓 𰼔 𰼕 𰼖 𰼗 𰼘 𰼙 𰼚 𰼛 𰼜 𰼝 𰼞 𰼟 𰼠 𰼡 𰼢 𰼣 𰼤 𰼥 𰼦 𰼧 𰼨 𰼩 𰼪 𰼫 𰼬 𰼭 𰼮 𰼯 𰼰 𰼱 𰼲 𰼳 𰼴 𰼵 𰼶 𰼷 𰼸 𰼹 𰼺 𰼻 𰼼 𰼽 𰼾 𰼿 𰽀 𰽁 𰽂 𰽃 𰽄 𰽅 𰽆 𰽇 𰽈 𰽉 𰽊 𰽋 𰽌 𰽍 𰽎 𰽏 𰽐 𰽑 𰽒 𰽓 𰽔 𰽕 𰽖 𰽗 𰽘 𰽙 𰽚 𰽛 𰽜 𰽝 𰽞 𰽟 𰽠 𰽡 𰽢 𰽣 𰽤 𰽥 𰽦 𰽧 𰽨 𰽩 𰽪 𰽫 𰽬 𰽭 𰽮 𰽯</t>
        </is>
      </c>
      <c r="V778" s="14">
        <f>(LEN(O778)+1)/2</f>
        <v/>
      </c>
      <c r="W778" s="14">
        <f>ROUNDDOWN((LEN(P778)+1)/2,0)</f>
        <v/>
      </c>
      <c r="X778" s="14">
        <f>ROUNDDOWN((LEN(Q778)+1)/2,0)</f>
        <v/>
      </c>
      <c r="Y778" s="14">
        <f>ROUNDDOWN((LEN(R778)+1)/2,0)</f>
        <v/>
      </c>
      <c r="Z778" s="14">
        <f>ROUNDDOWN((LEN(S778)+1)/2,0)</f>
        <v/>
      </c>
    </row>
    <row r="779" ht="102" customHeight="1">
      <c r="B779" s="46" t="inlineStr">
        <is>
          <t>U+31067-U+3115D</t>
        </is>
      </c>
      <c r="C779" s="46" t="inlineStr">
        <is>
          <t>CJK Unified Ideographs Extension G</t>
        </is>
      </c>
      <c r="D779" s="54">
        <f>HEX2DEC(MID(B779,3,FIND("-",E779)-3))</f>
        <v/>
      </c>
      <c r="E779" s="46" t="inlineStr">
        <is>
          <t>U+30000-U+3134F</t>
        </is>
      </c>
      <c r="F779" s="12" t="n">
        <v>4</v>
      </c>
      <c r="J779" s="19">
        <f>ROUNDDOWN(W779,0)/$V779</f>
        <v/>
      </c>
      <c r="K779" s="19">
        <f>ROUNDDOWN(X779,0)/$V779</f>
        <v/>
      </c>
      <c r="L779" s="19">
        <f>ROUNDDOWN(Y779,0)/$V779</f>
        <v/>
      </c>
      <c r="M779" s="19">
        <f>ROUNDDOWN(Z779,0)/$V779</f>
        <v/>
      </c>
      <c r="O779" s="36" t="inlineStr">
        <is>
          <t>𰽰 𰽱 𰽲 𰽳 𰽴 𰽵 𰽶 𰽷 𰽸 𰽹 𰽺 𰽻 𰽼 𰽽 𰽾 𰽿 𰾀 𰾁 𰾂 𰾃 𰾄 𰾅 𰾆 𰾇 𰾈 𰾉 𰾊 𰾋 𰾌 𰾍 𰾎 𰾏 𰾐 𰾑 𰾒 𰾓 𰾔 𰾕 𰾖 𰾗 𰾘 𰾙 𰾚 𰾛 𰾜 𰾝 𰾞 𰾟 𰾠 𰾡 𰾢 𰾣 𰾤 𰾥 𰾦 𰾧 𰾨 𰾩 𰾪 𰾫 𰾬 𰾭 𰾮 𰾯 𰾰 𰾱 𰾲 𰾳 𰾴 𰾵 𰾶 𰾷 𰾸 𰾹 𰾺 𰾻 𰾼 𰾽 𰾾 𰾿 𰿀 𰿁 𰿂 𰿃 𰿄 𰿅 𰿆 𰿇 𰿈 𰿉 𰿊 𰿋 𰿌 𰿍 𰿎 𰿏 𰿐 𰿑 𰿒 𰿓 𰿔 𰿕 𰿖 𰿗 𰿘 𰿙 𰿚 𰿛 𰿜 𰿝 𰿞 𰿟 𰿠 𰿡 𰿢 𰿣 𰿤 𰿥 𰿦 𰿧 𰿨 𰿩 𰿪 𰿫 𰿬 𰿭 𰿮 𰿯 𰿰 𰿱 𰿲 𰿳 𰿴 𰿵 𰿶 𰿷 𰿸 𰿹 𰿺 𰿻 𰿼 𰿽 𰿾 𰿿 𱀀 𱀁 𱀂 𱀃 𱀄 𱀅 𱀆 𱀇 𱀈 𱀉 𱀊 𱀋 𱀌 𱀍 𱀎 𱀏 𱀐 𱀑 𱀒 𱀓 𱀔 𱀕 𱀖 𱀗 𱀘 𱀙 𱀚 𱀛 𱀜 𱀝 𱀞 𱀟 𱀠 𱀡 𱀢 𱀣 𱀤 𱀥 𱀦 𱀧 𱀨 𱀩 𱀪 𱀫 𱀬 𱀭 𱀮 𱀯 𱀰 𱀱 𱀲 𱀳 𱀴 𱀵 𱀶 𱀷 𱀸 𱀹 𱀺 𱀻 𱀼 𱀽 𱀾 𱀿 𱁀 𱁁 𱁂 𱁃 𱁄 𱁅 𱁆 𱁇 𱁈 𱁉 𱁊 𱁋 𱁌 𱁍 𱁎 𱁏 𱁐 𱁑 𱁒 𱁓 𱁔 𱁕 𱁖 𱁗 𱁘 𱁙 𱁚 𱁛 𱁜 𱁝 𱁞 𱁟 𱁠 𱁡 𱁢 𱁣 𱁤 𱁥 𱁦</t>
        </is>
      </c>
      <c r="V779" s="14">
        <f>(LEN(O779)+1)/2</f>
        <v/>
      </c>
      <c r="W779" s="14">
        <f>ROUNDDOWN((LEN(P779)+1)/2,0)</f>
        <v/>
      </c>
      <c r="X779" s="14">
        <f>ROUNDDOWN((LEN(Q779)+1)/2,0)</f>
        <v/>
      </c>
      <c r="Y779" s="14">
        <f>ROUNDDOWN((LEN(R779)+1)/2,0)</f>
        <v/>
      </c>
      <c r="Z779" s="14">
        <f>ROUNDDOWN((LEN(S779)+1)/2,0)</f>
        <v/>
      </c>
    </row>
    <row r="780" ht="102" customHeight="1">
      <c r="B780" s="46" t="inlineStr">
        <is>
          <t>U+3115E-U+31254</t>
        </is>
      </c>
      <c r="C780" s="46" t="inlineStr">
        <is>
          <t>CJK Unified Ideographs Extension G</t>
        </is>
      </c>
      <c r="D780" s="54">
        <f>HEX2DEC(MID(B780,3,FIND("-",E780)-3))</f>
        <v/>
      </c>
      <c r="E780" s="46" t="inlineStr">
        <is>
          <t>U+30000-U+3134F</t>
        </is>
      </c>
      <c r="F780" s="12" t="n">
        <v>4</v>
      </c>
      <c r="J780" s="19">
        <f>ROUNDDOWN(W780,0)/$V780</f>
        <v/>
      </c>
      <c r="K780" s="19">
        <f>ROUNDDOWN(X780,0)/$V780</f>
        <v/>
      </c>
      <c r="L780" s="19">
        <f>ROUNDDOWN(Y780,0)/$V780</f>
        <v/>
      </c>
      <c r="M780" s="19">
        <f>ROUNDDOWN(Z780,0)/$V780</f>
        <v/>
      </c>
      <c r="O780" s="36" t="inlineStr">
        <is>
          <t>𱁧 𱁨 𱁩 𱁪 𱁫 𱁬 𱁭 𱁮 𱁯 𱁰 𱁱 𱁲 𱁳 𱁴 𱁵 𱁶 𱁷 𱁸 𱁹 𱁺 𱁻 𱁼 𱁽 𱁾 𱁿 𱂀 𱂁 𱂂 𱂃 𱂄 𱂅 𱂆 𱂇 𱂈 𱂉 𱂊 𱂋 𱂌 𱂍 𱂎 𱂏 𱂐 𱂑 𱂒 𱂓 𱂔 𱂕 𱂖 𱂗 𱂘 𱂙 𱂚 𱂛 𱂜 𱂝 𱂞 𱂟 𱂠 𱂡 𱂢 𱂣 𱂤 𱂥 𱂦 𱂧 𱂨 𱂩 𱂪 𱂫 𱂬 𱂭 𱂮 𱂯 𱂰 𱂱 𱂲 𱂳 𱂴 𱂵 𱂶 𱂷 𱂸 𱂹 𱂺 𱂻 𱂼 𱂽 𱂾 𱂿 𱃀 𱃁 𱃂 𱃃 𱃄 𱃅 𱃆 𱃇 𱃈 𱃉 𱃊 𱃋 𱃌 𱃍 𱃎 𱃏 𱃐 𱃑 𱃒 𱃓 𱃔 𱃕 𱃖 𱃗 𱃘 𱃙 𱃚 𱃛 𱃜 𱃝 𱃞 𱃟 𱃠 𱃡 𱃢 𱃣 𱃤 𱃥 𱃦 𱃧 𱃨 𱃩 𱃪 𱃫 𱃬 𱃭 𱃮 𱃯 𱃰 𱃱 𱃲 𱃳 𱃴 𱃵 𱃶 𱃷 𱃸 𱃹 𱃺 𱃻 𱃼 𱃽 𱃾 𱃿 𱄀 𱄁 𱄂 𱄃 𱄄 𱄅 𱄆 𱄇 𱄈 𱄉 𱄊 𱄋 𱄌 𱄍 𱄎 𱄏 𱄐 𱄑 𱄒 𱄓 𱄔 𱄕 𱄖 𱄗 𱄘 𱄙 𱄚 𱄛 𱄜 𱄝 𱄞 𱄟 𱄠 𱄡 𱄢 𱄣 𱄤 𱄥 𱄦 𱄧 𱄨 𱄩 𱄪 𱄫 𱄬 𱄭 𱄮 𱄯 𱄰 𱄱 𱄲 𱄳 𱄴 𱄵 𱄶 𱄷 𱄸 𱄹 𱄺 𱄻 𱄼 𱄽 𱄾 𱄿 𱅀 𱅁 𱅂 𱅃 𱅄 𱅅 𱅆 𱅇 𱅈 𱅉 𱅊 𱅋 𱅌 𱅍 𱅎 𱅏 𱅐 𱅑 𱅒 𱅓 𱅔 𱅕 𱅖 𱅗 𱅘 𱅙 𱅚 𱅛 𱅜 𱅝</t>
        </is>
      </c>
      <c r="V780" s="14">
        <f>(LEN(O780)+1)/2</f>
        <v/>
      </c>
      <c r="W780" s="14">
        <f>ROUNDDOWN((LEN(P780)+1)/2,0)</f>
        <v/>
      </c>
      <c r="X780" s="14">
        <f>ROUNDDOWN((LEN(Q780)+1)/2,0)</f>
        <v/>
      </c>
      <c r="Y780" s="14">
        <f>ROUNDDOWN((LEN(R780)+1)/2,0)</f>
        <v/>
      </c>
      <c r="Z780" s="14">
        <f>ROUNDDOWN((LEN(S780)+1)/2,0)</f>
        <v/>
      </c>
    </row>
    <row r="781" ht="102" customHeight="1">
      <c r="B781" s="46" t="inlineStr">
        <is>
          <t>U+31255-U+3134A</t>
        </is>
      </c>
      <c r="C781" s="46" t="inlineStr">
        <is>
          <t>CJK Unified Ideographs Extension G</t>
        </is>
      </c>
      <c r="D781" s="54">
        <f>HEX2DEC(MID(B781,3,FIND("-",E781)-3))</f>
        <v/>
      </c>
      <c r="E781" s="46" t="inlineStr">
        <is>
          <t>U+30000-U+3134F</t>
        </is>
      </c>
      <c r="F781" s="12" t="n">
        <v>4</v>
      </c>
      <c r="J781" s="19">
        <f>ROUNDDOWN(W781,0)/$V781</f>
        <v/>
      </c>
      <c r="K781" s="19">
        <f>ROUNDDOWN(X781,0)/$V781</f>
        <v/>
      </c>
      <c r="L781" s="19">
        <f>ROUNDDOWN(Y781,0)/$V781</f>
        <v/>
      </c>
      <c r="M781" s="19">
        <f>ROUNDDOWN(Z781,0)/$V781</f>
        <v/>
      </c>
      <c r="O781" s="36" t="inlineStr">
        <is>
          <t>𱅞 𱅟 𱅠 𱅡 𱅢 𱅣 𱅤 𱅥 𱅦 𱅧 𱅨 𱅩 𱅪 𱅫 𱅬 𱅭 𱅮 𱅯 𱅰 𱅱 𱅲 𱅳 𱅴 𱅵 𱅶 𱅷 𱅸 𱅹 𱅺 𱅻 𱅼 𱅽 𱅾 𱅿 𱆀 𱆁 𱆂 𱆃 𱆄 𱆅 𱆆 𱆇 𱆈 𱆉 𱆊 𱆋 𱆌 𱆍 𱆎 𱆏 𱆐 𱆑 𱆒 𱆓 𱆔 𱆕 𱆖 𱆗 𱆘 𱆙 𱆚 𱆛 𱆜 𱆝 𱆞 𱆟 𱆠 𱆡 𱆢 𱆣 𱆤 𱆥 𱆦 𱆧 𱆨 𱆩 𱆪 𱆫 𱆬 𱆭 𱆮 𱆯 𱆰 𱆱 𱆲 𱆳 𱆴 𱆵 𱆶 𱆷 𱆸 𱆹 𱆺 𱆻 𱆼 𱆽 𱆾 𱆿 𱇀 𱇁 𱇂 𱇃 𱇄 𱇅 𱇆 𱇇 𱇈 𱇉 𱇊 𱇋 𱇌 𱇍 𱇎 𱇏 𱇐 𱇑 𱇒 𱇓 𱇔 𱇕 𱇖 𱇗 𱇘 𱇙 𱇚 𱇛 𱇜 𱇝 𱇞 𱇟 𱇠 𱇡 𱇢 𱇣 𱇤 𱇥 𱇦 𱇧 𱇨 𱇩 𱇪 𱇫 𱇬 𱇭 𱇮 𱇯 𱇰 𱇱 𱇲 𱇳 𱇴 𱇵 𱇶 𱇷 𱇸 𱇹 𱇺 𱇻 𱇼 𱇽 𱇾 𱇿 𱈀 𱈁 𱈂 𱈃 𱈄 𱈅 𱈆 𱈇 𱈈 𱈉 𱈊 𱈋 𱈌 𱈍 𱈎 𱈏 𱈐 𱈑 𱈒 𱈓 𱈔 𱈕 𱈖 𱈗 𱈘 𱈙 𱈚 𱈛 𱈜 𱈝 𱈞 𱈟 𱈠 𱈡 𱈢 𱈣 𱈤 𱈥 𱈦 𱈧 𱈨 𱈩 𱈪 𱈫 𱈬 𱈭 𱈮 𱈯 𱈰 𱈱 𱈲 𱈳 𱈴 𱈵 𱈶 𱈷 𱈸 𱈹 𱈺 𱈻 𱈼 𱈽 𱈾 𱈿 𱉀 𱉁 𱉂 𱉃 𱉄 𱉅 𱉆 𱉇 𱉈 𱉉 𱉊 𱉋 𱉌 𱉍 𱉎 𱉏 𱉐 𱉑 𱉒 𱉓 𱉔</t>
        </is>
      </c>
      <c r="V781" s="14">
        <f>(LEN(O781)+1)/2</f>
        <v/>
      </c>
      <c r="W781" s="14">
        <f>ROUNDDOWN((LEN(P781)+1)/2,0)</f>
        <v/>
      </c>
      <c r="X781" s="14">
        <f>ROUNDDOWN((LEN(Q781)+1)/2,0)</f>
        <v/>
      </c>
      <c r="Y781" s="14">
        <f>ROUNDDOWN((LEN(R781)+1)/2,0)</f>
        <v/>
      </c>
      <c r="Z781" s="14">
        <f>ROUNDDOWN((LEN(S781)+1)/2,0)</f>
        <v/>
      </c>
    </row>
    <row r="782" ht="102" customHeight="1">
      <c r="B782" s="46" t="inlineStr">
        <is>
          <t>U+31350-U+31446</t>
        </is>
      </c>
      <c r="C782" s="46" t="inlineStr">
        <is>
          <t>CJK Unified Ideographs Extension H</t>
        </is>
      </c>
      <c r="D782" s="54">
        <f>HEX2DEC(MID(B782,3,FIND("-",E782)-3))</f>
        <v/>
      </c>
      <c r="E782" s="46" t="inlineStr">
        <is>
          <t>U+31350-U+323AF</t>
        </is>
      </c>
      <c r="F782" s="12" t="n">
        <v>4</v>
      </c>
      <c r="J782" s="19">
        <f>ROUNDDOWN(W782,0)/$V782</f>
        <v/>
      </c>
      <c r="K782" s="19">
        <f>ROUNDDOWN(X782,0)/$V782</f>
        <v/>
      </c>
      <c r="L782" s="19">
        <f>ROUNDDOWN(Y782,0)/$V782</f>
        <v/>
      </c>
      <c r="M782" s="19">
        <f>ROUNDDOWN(Z782,0)/$V782</f>
        <v/>
      </c>
      <c r="O782" s="36" t="inlineStr">
        <is>
          <t>𱉕 𱉖 𱉗 𱉘 𱉙 𱉚 𱉛 𱉜 𱉝 𱉞 𱉟 𱉠 𱉡 𱉢 𱉣 𱉤 𱉥 𱉦 𱉧 𱉨 𱉩 𱉪 𱉫 𱉬 𱉭 𱉮 𱉯 𱉰 𱉱 𱉲 𱉳 𱉴 𱉵 𱉶 𱉷 𱉸 𱉹 𱉺 𱉻 𱉼 𱉽 𱉾 𱉿 𱊀 𱊁 𱊂 𱊃 𱊄 𱊅 𱊆 𱊇 𱊈 𱊉 𱊊 𱊋 𱊌 𱊍 𱊎 𱊏 𱊐 𱊑 𱊒 𱊓 𱊔 𱊕 𱊖 𱊗 𱊘 𱊙 𱊚 𱊛 𱊜 𱊝 𱊞 𱊟 𱊠 𱊡 𱊢 𱊣 𱊤 𱊥 𱊦 𱊧 𱊨 𱊩 𱊪 𱊫 𱊬 𱊭 𱊮 𱊯 𱊰 𱊱 𱊲 𱊳 𱊴 𱊵 𱊶 𱊷 𱊸 𱊹 𱊺 𱊻 𱊼 𱊽 𱊾 𱊿 𱋀 𱋁 𱋂 𱋃 𱋄 𱋅 𱋆 𱋇 𱋈 𱋉 𱋊 𱋋 𱋌 𱋍 𱋎 𱋏 𱋐 𱋑 𱋒 𱋓 𱋔 𱋕 𱋖 𱋗 𱋘 𱋙 𱋚 𱋛 𱋜 𱋝 𱋞 𱋟 𱋠 𱋡 𱋢 𱋣 𱋤 𱋥 𱋦 𱋧 𱋨 𱋩 𱋪 𱋫 𱋬 𱋭 𱋮 𱋯 𱋰 𱋱 𱋲 𱋳 𱋴 𱋵 𱋶 𱋷 𱋸 𱋹 𱋺 𱋻 𱋼 𱋽 𱋾 𱋿 𱌀 𱌁 𱌂 𱌃 𱌄 𱌅 𱌆 𱌇 𱌈 𱌉 𱌊 𱌋 𱌌 𱌍 𱌎 𱌏 𱌐 𱌑 𱌒 𱌓 𱌔 𱌕 𱌖 𱌗 𱌘 𱌙 𱌚 𱌛 𱌜 𱌝 𱌞 𱌟 𱌠 𱌡 𱌢 𱌣 𱌤 𱌥 𱌦 𱌧 𱌨 𱌩 𱌪 𱌫 𱌬 𱌭 𱌮 𱌯 𱌰 𱌱 𱌲 𱌳 𱌴 𱌵 𱌶 𱌷 𱌸 𱌹 𱌺 𱌻 𱌼 𱌽 𱌾 𱌿 𱍀 𱍁 𱍂 𱍃 𱍄 𱍅 𱍆 𱍇 𱍈 𱍉 𱍊</t>
        </is>
      </c>
      <c r="V782" s="14">
        <f>(LEN(O782)+1)/2</f>
        <v/>
      </c>
      <c r="W782" s="14">
        <f>ROUNDDOWN((LEN(P782)+1)/2,0)</f>
        <v/>
      </c>
      <c r="X782" s="14">
        <f>ROUNDDOWN((LEN(Q782)+1)/2,0)</f>
        <v/>
      </c>
      <c r="Y782" s="14">
        <f>ROUNDDOWN((LEN(R782)+1)/2,0)</f>
        <v/>
      </c>
      <c r="Z782" s="14">
        <f>ROUNDDOWN((LEN(S782)+1)/2,0)</f>
        <v/>
      </c>
    </row>
    <row r="783" ht="102" customHeight="1">
      <c r="B783" s="46" t="inlineStr">
        <is>
          <t>U+31447-U+3153D</t>
        </is>
      </c>
      <c r="C783" s="46" t="inlineStr">
        <is>
          <t>CJK Unified Ideographs Extension H</t>
        </is>
      </c>
      <c r="D783" s="54">
        <f>HEX2DEC(MID(B783,3,FIND("-",E783)-3))</f>
        <v/>
      </c>
      <c r="E783" s="46" t="inlineStr">
        <is>
          <t>U+31350-U+323AF</t>
        </is>
      </c>
      <c r="F783" s="12" t="n">
        <v>4</v>
      </c>
      <c r="J783" s="19">
        <f>ROUNDDOWN(W783,0)/$V783</f>
        <v/>
      </c>
      <c r="K783" s="19">
        <f>ROUNDDOWN(X783,0)/$V783</f>
        <v/>
      </c>
      <c r="L783" s="19">
        <f>ROUNDDOWN(Y783,0)/$V783</f>
        <v/>
      </c>
      <c r="M783" s="19">
        <f>ROUNDDOWN(Z783,0)/$V783</f>
        <v/>
      </c>
      <c r="O783" s="36" t="inlineStr">
        <is>
          <t>𱍐 𱍑 𱍒 𱍓 𱍔 𱍕 𱍖 𱍗 𱍘 𱍙 𱍚 𱍛 𱍜 𱍝 𱍞 𱍟 𱍠 𱍡 𱍢 𱍣 𱍤 𱍥 𱍦 𱍧 𱍨 𱍩 𱍪 𱍫 𱍬 𱍭 𱍮 𱍯 𱍰 𱍱 𱍲 𱍳 𱍴 𱍵 𱍶 𱍷 𱍸 𱍹 𱍺 𱍻 𱍼 𱍽 𱍾 𱍿 𱎀 𱎁 𱎂 𱎃 𱎄 𱎅 𱎆 𱎇 𱎈 𱎉 𱎊 𱎋 𱎌 𱎍 𱎎 𱎏 𱎐 𱎑 𱎒 𱎓 𱎔 𱎕 𱎖 𱎗 𱎘 𱎙 𱎚 𱎛 𱎜 𱎝 𱎞 𱎟 𱎠 𱎡 𱎢 𱎣 𱎤 𱎥 𱎦 𱎧 𱎨 𱎩 𱎪 𱎫 𱎬 𱎭 𱎮 𱎯 𱎰 𱎱 𱎲 𱎳 𱎴 𱎵 𱎶 𱎷 𱎸 𱎹 𱎺 𱎻 𱎼 𱎽 𱎾 𱎿 𱏀 𱏁 𱏂 𱏃 𱏄 𱏅 𱏆 𱏇 𱏈 𱏉 𱏊 𱏋 𱏌 𱏍 𱏎 𱏏 𱏐 𱏑 𱏒 𱏓 𱏔 𱏕 𱏖 𱏗 𱏘 𱏙 𱏚 𱏛 𱏜 𱏝 𱏞 𱏟 𱏠 𱏡 𱏢 𱏣 𱏤 𱏥 𱏦 𱏧 𱏨 𱏩 𱏪 𱏫 𱏬 𱏭 𱏮 𱏯 𱏰 𱏱 𱏲 𱏳 𱏴 𱏵 𱏶 𱏷 𱏸 𱏹 𱏺 𱏻 𱏼 𱏽 𱏾 𱏿 𱐀 𱐁 𱐂 𱐃 𱐄 𱐅 𱐆 𱐇 𱐈 𱐉 𱐊 𱐋 𱐌 𱐍 𱐎 𱐏 𱐐 𱐑 𱐒 𱐓 𱐔 𱐕 𱐖 𱐗 𱐘 𱐙 𱐚 𱐛 𱐜 𱐝 𱐞 𱐟 𱐠 𱐡 𱐢 𱐣 𱐤 𱐥 𱐦 𱐧 𱐨 𱐩 𱐪 𱐫 𱐬 𱐭 𱐮 𱐯 𱐰 𱐱 𱐲 𱐳 𱐴 𱐵 𱐶 𱐷 𱐸 𱐹 𱐺 𱐻 𱐼 𱐽 𱐾 𱐿 𱑀 𱑁 𱑂 𱑃 𱑄 𱑅 𱑆</t>
        </is>
      </c>
      <c r="V783" s="14">
        <f>(LEN(O783)+1)/2</f>
        <v/>
      </c>
      <c r="W783" s="14">
        <f>ROUNDDOWN((LEN(P783)+1)/2,0)</f>
        <v/>
      </c>
      <c r="X783" s="14">
        <f>ROUNDDOWN((LEN(Q783)+1)/2,0)</f>
        <v/>
      </c>
      <c r="Y783" s="14">
        <f>ROUNDDOWN((LEN(R783)+1)/2,0)</f>
        <v/>
      </c>
      <c r="Z783" s="14">
        <f>ROUNDDOWN((LEN(S783)+1)/2,0)</f>
        <v/>
      </c>
    </row>
    <row r="784" ht="102" customHeight="1">
      <c r="B784" s="46" t="inlineStr">
        <is>
          <t>U+3153E-U+31634</t>
        </is>
      </c>
      <c r="C784" s="46" t="inlineStr">
        <is>
          <t>CJK Unified Ideographs Extension H</t>
        </is>
      </c>
      <c r="D784" s="54">
        <f>HEX2DEC(MID(B784,3,FIND("-",E784)-3))</f>
        <v/>
      </c>
      <c r="E784" s="46" t="inlineStr">
        <is>
          <t>U+31350-U+323AF</t>
        </is>
      </c>
      <c r="F784" s="12" t="n">
        <v>4</v>
      </c>
      <c r="J784" s="19">
        <f>ROUNDDOWN(W784,0)/$V784</f>
        <v/>
      </c>
      <c r="K784" s="19">
        <f>ROUNDDOWN(X784,0)/$V784</f>
        <v/>
      </c>
      <c r="L784" s="19">
        <f>ROUNDDOWN(Y784,0)/$V784</f>
        <v/>
      </c>
      <c r="M784" s="19">
        <f>ROUNDDOWN(Z784,0)/$V784</f>
        <v/>
      </c>
      <c r="O784" s="36" t="inlineStr">
        <is>
          <t>𱑇 𱑈 𱑉 𱑊 𱑋 𱑌 𱑍 𱑎 𱑏 𱑐 𱑑 𱑒 𱑓 𱑔 𱑕 𱑖 𱑗 𱑘 𱑙 𱑚 𱑛 𱑜 𱑝 𱑞 𱑟 𱑠 𱑡 𱑢 𱑣 𱑤 𱑥 𱑦 𱑧 𱑨 𱑩 𱑪 𱑫 𱑬 𱑭 𱑮 𱑯 𱑰 𱑱 𱑲 𱑳 𱑴 𱑵 𱑶 𱑷 𱑸 𱑹 𱑺 𱑻 𱑼 𱑽 𱑾 𱑿 𱒀 𱒁 𱒂 𱒃 𱒄 𱒅 𱒆 𱒇 𱒈 𱒉 𱒊 𱒋 𱒌 𱒍 𱒎 𱒏 𱒐 𱒑 𱒒 𱒓 𱒔 𱒕 𱒖 𱒗 𱒘 𱒙 𱒚 𱒛 𱒜 𱒝 𱒞 𱒟 𱒠 𱒡 𱒢 𱒣 𱒤 𱒥 𱒦 𱒧 𱒨 𱒩 𱒪 𱒫 𱒬 𱒭 𱒮 𱒯 𱒰 𱒱 𱒲 𱒳 𱒴 𱒵 𱒶 𱒷 𱒸 𱒹 𱒺 𱒻 𱒼 𱒽 𱒾 𱒿 𱓀 𱓁 𱓂 𱓃 𱓄 𱓅 𱓆 𱓇 𱓈 𱓉 𱓊 𱓋 𱓌 𱓍 𱓎 𱓏 𱓐 𱓑 𱓒 𱓓 𱓔 𱓕 𱓖 𱓗 𱓘 𱓙 𱓚 𱓛 𱓜 𱓝 𱓞 𱓟 𱓠 𱓡 𱓢 𱓣 𱓤 𱓥 𱓦 𱓧 𱓨 𱓩 𱓪 𱓫 𱓬 𱓭 𱓮 𱓯 𱓰 𱓱 𱓲 𱓳 𱓴 𱓵 𱓶 𱓷 𱓸 𱓹 𱓺 𱓻 𱓼 𱓽 𱓾 𱓿 𱔀 𱔁 𱔂 𱔃 𱔄 𱔅 𱔆 𱔇 𱔈 𱔉 𱔊 𱔋 𱔌 𱔍 𱔎 𱔏 𱔐 𱔑 𱔒 𱔓 𱔔 𱔕 𱔖 𱔗 𱔘 𱔙 𱔚 𱔛 𱔜 𱔝 𱔞 𱔟 𱔠 𱔡 𱔢 𱔣 𱔤 𱔥 𱔦 𱔧 𱔨 𱔩 𱔪 𱔫 𱔬 𱔭 𱔮 𱔯 𱔰 𱔱 𱔲 𱔳 𱔴 𱔵 𱔶 𱔷 𱔸 𱔹 𱔺 𱔻 𱔼 𱔽</t>
        </is>
      </c>
      <c r="V784" s="14">
        <f>(LEN(O784)+1)/2</f>
        <v/>
      </c>
      <c r="W784" s="14">
        <f>ROUNDDOWN((LEN(P784)+1)/2,0)</f>
        <v/>
      </c>
      <c r="X784" s="14">
        <f>ROUNDDOWN((LEN(Q784)+1)/2,0)</f>
        <v/>
      </c>
      <c r="Y784" s="14">
        <f>ROUNDDOWN((LEN(R784)+1)/2,0)</f>
        <v/>
      </c>
      <c r="Z784" s="14">
        <f>ROUNDDOWN((LEN(S784)+1)/2,0)</f>
        <v/>
      </c>
    </row>
    <row r="785" ht="102" customHeight="1">
      <c r="B785" s="46" t="inlineStr">
        <is>
          <t>U+31635-U+3172B</t>
        </is>
      </c>
      <c r="C785" s="46" t="inlineStr">
        <is>
          <t>CJK Unified Ideographs Extension H</t>
        </is>
      </c>
      <c r="D785" s="54">
        <f>HEX2DEC(MID(B785,3,FIND("-",E785)-3))</f>
        <v/>
      </c>
      <c r="E785" s="46" t="inlineStr">
        <is>
          <t>U+31350-U+323AF</t>
        </is>
      </c>
      <c r="F785" s="12" t="n">
        <v>4</v>
      </c>
      <c r="J785" s="19">
        <f>ROUNDDOWN(W785,0)/$V785</f>
        <v/>
      </c>
      <c r="K785" s="19">
        <f>ROUNDDOWN(X785,0)/$V785</f>
        <v/>
      </c>
      <c r="L785" s="19">
        <f>ROUNDDOWN(Y785,0)/$V785</f>
        <v/>
      </c>
      <c r="M785" s="19">
        <f>ROUNDDOWN(Z785,0)/$V785</f>
        <v/>
      </c>
      <c r="O785" s="36" t="inlineStr">
        <is>
          <t>𱔾 𱔿 𱕀 𱕁 𱕂 𱕃 𱕄 𱕅 𱕆 𱕇 𱕈 𱕉 𱕊 𱕋 𱕌 𱕍 𱕎 𱕏 𱕐 𱕑 𱕒 𱕓 𱕔 𱕕 𱕖 𱕗 𱕘 𱕙 𱕚 𱕛 𱕜 𱕝 𱕞 𱕟 𱕠 𱕡 𱕢 𱕣 𱕤 𱕥 𱕦 𱕧 𱕨 𱕩 𱕪 𱕫 𱕬 𱕭 𱕮 𱕯 𱕰 𱕱 𱕲 𱕳 𱕴 𱕵 𱕶 𱕷 𱕸 𱕹 𱕺 𱕻 𱕼 𱕽 𱕾 𱕿 𱖀 𱖁 𱖂 𱖃 𱖄 𱖅 𱖆 𱖇 𱖈 𱖉 𱖊 𱖋 𱖌 𱖍 𱖎 𱖏 𱖐 𱖑 𱖒 𱖓 𱖔 𱖕 𱖖 𱖗 𱖘 𱖙 𱖚 𱖛 𱖜 𱖝 𱖞 𱖟 𱖠 𱖡 𱖢 𱖣 𱖤 𱖥 𱖦 𱖧 𱖨 𱖩 𱖪 𱖫 𱖬 𱖭 𱖮 𱖯 𱖰 𱖱 𱖲 𱖳 𱖴 𱖵 𱖶 𱖷 𱖸 𱖹 𱖺 𱖻 𱖼 𱖽 𱖾 𱖿 𱗀 𱗁 𱗂 𱗃 𱗄 𱗅 𱗆 𱗇 𱗈 𱗉 𱗊 𱗋 𱗌 𱗍 𱗎 𱗏 𱗐 𱗑 𱗒 𱗓 𱗔 𱗕 𱗖 𱗗 𱗘 𱗙 𱗚 𱗛 𱗜 𱗝 𱗞 𱗟 𱗠 𱗡 𱗢 𱗣 𱗤 𱗥 𱗦 𱗧 𱗨 𱗩 𱗪 𱗫 𱗬 𱗭 𱗮 𱗯 𱗰 𱗱 𱗲 𱗳 𱗴 𱗵 𱗶 𱗷 𱗸 𱗹 𱗺 𱗻 𱗼 𱗽 𱗾 𱗿 𱘀 𱘁 𱘂 𱘃 𱘄 𱘅 𱘆 𱘇 𱘈 𱘉 𱘊 𱘋 𱘌 𱘍 𱘎 𱘏 𱘐 𱘑 𱘒 𱘓 𱘔 𱘕 𱘖 𱘗 𱘘 𱘙 𱘚 𱘛 𱘜 𱘝 𱘞 𱘟 𱘠 𱘡 𱘢 𱘣 𱘤 𱘥 𱘦 𱘧 𱘨 𱘩 𱘪 𱘫 𱘬 𱘭 𱘮 𱘯 𱘰 𱘱 𱘲 𱘳 𱘴</t>
        </is>
      </c>
      <c r="V785" s="14">
        <f>(LEN(O785)+1)/2</f>
        <v/>
      </c>
      <c r="W785" s="14">
        <f>ROUNDDOWN((LEN(P785)+1)/2,0)</f>
        <v/>
      </c>
      <c r="X785" s="14">
        <f>ROUNDDOWN((LEN(Q785)+1)/2,0)</f>
        <v/>
      </c>
      <c r="Y785" s="14">
        <f>ROUNDDOWN((LEN(R785)+1)/2,0)</f>
        <v/>
      </c>
      <c r="Z785" s="14">
        <f>ROUNDDOWN((LEN(S785)+1)/2,0)</f>
        <v/>
      </c>
    </row>
    <row r="786" ht="102" customHeight="1">
      <c r="B786" s="46" t="inlineStr">
        <is>
          <t>U+3172C-U+31822</t>
        </is>
      </c>
      <c r="C786" s="46" t="inlineStr">
        <is>
          <t>CJK Unified Ideographs Extension H</t>
        </is>
      </c>
      <c r="D786" s="54">
        <f>HEX2DEC(MID(B786,3,FIND("-",E786)-3))</f>
        <v/>
      </c>
      <c r="E786" s="46" t="inlineStr">
        <is>
          <t>U+31350-U+323AF</t>
        </is>
      </c>
      <c r="F786" s="12" t="n">
        <v>4</v>
      </c>
      <c r="J786" s="19">
        <f>ROUNDDOWN(W786,0)/$V786</f>
        <v/>
      </c>
      <c r="K786" s="19">
        <f>ROUNDDOWN(X786,0)/$V786</f>
        <v/>
      </c>
      <c r="L786" s="19">
        <f>ROUNDDOWN(Y786,0)/$V786</f>
        <v/>
      </c>
      <c r="M786" s="19">
        <f>ROUNDDOWN(Z786,0)/$V786</f>
        <v/>
      </c>
      <c r="O786" s="36" t="inlineStr">
        <is>
          <t>𱘵 𱘶 𱘷 𱘸 𱘹 𱘺 𱘻 𱘼 𱘽 𱘾 𱘿 𱙀 𱙁 𱙂 𱙃 𱙄 𱙅 𱙆 𱙇 𱙈 𱙉 𱙊 𱙋 𱙌 𱙍 𱙎 𱙏 𱙐 𱙑 𱙒 𱙓 𱙔 𱙕 𱙖 𱙗 𱙘 𱙙 𱙚 𱙛 𱙜 𱙝 𱙞 𱙟 𱙠 𱙡 𱙢 𱙣 𱙤 𱙥 𱙦 𱙧 𱙨 𱙩 𱙪 𱙫 𱙬 𱙭 𱙮 𱙯 𱙰 𱙱 𱙲 𱙳 𱙴 𱙵 𱙶 𱙷 𱙸 𱙹 𱙺 𱙻 𱙼 𱙽 𱙾 𱙿 𱚀 𱚁 𱚂 𱚃 𱚄 𱚅 𱚆 𱚇 𱚈 𱚉 𱚊 𱚋 𱚌 𱚍 𱚎 𱚏 𱚐 𱚑 𱚒 𱚓 𱚔 𱚕 𱚖 𱚗 𱚘 𱚙 𱚚 𱚛 𱚜 𱚝 𱚞 𱚟 𱚠 𱚡 𱚢 𱚣 𱚤 𱚥 𱚦 𱚧 𱚨 𱚩 𱚪 𱚫 𱚬 𱚭 𱚮 𱚯 𱚰 𱚱 𱚲 𱚳 𱚴 𱚵 𱚶 𱚷 𱚸 𱚹 𱚺 𱚻 𱚼 𱚽 𱚾 𱚿 𱛀 𱛁 𱛂 𱛃 𱛄 𱛅 𱛆 𱛇 𱛈 𱛉 𱛊 𱛋 𱛌 𱛍 𱛎 𱛏 𱛐 𱛑 𱛒 𱛓 𱛔 𱛕 𱛖 𱛗 𱛘 𱛙 𱛚 𱛛 𱛜 𱛝 𱛞 𱛟 𱛠 𱛡 𱛢 𱛣 𱛤 𱛥 𱛦 𱛧 𱛨 𱛩 𱛪 𱛫 𱛬 𱛭 𱛮 𱛯 𱛰 𱛱 𱛲 𱛳 𱛴 𱛵 𱛶 𱛷 𱛸 𱛹 𱛺 𱛻 𱛼 𱛽 𱛾 𱛿 𱜀 𱜁 𱜂 𱜃 𱜄 𱜅 𱜆 𱜇 𱜈 𱜉 𱜊 𱜋 𱜌 𱜍 𱜎 𱜏 𱜐 𱜑 𱜒 𱜓 𱜔 𱜕 𱜖 𱜗 𱜘 𱜙 𱜚 𱜛 𱜜 𱜝 𱜞 𱜟 𱜠 𱜡 𱜢 𱜣 𱜤 𱜥 𱜦 𱜧 𱜨 𱜩 𱜪 𱜫</t>
        </is>
      </c>
      <c r="V786" s="14">
        <f>(LEN(O786)+1)/2</f>
        <v/>
      </c>
      <c r="W786" s="14">
        <f>ROUNDDOWN((LEN(P786)+1)/2,0)</f>
        <v/>
      </c>
      <c r="X786" s="14">
        <f>ROUNDDOWN((LEN(Q786)+1)/2,0)</f>
        <v/>
      </c>
      <c r="Y786" s="14">
        <f>ROUNDDOWN((LEN(R786)+1)/2,0)</f>
        <v/>
      </c>
      <c r="Z786" s="14">
        <f>ROUNDDOWN((LEN(S786)+1)/2,0)</f>
        <v/>
      </c>
    </row>
    <row r="787" ht="102" customHeight="1">
      <c r="B787" s="46" t="inlineStr">
        <is>
          <t>U+31823-U+31919</t>
        </is>
      </c>
      <c r="C787" s="46" t="inlineStr">
        <is>
          <t>CJK Unified Ideographs Extension H</t>
        </is>
      </c>
      <c r="D787" s="54">
        <f>HEX2DEC(MID(B787,3,FIND("-",E787)-3))</f>
        <v/>
      </c>
      <c r="E787" s="46" t="inlineStr">
        <is>
          <t>U+31350-U+323AF</t>
        </is>
      </c>
      <c r="F787" s="12" t="n">
        <v>4</v>
      </c>
      <c r="J787" s="19">
        <f>ROUNDDOWN(W787,0)/$V787</f>
        <v/>
      </c>
      <c r="K787" s="19">
        <f>ROUNDDOWN(X787,0)/$V787</f>
        <v/>
      </c>
      <c r="L787" s="19">
        <f>ROUNDDOWN(Y787,0)/$V787</f>
        <v/>
      </c>
      <c r="M787" s="19">
        <f>ROUNDDOWN(Z787,0)/$V787</f>
        <v/>
      </c>
      <c r="O787" s="36" t="inlineStr">
        <is>
          <t>𱜬 𱜭 𱜮 𱜯 𱜰 𱜱 𱜲 𱜳 𱜴 𱜵 𱜶 𱜷 𱜸 𱜹 𱜺 𱜻 𱜼 𱜽 𱜾 𱜿 𱝀 𱝁 𱝂 𱝃 𱝄 𱝅 𱝆 𱝇 𱝈 𱝉 𱝊 𱝋 𱝌 𱝍 𱝎 𱝏 𱝐 𱝑 𱝒 𱝓 𱝔 𱝕 𱝖 𱝗 𱝘 𱝙 𱝚 𱝛 𱝜 𱝝 𱝞 𱝟 𱝠 𱝡 𱝢 𱝣 𱝤 𱝥 𱝦 𱝧 𱝨 𱝩 𱝪 𱝫 𱝬 𱝭 𱝮 𱝯 𱝰 𱝱 𱝲 𱝳 𱝴 𱝵 𱝶 𱝷 𱝸 𱝹 𱝺 𱝻 𱝼 𱝽 𱝾 𱝿 𱞀 𱞁 𱞂 𱞃 𱞄 𱞅 𱞆 𱞇 𱞈 𱞉 𱞊 𱞋 𱞌 𱞍 𱞎 𱞏 𱞐 𱞑 𱞒 𱞓 𱞔 𱞕 𱞖 𱞗 𱞘 𱞙 𱞚 𱞛 𱞜 𱞝 𱞞 𱞟 𱞠 𱞡 𱞢 𱞣 𱞤 𱞥 𱞦 𱞧 𱞨 𱞩 𱞪 𱞫 𱞬 𱞭 𱞮 𱞯 𱞰 𱞱 𱞲 𱞳 𱞴 𱞵 𱞶 𱞷 𱞸 𱞹 𱞺 𱞻 𱞼 𱞽 𱞾 𱞿 𱟀 𱟁 𱟂 𱟃 𱟄 𱟅 𱟆 𱟇 𱟈 𱟉 𱟊 𱟋 𱟌 𱟍 𱟎 𱟏 𱟐 𱟑 𱟒 𱟓 𱟔 𱟕 𱟖 𱟗 𱟘 𱟙 𱟚 𱟛 𱟜 𱟝 𱟞 𱟟 𱟠 𱟡 𱟢 𱟣 𱟤 𱟥 𱟦 𱟧 𱟨 𱟩 𱟪 𱟫 𱟬 𱟭 𱟮 𱟯 𱟰 𱟱 𱟲 𱟳 𱟴 𱟵 𱟶 𱟷 𱟸 𱟹 𱟺 𱟻 𱟼 𱟽 𱟾 𱟿 𱠀 𱠁 𱠂 𱠃 𱠄 𱠅 𱠆 𱠇 𱠈 𱠉 𱠊 𱠋 𱠌 𱠍 𱠎 𱠏 𱠐 𱠑 𱠒 𱠓 𱠔 𱠕 𱠖 𱠗 𱠘 𱠙 𱠚 𱠛 𱠜 𱠝 𱠞 𱠟 𱠠 𱠡 𱠢</t>
        </is>
      </c>
      <c r="V787" s="14">
        <f>(LEN(O787)+1)/2</f>
        <v/>
      </c>
      <c r="W787" s="14">
        <f>ROUNDDOWN((LEN(P787)+1)/2,0)</f>
        <v/>
      </c>
      <c r="X787" s="14">
        <f>ROUNDDOWN((LEN(Q787)+1)/2,0)</f>
        <v/>
      </c>
      <c r="Y787" s="14">
        <f>ROUNDDOWN((LEN(R787)+1)/2,0)</f>
        <v/>
      </c>
      <c r="Z787" s="14">
        <f>ROUNDDOWN((LEN(S787)+1)/2,0)</f>
        <v/>
      </c>
    </row>
    <row r="788" ht="102" customHeight="1">
      <c r="B788" s="46" t="inlineStr">
        <is>
          <t>U+3191A-U+31A10</t>
        </is>
      </c>
      <c r="C788" s="46" t="inlineStr">
        <is>
          <t>CJK Unified Ideographs Extension H</t>
        </is>
      </c>
      <c r="D788" s="54">
        <f>HEX2DEC(MID(B788,3,FIND("-",E788)-3))</f>
        <v/>
      </c>
      <c r="E788" s="46" t="inlineStr">
        <is>
          <t>U+31350-U+323AF</t>
        </is>
      </c>
      <c r="F788" s="12" t="n">
        <v>4</v>
      </c>
      <c r="J788" s="19">
        <f>ROUNDDOWN(W788,0)/$V788</f>
        <v/>
      </c>
      <c r="K788" s="19">
        <f>ROUNDDOWN(X788,0)/$V788</f>
        <v/>
      </c>
      <c r="L788" s="19">
        <f>ROUNDDOWN(Y788,0)/$V788</f>
        <v/>
      </c>
      <c r="M788" s="19">
        <f>ROUNDDOWN(Z788,0)/$V788</f>
        <v/>
      </c>
      <c r="O788" s="36" t="inlineStr">
        <is>
          <t>𱠣 𱠤 𱠥 𱠦 𱠧 𱠨 𱠩 𱠪 𱠫 𱠬 𱠭 𱠮 𱠯 𱠰 𱠱 𱠲 𱠳 𱠴 𱠵 𱠶 𱠷 𱠸 𱠹 𱠺 𱠻 𱠼 𱠽 𱠾 𱠿 𱡀 𱡁 𱡂 𱡃 𱡄 𱡅 𱡆 𱡇 𱡈 𱡉 𱡊 𱡋 𱡌 𱡍 𱡎 𱡏 𱡐 𱡑 𱡒 𱡓 𱡔 𱡕 𱡖 𱡗 𱡘 𱡙 𱡚 𱡛 𱡜 𱡝 𱡞 𱡟 𱡠 𱡡 𱡢 𱡣 𱡤 𱡥 𱡦 𱡧 𱡨 𱡩 𱡪 𱡫 𱡬 𱡭 𱡮 𱡯 𱡰 𱡱 𱡲 𱡳 𱡴 𱡵 𱡶 𱡷 𱡸 𱡹 𱡺 𱡻 𱡼 𱡽 𱡾 𱡿 𱢀 𱢁 𱢂 𱢃 𱢄 𱢅 𱢆 𱢇 𱢈 𱢉 𱢊 𱢋 𱢌 𱢍 𱢎 𱢏 𱢐 𱢑 𱢒 𱢓 𱢔 𱢕 𱢖 𱢗 𱢘 𱢙 𱢚 𱢛 𱢜 𱢝 𱢞 𱢟 𱢠 𱢡 𱢢 𱢣 𱢤 𱢥 𱢦 𱢧 𱢨 𱢩 𱢪 𱢫 𱢬 𱢭 𱢮 𱢯 𱢰 𱢱 𱢲 𱢳 𱢴 𱢵 𱢶 𱢷 𱢸 𱢹 𱢺 𱢻 𱢼 𱢽 𱢾 𱢿 𱣀 𱣁 𱣂 𱣃 𱣄 𱣅 𱣆 𱣇 𱣈 𱣉 𱣊 𱣋 𱣌 𱣍 𱣎 𱣏 𱣐 𱣑 𱣒 𱣓 𱣔 𱣕 𱣖 𱣗 𱣘 𱣙 𱣚 𱣛 𱣜 𱣝 𱣞 𱣟 𱣠 𱣡 𱣢 𱣣 𱣤 𱣥 𱣦 𱣧 𱣨 𱣩 𱣪 𱣫 𱣬 𱣭 𱣮 𱣯 𱣰 𱣱 𱣲 𱣳 𱣴 𱣵 𱣶 𱣷 𱣸 𱣹 𱣺 𱣻 𱣼 𱣽 𱣾 𱣿 𱤀 𱤁 𱤂 𱤃 𱤄 𱤅 𱤆 𱤇 𱤈 𱤉 𱤊 𱤋 𱤌 𱤍 𱤎 𱤏 𱤐 𱤑 𱤒 𱤓 𱤔 𱤕 𱤖 𱤗 𱤘 𱤙</t>
        </is>
      </c>
      <c r="V788" s="14">
        <f>(LEN(O788)+1)/2</f>
        <v/>
      </c>
      <c r="W788" s="14">
        <f>ROUNDDOWN((LEN(P788)+1)/2,0)</f>
        <v/>
      </c>
      <c r="X788" s="14">
        <f>ROUNDDOWN((LEN(Q788)+1)/2,0)</f>
        <v/>
      </c>
      <c r="Y788" s="14">
        <f>ROUNDDOWN((LEN(R788)+1)/2,0)</f>
        <v/>
      </c>
      <c r="Z788" s="14">
        <f>ROUNDDOWN((LEN(S788)+1)/2,0)</f>
        <v/>
      </c>
    </row>
    <row r="789" ht="102" customHeight="1">
      <c r="B789" s="46" t="inlineStr">
        <is>
          <t>U+31A11-U+31B07</t>
        </is>
      </c>
      <c r="C789" s="46" t="inlineStr">
        <is>
          <t>CJK Unified Ideographs Extension H</t>
        </is>
      </c>
      <c r="D789" s="54">
        <f>HEX2DEC(MID(B789,3,FIND("-",E789)-3))</f>
        <v/>
      </c>
      <c r="E789" s="46" t="inlineStr">
        <is>
          <t>U+31350-U+323AF</t>
        </is>
      </c>
      <c r="F789" s="12" t="n">
        <v>4</v>
      </c>
      <c r="J789" s="19">
        <f>ROUNDDOWN(W789,0)/$V789</f>
        <v/>
      </c>
      <c r="K789" s="19">
        <f>ROUNDDOWN(X789,0)/$V789</f>
        <v/>
      </c>
      <c r="L789" s="19">
        <f>ROUNDDOWN(Y789,0)/$V789</f>
        <v/>
      </c>
      <c r="M789" s="19">
        <f>ROUNDDOWN(Z789,0)/$V789</f>
        <v/>
      </c>
      <c r="O789" s="36" t="inlineStr">
        <is>
          <t>𱤚 𱤛 𱤜 𱤝 𱤞 𱤟 𱤠 𱤡 𱤢 𱤣 𱤤 𱤥 𱤦 𱤧 𱤨 𱤩 𱤪 𱤫 𱤬 𱤭 𱤮 𱤯 𱤰 𱤱 𱤲 𱤳 𱤴 𱤵 𱤶 𱤷 𱤸 𱤹 𱤺 𱤻 𱤼 𱤽 𱤾 𱤿 𱥀 𱥁 𱥂 𱥃 𱥄 𱥅 𱥆 𱥇 𱥈 𱥉 𱥊 𱥋 𱥌 𱥍 𱥎 𱥏 𱥐 𱥑 𱥒 𱥓 𱥔 𱥕 𱥖 𱥗 𱥘 𱥙 𱥚 𱥛 𱥜 𱥝 𱥞 𱥟 𱥠 𱥡 𱥢 𱥣 𱥤 𱥥 𱥦 𱥧 𱥨 𱥩 𱥪 𱥫 𱥬 𱥭 𱥮 𱥯 𱥰 𱥱 𱥲 𱥳 𱥴 𱥵 𱥶 𱥷 𱥸 𱥹 𱥺 𱥻 𱥼 𱥽 𱥾 𱥿 𱦀 𱦁 𱦂 𱦃 𱦄 𱦅 𱦆 𱦇 𱦈 𱦉 𱦊 𱦋 𱦌 𱦍 𱦎 𱦏 𱦐 𱦑 𱦒 𱦓 𱦔 𱦕 𱦖 𱦗 𱦘 𱦙 𱦚 𱦛 𱦜 𱦝 𱦞 𱦟 𱦠 𱦡 𱦢 𱦣 𱦤 𱦥 𱦦 𱦧 𱦨 𱦩 𱦪 𱦫 𱦬 𱦭 𱦮 𱦯 𱦰 𱦱 𱦲 𱦳 𱦴 𱦵 𱦶 𱦷 𱦸 𱦹 𱦺 𱦻 𱦼 𱦽 𱦾 𱦿 𱧀 𱧁 𱧂 𱧃 𱧄 𱧅 𱧆 𱧇 𱧈 𱧉 𱧊 𱧋 𱧌 𱧍 𱧎 𱧏 𱧐 𱧑 𱧒 𱧓 𱧔 𱧕 𱧖 𱧗 𱧘 𱧙 𱧚 𱧛 𱧜 𱧝 𱧞 𱧟 𱧠 𱧡 𱧢 𱧣 𱧤 𱧥 𱧦 𱧧 𱧨 𱧩 𱧪 𱧫 𱧬 𱧭 𱧮 𱧯 𱧰 𱧱 𱧲 𱧳 𱧴 𱧵 𱧶 𱧷 𱧸 𱧹 𱧺 𱧻 𱧼 𱧽 𱧾 𱧿 𱨀 𱨁 𱨂 𱨃 𱨄 𱨅 𱨆 𱨇 𱨈 𱨉 𱨊 𱨋 𱨌 𱨍 𱨎 𱨏 𱨐</t>
        </is>
      </c>
      <c r="V789" s="14">
        <f>(LEN(O789)+1)/2</f>
        <v/>
      </c>
      <c r="W789" s="14">
        <f>ROUNDDOWN((LEN(P789)+1)/2,0)</f>
        <v/>
      </c>
      <c r="X789" s="14">
        <f>ROUNDDOWN((LEN(Q789)+1)/2,0)</f>
        <v/>
      </c>
      <c r="Y789" s="14">
        <f>ROUNDDOWN((LEN(R789)+1)/2,0)</f>
        <v/>
      </c>
      <c r="Z789" s="14">
        <f>ROUNDDOWN((LEN(S789)+1)/2,0)</f>
        <v/>
      </c>
    </row>
    <row r="790" ht="102" customHeight="1">
      <c r="B790" s="46" t="inlineStr">
        <is>
          <t>U+31B08-U+31BFE</t>
        </is>
      </c>
      <c r="C790" s="46" t="inlineStr">
        <is>
          <t>CJK Unified Ideographs Extension H</t>
        </is>
      </c>
      <c r="D790" s="54">
        <f>HEX2DEC(MID(B790,3,FIND("-",E790)-3))</f>
        <v/>
      </c>
      <c r="E790" s="46" t="inlineStr">
        <is>
          <t>U+31350-U+323AF</t>
        </is>
      </c>
      <c r="F790" s="12" t="n">
        <v>4</v>
      </c>
      <c r="J790" s="19">
        <f>ROUNDDOWN(W790,0)/$V790</f>
        <v/>
      </c>
      <c r="K790" s="19">
        <f>ROUNDDOWN(X790,0)/$V790</f>
        <v/>
      </c>
      <c r="L790" s="19">
        <f>ROUNDDOWN(Y790,0)/$V790</f>
        <v/>
      </c>
      <c r="M790" s="19">
        <f>ROUNDDOWN(Z790,0)/$V790</f>
        <v/>
      </c>
      <c r="O790" s="36" t="inlineStr">
        <is>
          <t>𱨑 𱨒 𱨓 𱨔 𱨕 𱨖 𱨗 𱨘 𱨙 𱨚 𱨛 𱨜 𱨝 𱨞 𱨟 𱨠 𱨡 𱨢 𱨣 𱨤 𱨥 𱨦 𱨧 𱨨 𱨩 𱨪 𱨫 𱨬 𱨭 𱨮 𱨯 𱨰 𱨱 𱨲 𱨳 𱨴 𱨵 𱨶 𱨷 𱨸 𱨹 𱨺 𱨻 𱨼 𱨽 𱨾 𱨿 𱩀 𱩁 𱩂 𱩃 𱩄 𱩅 𱩆 𱩇 𱩈 𱩉 𱩊 𱩋 𱩌 𱩍 𱩎 𱩏 𱩐 𱩑 𱩒 𱩓 𱩔 𱩕 𱩖 𱩗 𱩘 𱩙 𱩚 𱩛 𱩜 𱩝 𱩞 𱩟 𱩠 𱩡 𱩢 𱩣 𱩤 𱩥 𱩦 𱩧 𱩨 𱩩 𱩪 𱩫 𱩬 𱩭 𱩮 𱩯 𱩰 𱩱 𱩲 𱩳 𱩴 𱩵 𱩶 𱩷 𱩸 𱩹 𱩺 𱩻 𱩼 𱩽 𱩾 𱩿 𱪀 𱪁 𱪂 𱪃 𱪄 𱪅 𱪆 𱪇 𱪈 𱪉 𱪊 𱪋 𱪌 𱪍 𱪎 𱪏 𱪐 𱪑 𱪒 𱪓 𱪔 𱪕 𱪖 𱪗 𱪘 𱪙 𱪚 𱪛 𱪜 𱪝 𱪞 𱪟 𱪠 𱪡 𱪢 𱪣 𱪤 𱪥 𱪦 𱪧 𱪨 𱪩 𱪪 𱪫 𱪬 𱪭 𱪮 𱪯 𱪰 𱪱 𱪲 𱪳 𱪴 𱪵 𱪶 𱪷 𱪸 𱪹 𱪺 𱪻 𱪼 𱪽 𱪾 𱪿 𱫀 𱫁 𱫂 𱫃 𱫄 𱫅 𱫆 𱫇 𱫈 𱫉 𱫊 𱫋 𱫌 𱫍 𱫎 𱫏 𱫐 𱫑 𱫒 𱫓 𱫔 𱫕 𱫖 𱫗 𱫘 𱫙 𱫚 𱫛 𱫜 𱫝 𱫞 𱫟 𱫠 𱫡 𱫢 𱫣 𱫤 𱫥 𱫦 𱫧 𱫨 𱫩 𱫪 𱫫 𱫬 𱫭 𱫮 𱫯 𱫰 𱫱 𱫲 𱫳 𱫴 𱫵 𱫶 𱫷 𱫸 𱫹 𱫺 𱫻 𱫼 𱫽 𱫾 𱫿 𱬀 𱬁 𱬂 𱬃 𱬄 𱬅 𱬆 𱬇</t>
        </is>
      </c>
      <c r="V790" s="14">
        <f>(LEN(O790)+1)/2</f>
        <v/>
      </c>
      <c r="W790" s="14">
        <f>ROUNDDOWN((LEN(P790)+1)/2,0)</f>
        <v/>
      </c>
      <c r="X790" s="14">
        <f>ROUNDDOWN((LEN(Q790)+1)/2,0)</f>
        <v/>
      </c>
      <c r="Y790" s="14">
        <f>ROUNDDOWN((LEN(R790)+1)/2,0)</f>
        <v/>
      </c>
      <c r="Z790" s="14">
        <f>ROUNDDOWN((LEN(S790)+1)/2,0)</f>
        <v/>
      </c>
    </row>
    <row r="791" ht="102" customHeight="1">
      <c r="B791" s="46" t="inlineStr">
        <is>
          <t>U+31BFF-U+31CF5</t>
        </is>
      </c>
      <c r="C791" s="46" t="inlineStr">
        <is>
          <t>CJK Unified Ideographs Extension H</t>
        </is>
      </c>
      <c r="D791" s="54">
        <f>HEX2DEC(MID(B791,3,FIND("-",E791)-3))</f>
        <v/>
      </c>
      <c r="E791" s="46" t="inlineStr">
        <is>
          <t>U+31350-U+323AF</t>
        </is>
      </c>
      <c r="F791" s="12" t="n">
        <v>4</v>
      </c>
      <c r="J791" s="19">
        <f>ROUNDDOWN(W791,0)/$V791</f>
        <v/>
      </c>
      <c r="K791" s="19">
        <f>ROUNDDOWN(X791,0)/$V791</f>
        <v/>
      </c>
      <c r="L791" s="19">
        <f>ROUNDDOWN(Y791,0)/$V791</f>
        <v/>
      </c>
      <c r="M791" s="19">
        <f>ROUNDDOWN(Z791,0)/$V791</f>
        <v/>
      </c>
      <c r="O791" s="36" t="inlineStr">
        <is>
          <t>𱬈 𱬉 𱬊 𱬋 𱬌 𱬍 𱬎 𱬏 𱬐 𱬑 𱬒 𱬓 𱬔 𱬕 𱬖 𱬗 𱬘 𱬙 𱬚 𱬛 𱬜 𱬝 𱬞 𱬟 𱬠 𱬡 𱬢 𱬣 𱬤 𱬥 𱬦 𱬧 𱬨 𱬩 𱬪 𱬫 𱬬 𱬭 𱬮 𱬯 𱬰 𱬱 𱬲 𱬳 𱬴 𱬵 𱬶 𱬷 𱬸 𱬹 𱬺 𱬻 𱬼 𱬽 𱬾 𱬿 𱭀 𱭁 𱭂 𱭃 𱭄 𱭅 𱭆 𱭇 𱭈 𱭉 𱭊 𱭋 𱭌 𱭍 𱭎 𱭏 𱭐 𱭑 𱭒 𱭓 𱭔 𱭕 𱭖 𱭗 𱭘 𱭙 𱭚 𱭛 𱭜 𱭝 𱭞 𱭟 𱭠 𱭡 𱭢 𱭣 𱭤 𱭥 𱭦 𱭧 𱭨 𱭩 𱭪 𱭫 𱭬 𱭭 𱭮 𱭯 𱭰 𱭱 𱭲 𱭳 𱭴 𱭵 𱭶 𱭷 𱭸 𱭹 𱭺 𱭻 𱭼 𱭽 𱭾 𱭿 𱮀 𱮁 𱮂 𱮃 𱮄 𱮅 𱮆 𱮇 𱮈 𱮉 𱮊 𱮋 𱮌 𱮍 𱮎 𱮏 𱮐 𱮑 𱮒 𱮓 𱮔 𱮕 𱮖 𱮗 𱮘 𱮙 𱮚 𱮛 𱮜 𱮝 𱮞 𱮟 𱮠 𱮡 𱮢 𱮣 𱮤 𱮥 𱮦 𱮧 𱮨 𱮩 𱮪 𱮫 𱮬 𱮭 𱮮 𱮯 𱮰 𱮱 𱮲 𱮳 𱮴 𱮵 𱮶 𱮷 𱮸 𱮹 𱮺 𱮻 𱮼 𱮽 𱮾 𱮿 𱯀 𱯁 𱯂 𱯃 𱯄 𱯅 𱯆 𱯇 𱯈 𱯉 𱯊 𱯋 𱯌 𱯍 𱯎 𱯏 𱯐 𱯑 𱯒 𱯓 𱯔 𱯕 𱯖 𱯗 𱯘 𱯙 𱯚 𱯛 𱯜 𱯝 𱯞 𱯟 𱯠 𱯡 𱯢 𱯣 𱯤 𱯥 𱯦 𱯧 𱯨 𱯩 𱯪 𱯫 𱯬 𱯭 𱯮 𱯯 𱯰 𱯱 𱯲 𱯳 𱯴 𱯵 𱯶 𱯷 𱯸 𱯹 𱯺 𱯻 𱯼 𱯽 𱯾</t>
        </is>
      </c>
      <c r="V791" s="14">
        <f>(LEN(O791)+1)/2</f>
        <v/>
      </c>
      <c r="W791" s="14">
        <f>ROUNDDOWN((LEN(P791)+1)/2,0)</f>
        <v/>
      </c>
      <c r="X791" s="14">
        <f>ROUNDDOWN((LEN(Q791)+1)/2,0)</f>
        <v/>
      </c>
      <c r="Y791" s="14">
        <f>ROUNDDOWN((LEN(R791)+1)/2,0)</f>
        <v/>
      </c>
      <c r="Z791" s="14">
        <f>ROUNDDOWN((LEN(S791)+1)/2,0)</f>
        <v/>
      </c>
    </row>
    <row r="792" ht="102" customHeight="1">
      <c r="B792" s="46" t="inlineStr">
        <is>
          <t>U+31CF6-U+31DEB</t>
        </is>
      </c>
      <c r="C792" s="46" t="inlineStr">
        <is>
          <t>CJK Unified Ideographs Extension H</t>
        </is>
      </c>
      <c r="D792" s="54">
        <f>HEX2DEC(MID(B792,3,FIND("-",E792)-3))</f>
        <v/>
      </c>
      <c r="E792" s="46" t="inlineStr">
        <is>
          <t>U+31350-U+323AF</t>
        </is>
      </c>
      <c r="F792" s="12" t="n">
        <v>4</v>
      </c>
      <c r="J792" s="19">
        <f>ROUNDDOWN(W792,0)/$V792</f>
        <v/>
      </c>
      <c r="K792" s="19">
        <f>ROUNDDOWN(X792,0)/$V792</f>
        <v/>
      </c>
      <c r="L792" s="19">
        <f>ROUNDDOWN(Y792,0)/$V792</f>
        <v/>
      </c>
      <c r="M792" s="19">
        <f>ROUNDDOWN(Z792,0)/$V792</f>
        <v/>
      </c>
      <c r="O792" s="36" t="inlineStr">
        <is>
          <t>𱯿 𱰀 𱰁 𱰂 𱰃 𱰄 𱰅 𱰆 𱰇 𱰈 𱰉 𱰊 𱰋 𱰌 𱰍 𱰎 𱰏 𱰐 𱰑 𱰒 𱰓 𱰔 𱰕 𱰖 𱰗 𱰘 𱰙 𱰚 𱰛 𱰜 𱰝 𱰞 𱰟 𱰠 𱰡 𱰢 𱰣 𱰤 𱰥 𱰦 𱰧 𱰨 𱰩 𱰪 𱰫 𱰬 𱰭 𱰮 𱰯 𱰰 𱰱 𱰲 𱰳 𱰴 𱰵 𱰶 𱰷 𱰸 𱰹 𱰺 𱰻 𱰼 𱰽 𱰾 𱰿 𱱀 𱱁 𱱂 𱱃 𱱄 𱱅 𱱆 𱱇 𱱈 𱱉 𱱊 𱱋 𱱌 𱱍 𱱎 𱱏 𱱐 𱱑 𱱒 𱱓 𱱔 𱱕 𱱖 𱱗 𱱘 𱱙 𱱚 𱱛 𱱜 𱱝 𱱞 𱱟 𱱠 𱱡 𱱢 𱱣 𱱤 𱱥 𱱦 𱱧 𱱨 𱱩 𱱪 𱱫 𱱬 𱱭 𱱮 𱱯 𱱰 𱱱 𱱲 𱱳 𱱴 𱱵 𱱶 𱱷 𱱸 𱱹 𱱺 𱱻 𱱼 𱱽 𱱾 𱱿 𱲀 𱲁 𱲂 𱲃 𱲄 𱲅 𱲆 𱲇 𱲈 𱲉 𱲊 𱲋 𱲌 𱲍 𱲎 𱲏 𱲐 𱲑 𱲒 𱲓 𱲔 𱲕 𱲖 𱲗 𱲘 𱲙 𱲚 𱲛 𱲜 𱲝 𱲞 𱲟 𱲠 𱲡 𱲢 𱲣 𱲤 𱲥 𱲦 𱲧 𱲨 𱲩 𱲪 𱲫 𱲬 𱲭 𱲮 𱲯 𱲰 𱲱 𱲲 𱲳 𱲴 𱲵 𱲶 𱲷 𱲸 𱲹 𱲺 𱲻 𱲼 𱲽 𱲾 𱲿 𱳀 𱳁 𱳂 𱳃 𱳄 𱳅 𱳆 𱳇 𱳈 𱳉 𱳊 𱳋 𱳌 𱳍 𱳎 𱳏 𱳐 𱳑 𱳒 𱳓 𱳔 𱳕 𱳖 𱳗 𱳘 𱳙 𱳚 𱳛 𱳜 𱳝 𱳞 𱳟 𱳠 𱳡 𱳢 𱳣 𱳤 𱳥 𱳦 𱳧 𱳨 𱳩 𱳪 𱳫 𱳬 𱳭 𱳮 𱳯 𱳰 𱳱 𱳲 𱳳 𱳴 𱳵</t>
        </is>
      </c>
      <c r="V792" s="14">
        <f>(LEN(O792)+1)/2</f>
        <v/>
      </c>
      <c r="W792" s="14">
        <f>ROUNDDOWN((LEN(P792)+1)/2,0)</f>
        <v/>
      </c>
      <c r="X792" s="14">
        <f>ROUNDDOWN((LEN(Q792)+1)/2,0)</f>
        <v/>
      </c>
      <c r="Y792" s="14">
        <f>ROUNDDOWN((LEN(R792)+1)/2,0)</f>
        <v/>
      </c>
      <c r="Z792" s="14">
        <f>ROUNDDOWN((LEN(S792)+1)/2,0)</f>
        <v/>
      </c>
    </row>
    <row r="793" ht="102" customHeight="1">
      <c r="B793" s="46" t="inlineStr">
        <is>
          <t>U+31DEC-U+31EE1</t>
        </is>
      </c>
      <c r="C793" s="46" t="inlineStr">
        <is>
          <t>CJK Unified Ideographs Extension H</t>
        </is>
      </c>
      <c r="D793" s="54">
        <f>HEX2DEC(MID(B793,3,FIND("-",E793)-3))</f>
        <v/>
      </c>
      <c r="E793" s="46" t="inlineStr">
        <is>
          <t>U+31350-U+323AF</t>
        </is>
      </c>
      <c r="F793" s="12" t="n">
        <v>4</v>
      </c>
      <c r="J793" s="19">
        <f>ROUNDDOWN(W793,0)/$V793</f>
        <v/>
      </c>
      <c r="K793" s="19">
        <f>ROUNDDOWN(X793,0)/$V793</f>
        <v/>
      </c>
      <c r="L793" s="19">
        <f>ROUNDDOWN(Y793,0)/$V793</f>
        <v/>
      </c>
      <c r="M793" s="19">
        <f>ROUNDDOWN(Z793,0)/$V793</f>
        <v/>
      </c>
      <c r="O793" s="36" t="inlineStr">
        <is>
          <t>𱳶 𱳷 𱳸 𱳹 𱳺 𱳻 𱳼 𱳽 𱳾 𱳿 𱴀 𱴁 𱴂 𱴃 𱴄 𱴅 𱴆 𱴇 𱴈 𱴉 𱴊 𱴋 𱴌 𱴍 𱴎 𱴏 𱴐 𱴑 𱴒 𱴓 𱴔 𱴕 𱴖 𱴗 𱴘 𱴙 𱴚 𱴛 𱴜 𱴝 𱴞 𱴟 𱴠 𱴡 𱴢 𱴣 𱴤 𱴥 𱴦 𱴧 𱴨 𱴩 𱴪 𱴫 𱴬 𱴭 𱴮 𱴯 𱴰 𱴱 𱴲 𱴳 𱴴 𱴵 𱴶 𱴷 𱴸 𱴹 𱴺 𱴻 𱴼 𱴽 𱴾 𱴿 𱵀 𱵁 𱵂 𱵃 𱵄 𱵅 𱵆 𱵇 𱵈 𱵉 𱵊 𱵋 𱵌 𱵍 𱵎 𱵏 𱵐 𱵑 𱵒 𱵓 𱵔 𱵕 𱵖 𱵗 𱵘 𱵙 𱵚 𱵛 𱵜 𱵝 𱵞 𱵟 𱵠 𱵡 𱵢 𱵣 𱵤 𱵥 𱵦 𱵧 𱵨 𱵩 𱵪 𱵫 𱵬 𱵭 𱵮 𱵯 𱵰 𱵱 𱵲 𱵳 𱵴 𱵵 𱵶 𱵷 𱵸 𱵹 𱵺 𱵻 𱵼 𱵽 𱵾 𱵿 𱶀 𱶁 𱶂 𱶃 𱶄 𱶅 𱶆 𱶇 𱶈 𱶉 𱶊 𱶋 𱶌 𱶍 𱶎 𱶏 𱶐 𱶑 𱶒 𱶓 𱶔 𱶕 𱶖 𱶗 𱶘 𱶙 𱶚 𱶛 𱶜 𱶝 𱶞 𱶟 𱶠 𱶡 𱶢 𱶣 𱶤 𱶥 𱶦 𱶧 𱶨 𱶩 𱶪 𱶫 𱶬 𱶭 𱶮 𱶯 𱶰 𱶱 𱶲 𱶳 𱶴 𱶵 𱶶 𱶷 𱶸 𱶹 𱶺 𱶻 𱶼 𱶽 𱶾 𱶿 𱷀 𱷁 𱷂 𱷃 𱷄 𱷅 𱷆 𱷇 𱷈 𱷉 𱷊 𱷋 𱷌 𱷍 𱷎 𱷏 𱷐 𱷑 𱷒 𱷓 𱷔 𱷕 𱷖 𱷗 𱷘 𱷙 𱷚 𱷛 𱷜 𱷝 𱷞 𱷟 𱷠 𱷡 𱷢 𱷣 𱷤 𱷥 𱷦 𱷧 𱷨 𱷩 𱷪 𱷫</t>
        </is>
      </c>
      <c r="V793" s="14">
        <f>(LEN(O793)+1)/2</f>
        <v/>
      </c>
      <c r="W793" s="14">
        <f>ROUNDDOWN((LEN(P793)+1)/2,0)</f>
        <v/>
      </c>
      <c r="X793" s="14">
        <f>ROUNDDOWN((LEN(Q793)+1)/2,0)</f>
        <v/>
      </c>
      <c r="Y793" s="14">
        <f>ROUNDDOWN((LEN(R793)+1)/2,0)</f>
        <v/>
      </c>
      <c r="Z793" s="14">
        <f>ROUNDDOWN((LEN(S793)+1)/2,0)</f>
        <v/>
      </c>
    </row>
    <row r="794" ht="102" customHeight="1">
      <c r="B794" s="46" t="inlineStr">
        <is>
          <t>U+31EE2-U+31FD7</t>
        </is>
      </c>
      <c r="C794" s="46" t="inlineStr">
        <is>
          <t>CJK Unified Ideographs Extension H</t>
        </is>
      </c>
      <c r="D794" s="54">
        <f>HEX2DEC(MID(B794,3,FIND("-",E794)-3))</f>
        <v/>
      </c>
      <c r="E794" s="46" t="inlineStr">
        <is>
          <t>U+31350-U+323AF</t>
        </is>
      </c>
      <c r="F794" s="12" t="n">
        <v>4</v>
      </c>
      <c r="J794" s="19">
        <f>ROUNDDOWN(W794,0)/$V794</f>
        <v/>
      </c>
      <c r="K794" s="19">
        <f>ROUNDDOWN(X794,0)/$V794</f>
        <v/>
      </c>
      <c r="L794" s="19">
        <f>ROUNDDOWN(Y794,0)/$V794</f>
        <v/>
      </c>
      <c r="M794" s="19">
        <f>ROUNDDOWN(Z794,0)/$V794</f>
        <v/>
      </c>
      <c r="O794" s="36" t="inlineStr">
        <is>
          <t>𱷬 𱷭 𱷮 𱷯 𱷰 𱷱 𱷲 𱷳 𱷴 𱷵 𱷶 𱷷 𱷸 𱷹 𱷺 𱷻 𱷼 𱷽 𱷾 𱷿 𱸀 𱸁 𱸂 𱸃 𱸄 𱸅 𱸆 𱸇 𱸈 𱸉 𱸊 𱸋 𱸌 𱸍 𱸎 𱸏 𱸐 𱸑 𱸒 𱸓 𱸔 𱸕 𱸖 𱸗 𱸘 𱸙 𱸚 𱸛 𱸜 𱸝 𱸞 𱸟 𱸠 𱸡 𱸢 𱸣 𱸤 𱸥 𱸦 𱸧 𱸨 𱸩 𱸪 𱸫 𱸬 𱸭 𱸮 𱸯 𱸰 𱸱 𱸲 𱸳 𱸴 𱸵 𱸶 𱸷 𱸸 𱸹 𱸺 𱸻 𱸼 𱸽 𱸾 𱸿 𱹀 𱹁 𱹂 𱹃 𱹄 𱹅 𱹆 𱹇 𱹈 𱹉 𱹊 𱹋 𱹌 𱹍 𱹎 𱹏 𱹐 𱹑 𱹒 𱹓 𱹔 𱹕 𱹖 𱹗 𱹘 𱹙 𱹚 𱹛 𱹜 𱹝 𱹞 𱹟 𱹠 𱹡 𱹢 𱹣 𱹤 𱹥 𱹦 𱹧 𱹨 𱹩 𱹪 𱹫 𱹬 𱹭 𱹮 𱹯 𱹰 𱹱 𱹲 𱹳 𱹴 𱹵 𱹶 𱹷 𱹸 𱹹 𱹺 𱹻 𱹼 𱹽 𱹾 𱹿 𱺀 𱺁 𱺂 𱺃 𱺄 𱺅 𱺆 𱺇 𱺈 𱺉 𱺊 𱺋 𱺌 𱺍 𱺎 𱺏 𱺐 𱺑 𱺒 𱺓 𱺔 𱺕 𱺖 𱺗 𱺘 𱺙 𱺚 𱺛 𱺜 𱺝 𱺞 𱺟 𱺠 𱺡 𱺢 𱺣 𱺤 𱺥 𱺦 𱺧 𱺨 𱺩 𱺪 𱺫 𱺬 𱺭 𱺮 𱺯 𱺰 𱺱 𱺲 𱺳 𱺴 𱺵 𱺶 𱺷 𱺸 𱺹 𱺺 𱺻 𱺼 𱺽 𱺾 𱺿 𱻀 𱻁 𱻂 𱻃 𱻄 𱻅 𱻆 𱻇 𱻈 𱻉 𱻊 𱻋 𱻌 𱻍 𱻎 𱻏 𱻐 𱻑 𱻒 𱻓 𱻔 𱻕 𱻖 𱻗 𱻘 𱻙 𱻚 𱻛 𱻜 𱻝 𱻞 𱻟 𱻠 𱻡</t>
        </is>
      </c>
      <c r="V794" s="14">
        <f>(LEN(O794)+1)/2</f>
        <v/>
      </c>
      <c r="W794" s="14">
        <f>ROUNDDOWN((LEN(P794)+1)/2,0)</f>
        <v/>
      </c>
      <c r="X794" s="14">
        <f>ROUNDDOWN((LEN(Q794)+1)/2,0)</f>
        <v/>
      </c>
      <c r="Y794" s="14">
        <f>ROUNDDOWN((LEN(R794)+1)/2,0)</f>
        <v/>
      </c>
      <c r="Z794" s="14">
        <f>ROUNDDOWN((LEN(S794)+1)/2,0)</f>
        <v/>
      </c>
    </row>
    <row r="795" ht="102" customHeight="1">
      <c r="B795" s="46" t="inlineStr">
        <is>
          <t>U+31FD8-U+320CD</t>
        </is>
      </c>
      <c r="C795" s="46" t="inlineStr">
        <is>
          <t>CJK Unified Ideographs Extension H</t>
        </is>
      </c>
      <c r="D795" s="54">
        <f>HEX2DEC(MID(B795,3,FIND("-",E795)-3))</f>
        <v/>
      </c>
      <c r="E795" s="46" t="inlineStr">
        <is>
          <t>U+31350-U+323AF</t>
        </is>
      </c>
      <c r="F795" s="12" t="n">
        <v>4</v>
      </c>
      <c r="J795" s="19">
        <f>ROUNDDOWN(W795,0)/$V795</f>
        <v/>
      </c>
      <c r="K795" s="19">
        <f>ROUNDDOWN(X795,0)/$V795</f>
        <v/>
      </c>
      <c r="L795" s="19">
        <f>ROUNDDOWN(Y795,0)/$V795</f>
        <v/>
      </c>
      <c r="M795" s="19">
        <f>ROUNDDOWN(Z795,0)/$V795</f>
        <v/>
      </c>
      <c r="O795" s="36" t="inlineStr">
        <is>
          <t>𱻢 𱻣 𱻤 𱻥 𱻦 𱻧 𱻨 𱻩 𱻪 𱻫 𱻬 𱻭 𱻮 𱻯 𱻰 𱻱 𱻲 𱻳 𱻴 𱻵 𱻶 𱻷 𱻸 𱻹 𱻺 𱻻 𱻼 𱻽 𱻾 𱻿 𱼀 𱼁 𱼂 𱼃 𱼄 𱼅 𱼆 𱼇 𱼈 𱼉 𱼊 𱼋 𱼌 𱼍 𱼎 𱼏 𱼐 𱼑 𱼒 𱼓 𱼔 𱼕 𱼖 𱼗 𱼘 𱼙 𱼚 𱼛 𱼜 𱼝 𱼞 𱼟 𱼠 𱼡 𱼢 𱼣 𱼤 𱼥 𱼦 𱼧 𱼨 𱼩 𱼪 𱼫 𱼬 𱼭 𱼮 𱼯 𱼰 𱼱 𱼲 𱼳 𱼴 𱼵 𱼶 𱼷 𱼸 𱼹 𱼺 𱼻 𱼼 𱼽 𱼾 𱼿 𱽀 𱽁 𱽂 𱽃 𱽄 𱽅 𱽆 𱽇 𱽈 𱽉 𱽊 𱽋 𱽌 𱽍 𱽎 𱽏 𱽐 𱽑 𱽒 𱽓 𱽔 𱽕 𱽖 𱽗 𱽘 𱽙 𱽚 𱽛 𱽜 𱽝 𱽞 𱽟 𱽠 𱽡 𱽢 𱽣 𱽤 𱽥 𱽦 𱽧 𱽨 𱽩 𱽪 𱽫 𱽬 𱽭 𱽮 𱽯 𱽰 𱽱 𱽲 𱽳 𱽴 𱽵 𱽶 𱽷 𱽸 𱽹 𱽺 𱽻 𱽼 𱽽 𱽾 𱽿 𱾀 𱾁 𱾂 𱾃 𱾄 𱾅 𱾆 𱾇 𱾈 𱾉 𱾊 𱾋 𱾌 𱾍 𱾎 𱾏 𱾐 𱾑 𱾒 𱾓 𱾔 𱾕 𱾖 𱾗 𱾘 𱾙 𱾚 𱾛 𱾜 𱾝 𱾞 𱾟 𱾠 𱾡 𱾢 𱾣 𱾤 𱾥 𱾦 𱾧 𱾨 𱾩 𱾪 𱾫 𱾬 𱾭 𱾮 𱾯 𱾰 𱾱 𱾲 𱾳 𱾴 𱾵 𱾶 𱾷 𱾸 𱾹 𱾺 𱾻 𱾼 𱾽 𱾾 𱾿 𱿀 𱿁 𱿂 𱿃 𱿄 𱿅 𱿆 𱿇 𱿈 𱿉 𱿊 𱿋 𱿌 𱿍 𱿎 𱿏 𱿐 𱿑 𱿒 𱿓 𱿔 𱿕 𱿖 𱿗</t>
        </is>
      </c>
      <c r="V795" s="14">
        <f>(LEN(O795)+1)/2</f>
        <v/>
      </c>
      <c r="W795" s="14">
        <f>ROUNDDOWN((LEN(P795)+1)/2,0)</f>
        <v/>
      </c>
      <c r="X795" s="14">
        <f>ROUNDDOWN((LEN(Q795)+1)/2,0)</f>
        <v/>
      </c>
      <c r="Y795" s="14">
        <f>ROUNDDOWN((LEN(R795)+1)/2,0)</f>
        <v/>
      </c>
      <c r="Z795" s="14">
        <f>ROUNDDOWN((LEN(S795)+1)/2,0)</f>
        <v/>
      </c>
    </row>
    <row r="796" ht="102" customHeight="1">
      <c r="B796" s="46" t="inlineStr">
        <is>
          <t>U+320CE-U+321C3</t>
        </is>
      </c>
      <c r="C796" s="46" t="inlineStr">
        <is>
          <t>CJK Unified Ideographs Extension H</t>
        </is>
      </c>
      <c r="D796" s="54">
        <f>HEX2DEC(MID(B796,3,FIND("-",E796)-3))</f>
        <v/>
      </c>
      <c r="E796" s="46" t="inlineStr">
        <is>
          <t>U+31350-U+323AF</t>
        </is>
      </c>
      <c r="F796" s="12" t="n">
        <v>4</v>
      </c>
      <c r="J796" s="19">
        <f>ROUNDDOWN(W796,0)/$V796</f>
        <v/>
      </c>
      <c r="K796" s="19">
        <f>ROUNDDOWN(X796,0)/$V796</f>
        <v/>
      </c>
      <c r="L796" s="19">
        <f>ROUNDDOWN(Y796,0)/$V796</f>
        <v/>
      </c>
      <c r="M796" s="19">
        <f>ROUNDDOWN(Z796,0)/$V796</f>
        <v/>
      </c>
      <c r="O796" s="36" t="inlineStr">
        <is>
          <t>𱿘 𱿙 𱿚 𱿛 𱿜 𱿝 𱿞 𱿟 𱿠 𱿡 𱿢 𱿣 𱿤 𱿥 𱿦 𱿧 𱿨 𱿩 𱿪 𱿫 𱿬 𱿭 𱿮 𱿯 𱿰 𱿱 𱿲 𱿳 𱿴 𱿵 𱿶 𱿷 𱿸 𱿹 𱿺 𱿻 𱿼 𱿽 𱿾 𱿿 𲀀 𲀁 𲀂 𲀃 𲀄 𲀅 𲀆 𲀇 𲀈 𲀉 𲀊 𲀋 𲀌 𲀍 𲀎 𲀏 𲀐 𲀑 𲀒 𲀓 𲀔 𲀕 𲀖 𲀗 𲀘 𲀙 𲀚 𲀛 𲀜 𲀝 𲀞 𲀟 𲀠 𲀡 𲀢 𲀣 𲀤 𲀥 𲀦 𲀧 𲀨 𲀩 𲀪 𲀫 𲀬 𲀭 𲀮 𲀯 𲀰 𲀱 𲀲 𲀳 𲀴 𲀵 𲀶 𲀷 𲀸 𲀹 𲀺 𲀻 𲀼 𲀽 𲀾 𲀿 𲁀 𲁁 𲁂 𲁃 𲁄 𲁅 𲁆 𲁇 𲁈 𲁉 𲁊 𲁋 𲁌 𲁍 𲁎 𲁏 𲁐 𲁑 𲁒 𲁓 𲁔 𲁕 𲁖 𲁗 𲁘 𲁙 𲁚 𲁛 𲁜 𲁝 𲁞 𲁟 𲁠 𲁡 𲁢 𲁣 𲁤 𲁥 𲁦 𲁧 𲁨 𲁩 𲁪 𲁫 𲁬 𲁭 𲁮 𲁯 𲁰 𲁱 𲁲 𲁳 𲁴 𲁵 𲁶 𲁷 𲁸 𲁹 𲁺 𲁻 𲁼 𲁽 𲁾 𲁿 𲂀 𲂁 𲂂 𲂃 𲂄 𲂅 𲂆 𲂇 𲂈 𲂉 𲂊 𲂋 𲂌 𲂍 𲂎 𲂏 𲂐 𲂑 𲂒 𲂓 𲂔 𲂕 𲂖 𲂗 𲂘 𲂙 𲂚 𲂛 𲂜 𲂝 𲂞 𲂟 𲂠 𲂡 𲂢 𲂣 𲂤 𲂥 𲂦 𲂧 𲂨 𲂩 𲂪 𲂫 𲂬 𲂭 𲂮 𲂯 𲂰 𲂱 𲂲 𲂳 𲂴 𲂵 𲂶 𲂷 𲂸 𲂹 𲂺 𲂻 𲂼 𲂽 𲂾 𲂿 𲃀 𲃁 𲃂 𲃃 𲃄 𲃅 𲃆 𲃇 𲃈 𲃉 𲃊 𲃋 𲃌 𲃍</t>
        </is>
      </c>
      <c r="V796" s="14">
        <f>(LEN(O796)+1)/2</f>
        <v/>
      </c>
      <c r="W796" s="14">
        <f>ROUNDDOWN((LEN(P796)+1)/2,0)</f>
        <v/>
      </c>
      <c r="X796" s="14">
        <f>ROUNDDOWN((LEN(Q796)+1)/2,0)</f>
        <v/>
      </c>
      <c r="Y796" s="14">
        <f>ROUNDDOWN((LEN(R796)+1)/2,0)</f>
        <v/>
      </c>
      <c r="Z796" s="14">
        <f>ROUNDDOWN((LEN(S796)+1)/2,0)</f>
        <v/>
      </c>
    </row>
    <row r="797" ht="102" customHeight="1">
      <c r="B797" s="46" t="inlineStr">
        <is>
          <t>U+321C4-U+322B9</t>
        </is>
      </c>
      <c r="C797" s="46" t="inlineStr">
        <is>
          <t>CJK Unified Ideographs Extension H</t>
        </is>
      </c>
      <c r="D797" s="54">
        <f>HEX2DEC(MID(B797,3,FIND("-",E797)-3))</f>
        <v/>
      </c>
      <c r="E797" s="46" t="inlineStr">
        <is>
          <t>U+31350-U+323AF</t>
        </is>
      </c>
      <c r="F797" s="12" t="n">
        <v>4</v>
      </c>
      <c r="J797" s="19">
        <f>ROUNDDOWN(W797,0)/$V797</f>
        <v/>
      </c>
      <c r="K797" s="19">
        <f>ROUNDDOWN(X797,0)/$V797</f>
        <v/>
      </c>
      <c r="L797" s="19">
        <f>ROUNDDOWN(Y797,0)/$V797</f>
        <v/>
      </c>
      <c r="M797" s="19">
        <f>ROUNDDOWN(Z797,0)/$V797</f>
        <v/>
      </c>
      <c r="O797" s="36" t="inlineStr">
        <is>
          <t>𲃎 𲃏 𲃐 𲃑 𲃒 𲃓 𲃔 𲃕 𲃖 𲃗 𲃘 𲃙 𲃚 𲃛 𲃜 𲃝 𲃞 𲃟 𲃠 𲃡 𲃢 𲃣 𲃤 𲃥 𲃦 𲃧 𲃨 𲃩 𲃪 𲃫 𲃬 𲃭 𲃮 𲃯 𲃰 𲃱 𲃲 𲃳 𲃴 𲃵 𲃶 𲃷 𲃸 𲃹 𲃺 𲃻 𲃼 𲃽 𲃾 𲃿 𲄀 𲄁 𲄂 𲄃 𲄄 𲄅 𲄆 𲄇 𲄈 𲄉 𲄊 𲄋 𲄌 𲄍 𲄎 𲄏 𲄐 𲄑 𲄒 𲄓 𲄔 𲄕 𲄖 𲄗 𲄘 𲄙 𲄚 𲄛 𲄜 𲄝 𲄞 𲄟 𲄠 𲄡 𲄢 𲄣 𲄤 𲄥 𲄦 𲄧 𲄨 𲄩 𲄪 𲄫 𲄬 𲄭 𲄮 𲄯 𲄰 𲄱 𲄲 𲄳 𲄴 𲄵 𲄶 𲄷 𲄸 𲄹 𲄺 𲄻 𲄼 𲄽 𲄾 𲄿 𲅀 𲅁 𲅂 𲅃 𲅄 𲅅 𲅆 𲅇 𲅈 𲅉 𲅊 𲅋 𲅌 𲅍 𲅎 𲅏 𲅐 𲅑 𲅒 𲅓 𲅔 𲅕 𲅖 𲅗 𲅘 𲅙 𲅚 𲅛 𲅜 𲅝 𲅞 𲅟 𲅠 𲅡 𲅢 𲅣 𲅤 𲅥 𲅦 𲅧 𲅨 𲅩 𲅪 𲅫 𲅬 𲅭 𲅮 𲅯 𲅰 𲅱 𲅲 𲅳 𲅴 𲅵 𲅶 𲅷 𲅸 𲅹 𲅺 𲅻 𲅼 𲅽 𲅾 𲅿 𲆀 𲆁 𲆂 𲆃 𲆄 𲆅 𲆆 𲆇 𲆈 𲆉 𲆊 𲆋 𲆌 𲆍 𲆎 𲆏 𲆐 𲆑 𲆒 𲆓 𲆔 𲆕 𲆖 𲆗 𲆘 𲆙 𲆚 𲆛 𲆜 𲆝 𲆞 𲆟 𲆠 𲆡 𲆢 𲆣 𲆤 𲆥 𲆦 𲆧 𲆨 𲆩 𲆪 𲆫 𲆬 𲆭 𲆮 𲆯 𲆰 𲆱 𲆲 𲆳 𲆴 𲆵 𲆶 𲆷 𲆸 𲆹 𲆺 𲆻 𲆼 𲆽 𲆾 𲆿 𲇀 𲇁 𲇂 𲇃</t>
        </is>
      </c>
      <c r="V797" s="14">
        <f>(LEN(O797)+1)/2</f>
        <v/>
      </c>
      <c r="W797" s="14">
        <f>ROUNDDOWN((LEN(P797)+1)/2,0)</f>
        <v/>
      </c>
      <c r="X797" s="14">
        <f>ROUNDDOWN((LEN(Q797)+1)/2,0)</f>
        <v/>
      </c>
      <c r="Y797" s="14">
        <f>ROUNDDOWN((LEN(R797)+1)/2,0)</f>
        <v/>
      </c>
      <c r="Z797" s="14">
        <f>ROUNDDOWN((LEN(S797)+1)/2,0)</f>
        <v/>
      </c>
    </row>
    <row r="798" ht="102" customHeight="1">
      <c r="B798" s="46" t="inlineStr">
        <is>
          <t>U+322BA-U+323AF</t>
        </is>
      </c>
      <c r="C798" s="46" t="inlineStr">
        <is>
          <t>CJK Unified Ideographs Extension H</t>
        </is>
      </c>
      <c r="D798" s="54">
        <f>HEX2DEC(MID(B798,3,FIND("-",E798)-3))</f>
        <v/>
      </c>
      <c r="E798" s="46" t="inlineStr">
        <is>
          <t>U+31350-U+323AF</t>
        </is>
      </c>
      <c r="F798" s="12" t="n">
        <v>4</v>
      </c>
      <c r="J798" s="19">
        <f>ROUNDDOWN(W798,0)/$V798</f>
        <v/>
      </c>
      <c r="K798" s="19">
        <f>ROUNDDOWN(X798,0)/$V798</f>
        <v/>
      </c>
      <c r="L798" s="19">
        <f>ROUNDDOWN(Y798,0)/$V798</f>
        <v/>
      </c>
      <c r="M798" s="19">
        <f>ROUNDDOWN(Z798,0)/$V798</f>
        <v/>
      </c>
      <c r="O798" s="36" t="inlineStr">
        <is>
          <t>𲇄 𲇅 𲇆 𲇇 𲇈 𲇉 𲇊 𲇋 𲇌 𲇍 𲇎 𲇏 𲇐 𲇑 𲇒 𲇓 𲇔 𲇕 𲇖 𲇗 𲇘 𲇙 𲇚 𲇛 𲇜 𲇝 𲇞 𲇟 𲇠 𲇡 𲇢 𲇣 𲇤 𲇥 𲇦 𲇧 𲇨 𲇩 𲇪 𲇫 𲇬 𲇭 𲇮 𲇯 𲇰 𲇱 𲇲 𲇳 𲇴 𲇵 𲇶 𲇷 𲇸 𲇹 𲇺 𲇻 𲇼 𲇽 𲇾 𲇿 𲈀 𲈁 𲈂 𲈃 𲈄 𲈅 𲈆 𲈇 𲈈 𲈉 𲈊 𲈋 𲈌 𲈍 𲈎 𲈏 𲈐 𲈑 𲈒 𲈓 𲈔 𲈕 𲈖 𲈗 𲈘 𲈙 𲈚 𲈛 𲈜 𲈝 𲈞 𲈟 𲈠 𲈡 𲈢 𲈣 𲈤 𲈥 𲈦 𲈧 𲈨 𲈩 𲈪 𲈫 𲈬 𲈭 𲈮 𲈯 𲈰 𲈱 𲈲 𲈳 𲈴 𲈵 𲈶 𲈷 𲈸 𲈹 𲈺 𲈻 𲈼 𲈽 𲈾 𲈿 𲉀 𲉁 𲉂 𲉃 𲉄 𲉅 𲉆 𲉇 𲉈 𲉉 𲉊 𲉋 𲉌 𲉍 𲉎 𲉏 𲉐 𲉑 𲉒 𲉓 𲉔 𲉕 𲉖 𲉗 𲉘 𲉙 𲉚 𲉛 𲉜 𲉝 𲉞 𲉟 𲉠 𲉡 𲉢 𲉣 𲉤 𲉥 𲉦 𲉧 𲉨 𲉩 𲉪 𲉫 𲉬 𲉭 𲉮 𲉯 𲉰 𲉱 𲉲 𲉳 𲉴 𲉵 𲉶 𲉷 𲉸 𲉹 𲉺 𲉻 𲉼 𲉽 𲉾 𲉿 𲊀 𲊁 𲊂 𲊃 𲊄 𲊅 𲊆 𲊇 𲊈 𲊉 𲊊 𲊋 𲊌 𲊍 𲊎 𲊏 𲊐 𲊑 𲊒 𲊓 𲊔 𲊕 𲊖 𲊗 𲊘 𲊙 𲊚 𲊛 𲊜 𲊝 𲊞 𲊟 𲊠 𲊡 𲊢 𲊣 𲊤 𲊥 𲊦 𲊧 𲊨 𲊩 𲊪 𲊫 𲊬 𲊭 𲊮 𲊯 𲊰 𲊱 𲊲 𲊳 𲊴 𲊵 𲊶 𲊷 𲊸 𲊹</t>
        </is>
      </c>
      <c r="V798" s="14">
        <f>(LEN(O798)+1)/2</f>
        <v/>
      </c>
      <c r="W798" s="14">
        <f>ROUNDDOWN((LEN(P798)+1)/2,0)</f>
        <v/>
      </c>
      <c r="X798" s="14">
        <f>ROUNDDOWN((LEN(Q798)+1)/2,0)</f>
        <v/>
      </c>
      <c r="Y798" s="14">
        <f>ROUNDDOWN((LEN(R798)+1)/2,0)</f>
        <v/>
      </c>
      <c r="Z798" s="14">
        <f>ROUNDDOWN((LEN(S798)+1)/2,0)</f>
        <v/>
      </c>
    </row>
    <row r="799" ht="102" customHeight="1">
      <c r="B799" s="46" t="inlineStr">
        <is>
          <t>U+E0100-U+E01EF</t>
        </is>
      </c>
      <c r="C799" s="46" t="inlineStr">
        <is>
          <t>Variation Selectors Supplement</t>
        </is>
      </c>
      <c r="D799" s="54">
        <f>HEX2DEC(MID(B799,3,FIND("-",E799)-3))</f>
        <v/>
      </c>
      <c r="E799" s="46" t="inlineStr">
        <is>
          <t>U+E0100-U+E01EF</t>
        </is>
      </c>
      <c r="F799" s="12" t="n">
        <v>4</v>
      </c>
      <c r="J799" s="19">
        <f>ROUNDDOWN(W799,0)/$V799</f>
        <v/>
      </c>
      <c r="K799" s="19">
        <f>ROUNDDOWN(X799,0)/$V799</f>
        <v/>
      </c>
      <c r="L799" s="19">
        <f>ROUNDDOWN(Y799,0)/$V799</f>
        <v/>
      </c>
      <c r="M799" s="19">
        <f>ROUNDDOWN(Z799,0)/$V799</f>
        <v/>
      </c>
      <c r="O799" s="36" t="inlineStr">
        <is>
          <t>𲊺 𲊻 𲊼 𲊽 𲊾 𲊿 𲋀 𲋁 𲋂 𲋃 𲋄 𲋅 𲋆 𲋇 𲋈 𲋉 𲋊 𲋋 𲋌 𲋍 𲋎 𲋏 𲋐 𲋑 𲋒 𲋓 𲋔 𲋕 𲋖 𲋗 𲋘 𲋙 𲋚 𲋛 𲋜 𲋝 𲋞 𲋟 𲋠 𲋡 𲋢 𲋣 𲋤 𲋥 𲋦 𲋧 𲋨 𲋩 𲋪 𲋫 𲋬 𲋭 𲋮 𲋯 𲋰 𲋱 𲋲 𲋳 𲋴 𲋵 𲋶 𲋷 𲋸 𲋹 𲋺 𲋻 𲋼 𲋽 𲋾 𲋿 𲌀 𲌁 𲌂 𲌃 𲌄 𲌅 𲌆 𲌇 𲌈 𲌉 𲌊 𲌋 𲌌 𲌍 𲌎 𲌏 𲌐 𲌑 𲌒 𲌓 𲌔 𲌕 𲌖 𲌗 𲌘 𲌙 𲌚 𲌛 𲌜 𲌝 𲌞 𲌟 𲌠 𲌡 𲌢 𲌣 𲌤 𲌥 𲌦 𲌧 𲌨 𲌩 𲌪 𲌫 𲌬 𲌭 𲌮 𲌯 𲌰 𲌱 𲌲 𲌳 𲌴 𲌵 𲌶 𲌷 𲌸 𲌹 𲌺 𲌻 𲌼 𲌽 𲌾 𲌿 𲍀 𲍁 𲍂 𲍃 𲍄 𲍅 𲍆 𲍇 𲍈 𲍉 𲍊 𲍋 𲍌 𲍍 𲍎 𲍏 𲍐 𲍑 𲍒 𲍓 𲍔 𲍕 𲍖 𲍗 𲍘 𲍙 𲍚 𲍛 𲍜 𲍝 𲍞 𲍟 𲍠 𲍡 𲍢 𲍣 𲍤 𲍥 𲍦 𲍧 𲍨 𲍩 𲍪 𲍫 𲍬 𲍭 𲍮 𲍯 𲍰 𲍱 𲍲 𲍳 𲍴 𲍵 𲍶 𲍷 𲍸 𲍹 𲍺 𲍻 𲍼 𲍽 𲍾 𲍿 𲎀 𲎁 𲎂 𲎃 𲎄 𲎅 𲎆 𲎇 𲎈 𲎉 𲎊 𲎋 𲎌 𲎍 𲎎 𲎏 𲎐 𲎑 𲎒 𲎓 𲎔 𲎕 𲎖 𲎗 𲎘 𲎙 𲎚 𲎛 𲎜 𲎝 𲎞 𲎟 𲎠 𲎡 𲎢 𲎣 𲎤 𲎥 𲎦 𲎧 𲎨 𲎩 𲎪 𲎫 𲎬 𲎭 𲎮 𲎯</t>
        </is>
      </c>
      <c r="V799" s="14">
        <f>(LEN(O799)+1)/2</f>
        <v/>
      </c>
      <c r="W799" s="14">
        <f>ROUNDDOWN((LEN(P799)+1)/2,0)</f>
        <v/>
      </c>
      <c r="X799" s="14">
        <f>ROUNDDOWN((LEN(Q799)+1)/2,0)</f>
        <v/>
      </c>
      <c r="Y799" s="14">
        <f>ROUNDDOWN((LEN(R799)+1)/2,0)</f>
        <v/>
      </c>
      <c r="Z799" s="14">
        <f>ROUNDDOWN((LEN(S799)+1)/2,0)</f>
        <v/>
      </c>
    </row>
    <row r="800" ht="25.5" customHeight="1">
      <c r="G800" s="14" t="n"/>
      <c r="H800" s="14" t="n"/>
      <c r="I800" s="48" t="n"/>
      <c r="J800" s="19" t="n"/>
      <c r="K800" s="19" t="n"/>
      <c r="L800" s="19" t="n"/>
      <c r="M800" s="19" t="n"/>
      <c r="T800" s="41" t="n"/>
      <c r="U800" s="42" t="n"/>
      <c r="V800" s="14" t="n"/>
      <c r="W800" s="14" t="n"/>
      <c r="X800" s="14" t="n"/>
      <c r="Y800" s="14" t="n"/>
      <c r="Z800" s="14" t="n"/>
    </row>
    <row r="801">
      <c r="Z801" s="9" t="n"/>
    </row>
    <row r="802"/>
    <row r="803"/>
    <row r="804">
      <c r="Z804" s="9" t="n"/>
    </row>
    <row r="805"/>
    <row r="806"/>
    <row r="807"/>
    <row r="808"/>
    <row r="809"/>
    <row r="810"/>
    <row r="811">
      <c r="Z811" s="9" t="n"/>
    </row>
    <row r="812">
      <c r="Z812" s="9" t="n"/>
    </row>
    <row r="813">
      <c r="Z813" s="9" t="n"/>
    </row>
    <row r="814">
      <c r="Z814" s="9" t="n"/>
    </row>
    <row r="815"/>
    <row r="816">
      <c r="Z816" s="9" t="n"/>
    </row>
    <row r="817">
      <c r="Z817" s="9" t="n"/>
    </row>
    <row r="818">
      <c r="Z818" s="9" t="n"/>
    </row>
    <row r="819">
      <c r="Z819" s="9" t="n"/>
    </row>
    <row r="820">
      <c r="Z820" s="9" t="n"/>
    </row>
    <row r="821">
      <c r="Z821" s="9" t="n"/>
    </row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65530" ht="16.5" customHeight="1">
      <c r="A65530" s="46" t="n"/>
      <c r="B65530" s="46" t="n"/>
      <c r="C65530" s="46" t="n"/>
      <c r="D65530" s="54" t="n"/>
      <c r="E65530" s="46" t="n"/>
      <c r="F65530" s="12" t="n"/>
      <c r="G65530" s="12" t="n"/>
      <c r="H65530" s="12" t="n"/>
      <c r="I65530" s="48" t="n"/>
      <c r="J65530" s="18" t="n"/>
      <c r="K65530" s="18" t="n"/>
      <c r="L65530" s="18" t="n"/>
      <c r="M65530" s="18" t="n"/>
      <c r="N65530" s="35" t="n"/>
      <c r="O65530" s="44" t="n"/>
      <c r="P65530" s="37" t="n"/>
      <c r="Q65530" s="38" t="n"/>
      <c r="R65530" s="39" t="n"/>
      <c r="S65530" s="40" t="n"/>
      <c r="T65530" s="41" t="n"/>
      <c r="U65530" s="42" t="n"/>
      <c r="V65530" s="12" t="n"/>
      <c r="W65530" s="12" t="n"/>
      <c r="X65530" s="12" t="n"/>
      <c r="Y65530" s="12" t="n"/>
      <c r="Z65530" s="9" t="n"/>
      <c r="AA65530" s="52" t="n"/>
      <c r="AB65530" s="9" t="n"/>
      <c r="AC65530" s="9" t="n"/>
      <c r="AD65530" s="9" t="n"/>
      <c r="AE65530" s="9" t="n"/>
      <c r="AF65530" s="9" t="n"/>
      <c r="AG65530" s="9" t="n"/>
      <c r="AH65530" s="9" t="n"/>
      <c r="AI65530" s="9" t="n"/>
      <c r="AJ65530" s="9" t="n"/>
      <c r="AK65530" s="9" t="n"/>
      <c r="AL65530" s="9" t="n"/>
      <c r="AM65530" s="9" t="n"/>
      <c r="AN65530" s="9" t="n"/>
      <c r="AO65530" s="9" t="n"/>
      <c r="AP65530" s="9" t="n"/>
      <c r="AQ65530" s="9" t="n"/>
      <c r="AR65530" s="9" t="n"/>
      <c r="AS65530" s="9" t="n"/>
      <c r="AT65530" s="9" t="n"/>
      <c r="AU65530" s="9" t="n"/>
      <c r="AV65530" s="9" t="n"/>
      <c r="AW65530" s="9" t="n"/>
      <c r="AX65530" s="9" t="n"/>
      <c r="AY65530" s="9" t="n"/>
      <c r="AZ65530" s="9" t="n"/>
      <c r="BA65530" s="9" t="n"/>
      <c r="BB65530" s="9" t="n"/>
      <c r="BC65530" s="9" t="n"/>
      <c r="BD65530" s="9" t="n"/>
      <c r="BE65530" s="9" t="n"/>
      <c r="BF65530" s="9" t="n"/>
      <c r="BG65530" s="9" t="n"/>
      <c r="BH65530" s="9" t="n"/>
      <c r="BI65530" s="9" t="n"/>
      <c r="BJ65530" s="9" t="n"/>
      <c r="BK65530" s="9" t="n"/>
      <c r="BL65530" s="9" t="n"/>
      <c r="BM65530" s="9" t="n"/>
      <c r="BN65530" s="9" t="n"/>
      <c r="BO65530" s="9" t="n"/>
      <c r="BP65530" s="9" t="n"/>
      <c r="BQ65530" s="9" t="n"/>
      <c r="BR65530" s="9" t="n"/>
      <c r="BS65530" s="9" t="n"/>
      <c r="BT65530" s="9" t="n"/>
      <c r="BU65530" s="9" t="n"/>
      <c r="BV65530" s="9" t="n"/>
      <c r="BW65530" s="9" t="n"/>
      <c r="BX65530" s="9" t="n"/>
      <c r="BY65530" s="9" t="n"/>
      <c r="BZ65530" s="9" t="n"/>
      <c r="CA65530" s="9" t="n"/>
      <c r="CB65530" s="9" t="n"/>
      <c r="CC65530" s="9" t="n"/>
      <c r="CD65530" s="9" t="n"/>
      <c r="CE65530" s="9" t="n"/>
      <c r="CF65530" s="9" t="n"/>
      <c r="CG65530" s="9" t="n"/>
      <c r="CH65530" s="9" t="n"/>
      <c r="CI65530" s="9" t="n"/>
      <c r="CJ65530" s="9" t="n"/>
      <c r="CK65530" s="9" t="n"/>
      <c r="CL65530" s="9" t="n"/>
      <c r="CM65530" s="9" t="n"/>
      <c r="CN65530" s="9" t="n"/>
      <c r="CO65530" s="9" t="n"/>
      <c r="CP65530" s="9" t="n"/>
      <c r="CQ65530" s="9" t="n"/>
      <c r="CR65530" s="9" t="n"/>
      <c r="CS65530" s="9" t="n"/>
      <c r="CT65530" s="9" t="n"/>
      <c r="CU65530" s="9" t="n"/>
      <c r="CV65530" s="9" t="n"/>
      <c r="CW65530" s="9" t="n"/>
      <c r="CX65530" s="9" t="n"/>
      <c r="CY65530" s="9" t="n"/>
      <c r="CZ65530" s="9" t="n"/>
      <c r="DA65530" s="9" t="n"/>
      <c r="DB65530" s="9" t="n"/>
      <c r="DC65530" s="9" t="n"/>
      <c r="DD65530" s="9" t="n"/>
      <c r="DE65530" s="9" t="n"/>
      <c r="DF65530" s="9" t="n"/>
      <c r="DG65530" s="9" t="n"/>
      <c r="DH65530" s="9" t="n"/>
      <c r="DI65530" s="9" t="n"/>
      <c r="DJ65530" s="9" t="n"/>
      <c r="DK65530" s="9" t="n"/>
      <c r="DL65530" s="9" t="n"/>
      <c r="DM65530" s="9" t="n"/>
      <c r="DN65530" s="9" t="n"/>
      <c r="DO65530" s="9" t="n"/>
      <c r="DP65530" s="9" t="n"/>
      <c r="DQ65530" s="9" t="n"/>
      <c r="DR65530" s="9" t="n"/>
      <c r="DS65530" s="9" t="n"/>
      <c r="DT65530" s="9" t="n"/>
      <c r="DU65530" s="9" t="n"/>
      <c r="DV65530" s="9" t="n"/>
      <c r="DW65530" s="9" t="n"/>
      <c r="DX65530" s="9" t="n"/>
      <c r="DY65530" s="9" t="n"/>
      <c r="DZ65530" s="9" t="n"/>
      <c r="EA65530" s="9" t="n"/>
      <c r="EB65530" s="9" t="n"/>
      <c r="EC65530" s="9" t="n"/>
      <c r="ED65530" s="9" t="n"/>
      <c r="EE65530" s="9" t="n"/>
      <c r="EF65530" s="9" t="n"/>
      <c r="EG65530" s="9" t="n"/>
      <c r="EH65530" s="9" t="n"/>
      <c r="EI65530" s="9" t="n"/>
      <c r="EJ65530" s="9" t="n"/>
      <c r="EK65530" s="9" t="n"/>
      <c r="EL65530" s="9" t="n"/>
      <c r="EM65530" s="9" t="n"/>
      <c r="EN65530" s="9" t="n"/>
      <c r="EO65530" s="9" t="n"/>
      <c r="EP65530" s="9" t="n"/>
      <c r="EQ65530" s="9" t="n"/>
      <c r="ER65530" s="9" t="n"/>
      <c r="ES65530" s="9" t="n"/>
      <c r="ET65530" s="9" t="n"/>
      <c r="EU65530" s="9" t="n"/>
      <c r="EV65530" s="9" t="n"/>
      <c r="EW65530" s="9" t="n"/>
      <c r="EX65530" s="9" t="n"/>
      <c r="EY65530" s="9" t="n"/>
      <c r="EZ65530" s="9" t="n"/>
      <c r="FA65530" s="9" t="n"/>
      <c r="FB65530" s="9" t="n"/>
      <c r="FC65530" s="9" t="n"/>
      <c r="FD65530" s="9" t="n"/>
      <c r="FE65530" s="9" t="n"/>
      <c r="FF65530" s="9" t="n"/>
      <c r="FG65530" s="9" t="n"/>
      <c r="FH65530" s="9" t="n"/>
      <c r="FI65530" s="9" t="n"/>
      <c r="FJ65530" s="9" t="n"/>
      <c r="FK65530" s="9" t="n"/>
      <c r="FL65530" s="9" t="n"/>
      <c r="FM65530" s="9" t="n"/>
      <c r="FN65530" s="9" t="n"/>
      <c r="FO65530" s="9" t="n"/>
      <c r="FP65530" s="9" t="n"/>
      <c r="FQ65530" s="9" t="n"/>
      <c r="FR65530" s="9" t="n"/>
      <c r="FS65530" s="9" t="n"/>
      <c r="FT65530" s="9" t="n"/>
      <c r="FU65530" s="9" t="n"/>
      <c r="FV65530" s="9" t="n"/>
      <c r="FW65530" s="9" t="n"/>
      <c r="FX65530" s="9" t="n"/>
      <c r="FY65530" s="9" t="n"/>
      <c r="FZ65530" s="9" t="n"/>
      <c r="GA65530" s="9" t="n"/>
      <c r="GB65530" s="9" t="n"/>
      <c r="GC65530" s="9" t="n"/>
      <c r="GD65530" s="9" t="n"/>
      <c r="GE65530" s="9" t="n"/>
      <c r="GF65530" s="9" t="n"/>
      <c r="GG65530" s="9" t="n"/>
      <c r="GH65530" s="9" t="n"/>
      <c r="GI65530" s="9" t="n"/>
      <c r="GJ65530" s="9" t="n"/>
      <c r="GK65530" s="9" t="n"/>
      <c r="GL65530" s="9" t="n"/>
      <c r="GM65530" s="9" t="n"/>
      <c r="GN65530" s="9" t="n"/>
      <c r="GO65530" s="9" t="n"/>
      <c r="GP65530" s="9" t="n"/>
      <c r="GQ65530" s="9" t="n"/>
      <c r="GR65530" s="9" t="n"/>
      <c r="GS65530" s="9" t="n"/>
      <c r="GT65530" s="9" t="n"/>
      <c r="GU65530" s="9" t="n"/>
      <c r="GV65530" s="9" t="n"/>
      <c r="GW65530" s="9" t="n"/>
      <c r="GX65530" s="9" t="n"/>
      <c r="GY65530" s="9" t="n"/>
      <c r="GZ65530" s="9" t="n"/>
      <c r="HA65530" s="9" t="n"/>
      <c r="HB65530" s="9" t="n"/>
      <c r="HC65530" s="9" t="n"/>
      <c r="HD65530" s="9" t="n"/>
      <c r="HE65530" s="9" t="n"/>
      <c r="HF65530" s="9" t="n"/>
      <c r="HG65530" s="9" t="n"/>
      <c r="HH65530" s="9" t="n"/>
      <c r="HI65530" s="9" t="n"/>
      <c r="HJ65530" s="9" t="n"/>
      <c r="HK65530" s="9" t="n"/>
      <c r="HL65530" s="9" t="n"/>
      <c r="HM65530" s="9" t="n"/>
      <c r="HN65530" s="9" t="n"/>
      <c r="HO65530" s="9" t="n"/>
      <c r="HP65530" s="9" t="n"/>
      <c r="HQ65530" s="9" t="n"/>
      <c r="HR65530" s="9" t="n"/>
      <c r="HS65530" s="9" t="n"/>
      <c r="HT65530" s="9" t="n"/>
      <c r="HU65530" s="9" t="n"/>
      <c r="HV65530" s="9" t="n"/>
      <c r="HW65530" s="9" t="n"/>
      <c r="HX65530" s="9" t="n"/>
      <c r="HY65530" s="9" t="n"/>
      <c r="HZ65530" s="9" t="n"/>
      <c r="IA65530" s="9" t="n"/>
      <c r="IB65530" s="9" t="n"/>
      <c r="IC65530" s="9" t="n"/>
      <c r="ID65530" s="9" t="n"/>
      <c r="IE65530" s="9" t="n"/>
      <c r="IF65530" s="9" t="n"/>
      <c r="IG65530" s="9" t="n"/>
      <c r="IH65530" s="9" t="n"/>
      <c r="II65530" s="9" t="n"/>
      <c r="IJ65530" s="9" t="n"/>
      <c r="IK65530" s="9" t="n"/>
      <c r="IL65530" s="9" t="n"/>
      <c r="IM65530" s="9" t="n"/>
      <c r="IN65530" s="9" t="n"/>
      <c r="IO65530" s="9" t="n"/>
      <c r="IP65530" s="9" t="n"/>
      <c r="IQ65530" s="9" t="n"/>
      <c r="IR65530" s="9" t="n"/>
      <c r="IS65530" s="9" t="n"/>
      <c r="IT65530" s="9" t="n"/>
      <c r="IU65530" s="9" t="n"/>
    </row>
    <row r="65531" ht="16.5" customHeight="1">
      <c r="A65531" s="46" t="n"/>
      <c r="B65531" s="46" t="n"/>
      <c r="C65531" s="46" t="n"/>
      <c r="D65531" s="54" t="n"/>
      <c r="E65531" s="46" t="n"/>
      <c r="F65531" s="12" t="n"/>
      <c r="G65531" s="12" t="n"/>
      <c r="H65531" s="12" t="n"/>
      <c r="I65531" s="48" t="n"/>
      <c r="J65531" s="18" t="n"/>
      <c r="K65531" s="18" t="n"/>
      <c r="L65531" s="18" t="n"/>
      <c r="M65531" s="18" t="n"/>
      <c r="N65531" s="35" t="n"/>
      <c r="O65531" s="36" t="n"/>
      <c r="P65531" s="37" t="n"/>
      <c r="Q65531" s="38" t="n"/>
      <c r="R65531" s="39" t="n"/>
      <c r="S65531" s="40" t="n"/>
      <c r="T65531" s="41" t="n"/>
      <c r="U65531" s="42" t="n"/>
      <c r="V65531" s="12" t="n"/>
      <c r="W65531" s="12" t="n"/>
      <c r="X65531" s="12" t="n"/>
      <c r="Y65531" s="12" t="n"/>
      <c r="Z65531" s="9" t="n"/>
      <c r="AA65531" s="52" t="n"/>
      <c r="AB65531" s="9" t="n"/>
      <c r="AC65531" s="9" t="n"/>
      <c r="AD65531" s="9" t="n"/>
      <c r="AE65531" s="9" t="n"/>
      <c r="AF65531" s="9" t="n"/>
      <c r="AG65531" s="9" t="n"/>
      <c r="AH65531" s="9" t="n"/>
      <c r="AI65531" s="9" t="n"/>
      <c r="AJ65531" s="9" t="n"/>
      <c r="AK65531" s="9" t="n"/>
      <c r="AL65531" s="9" t="n"/>
      <c r="AM65531" s="9" t="n"/>
      <c r="AN65531" s="9" t="n"/>
      <c r="AO65531" s="9" t="n"/>
      <c r="AP65531" s="9" t="n"/>
      <c r="AQ65531" s="9" t="n"/>
      <c r="AR65531" s="9" t="n"/>
      <c r="AS65531" s="9" t="n"/>
      <c r="AT65531" s="9" t="n"/>
      <c r="AU65531" s="9" t="n"/>
      <c r="AV65531" s="9" t="n"/>
      <c r="AW65531" s="9" t="n"/>
      <c r="AX65531" s="9" t="n"/>
      <c r="AY65531" s="9" t="n"/>
      <c r="AZ65531" s="9" t="n"/>
      <c r="BA65531" s="9" t="n"/>
      <c r="BB65531" s="9" t="n"/>
      <c r="BC65531" s="9" t="n"/>
      <c r="BD65531" s="9" t="n"/>
      <c r="BE65531" s="9" t="n"/>
      <c r="BF65531" s="9" t="n"/>
      <c r="BG65531" s="9" t="n"/>
      <c r="BH65531" s="9" t="n"/>
      <c r="BI65531" s="9" t="n"/>
      <c r="BJ65531" s="9" t="n"/>
      <c r="BK65531" s="9" t="n"/>
      <c r="BL65531" s="9" t="n"/>
      <c r="BM65531" s="9" t="n"/>
      <c r="BN65531" s="9" t="n"/>
      <c r="BO65531" s="9" t="n"/>
      <c r="BP65531" s="9" t="n"/>
      <c r="BQ65531" s="9" t="n"/>
      <c r="BR65531" s="9" t="n"/>
      <c r="BS65531" s="9" t="n"/>
      <c r="BT65531" s="9" t="n"/>
      <c r="BU65531" s="9" t="n"/>
      <c r="BV65531" s="9" t="n"/>
      <c r="BW65531" s="9" t="n"/>
      <c r="BX65531" s="9" t="n"/>
      <c r="BY65531" s="9" t="n"/>
      <c r="BZ65531" s="9" t="n"/>
      <c r="CA65531" s="9" t="n"/>
      <c r="CB65531" s="9" t="n"/>
      <c r="CC65531" s="9" t="n"/>
      <c r="CD65531" s="9" t="n"/>
      <c r="CE65531" s="9" t="n"/>
      <c r="CF65531" s="9" t="n"/>
      <c r="CG65531" s="9" t="n"/>
      <c r="CH65531" s="9" t="n"/>
      <c r="CI65531" s="9" t="n"/>
      <c r="CJ65531" s="9" t="n"/>
      <c r="CK65531" s="9" t="n"/>
      <c r="CL65531" s="9" t="n"/>
      <c r="CM65531" s="9" t="n"/>
      <c r="CN65531" s="9" t="n"/>
      <c r="CO65531" s="9" t="n"/>
      <c r="CP65531" s="9" t="n"/>
      <c r="CQ65531" s="9" t="n"/>
      <c r="CR65531" s="9" t="n"/>
      <c r="CS65531" s="9" t="n"/>
      <c r="CT65531" s="9" t="n"/>
      <c r="CU65531" s="9" t="n"/>
      <c r="CV65531" s="9" t="n"/>
      <c r="CW65531" s="9" t="n"/>
      <c r="CX65531" s="9" t="n"/>
      <c r="CY65531" s="9" t="n"/>
      <c r="CZ65531" s="9" t="n"/>
      <c r="DA65531" s="9" t="n"/>
      <c r="DB65531" s="9" t="n"/>
      <c r="DC65531" s="9" t="n"/>
      <c r="DD65531" s="9" t="n"/>
      <c r="DE65531" s="9" t="n"/>
      <c r="DF65531" s="9" t="n"/>
      <c r="DG65531" s="9" t="n"/>
      <c r="DH65531" s="9" t="n"/>
      <c r="DI65531" s="9" t="n"/>
      <c r="DJ65531" s="9" t="n"/>
      <c r="DK65531" s="9" t="n"/>
      <c r="DL65531" s="9" t="n"/>
      <c r="DM65531" s="9" t="n"/>
      <c r="DN65531" s="9" t="n"/>
      <c r="DO65531" s="9" t="n"/>
      <c r="DP65531" s="9" t="n"/>
      <c r="DQ65531" s="9" t="n"/>
      <c r="DR65531" s="9" t="n"/>
      <c r="DS65531" s="9" t="n"/>
      <c r="DT65531" s="9" t="n"/>
      <c r="DU65531" s="9" t="n"/>
      <c r="DV65531" s="9" t="n"/>
      <c r="DW65531" s="9" t="n"/>
      <c r="DX65531" s="9" t="n"/>
      <c r="DY65531" s="9" t="n"/>
      <c r="DZ65531" s="9" t="n"/>
      <c r="EA65531" s="9" t="n"/>
      <c r="EB65531" s="9" t="n"/>
      <c r="EC65531" s="9" t="n"/>
      <c r="ED65531" s="9" t="n"/>
      <c r="EE65531" s="9" t="n"/>
      <c r="EF65531" s="9" t="n"/>
      <c r="EG65531" s="9" t="n"/>
      <c r="EH65531" s="9" t="n"/>
      <c r="EI65531" s="9" t="n"/>
      <c r="EJ65531" s="9" t="n"/>
      <c r="EK65531" s="9" t="n"/>
      <c r="EL65531" s="9" t="n"/>
      <c r="EM65531" s="9" t="n"/>
      <c r="EN65531" s="9" t="n"/>
      <c r="EO65531" s="9" t="n"/>
      <c r="EP65531" s="9" t="n"/>
      <c r="EQ65531" s="9" t="n"/>
      <c r="ER65531" s="9" t="n"/>
      <c r="ES65531" s="9" t="n"/>
      <c r="ET65531" s="9" t="n"/>
      <c r="EU65531" s="9" t="n"/>
      <c r="EV65531" s="9" t="n"/>
      <c r="EW65531" s="9" t="n"/>
      <c r="EX65531" s="9" t="n"/>
      <c r="EY65531" s="9" t="n"/>
      <c r="EZ65531" s="9" t="n"/>
      <c r="FA65531" s="9" t="n"/>
      <c r="FB65531" s="9" t="n"/>
      <c r="FC65531" s="9" t="n"/>
      <c r="FD65531" s="9" t="n"/>
      <c r="FE65531" s="9" t="n"/>
      <c r="FF65531" s="9" t="n"/>
      <c r="FG65531" s="9" t="n"/>
      <c r="FH65531" s="9" t="n"/>
      <c r="FI65531" s="9" t="n"/>
      <c r="FJ65531" s="9" t="n"/>
      <c r="FK65531" s="9" t="n"/>
      <c r="FL65531" s="9" t="n"/>
      <c r="FM65531" s="9" t="n"/>
      <c r="FN65531" s="9" t="n"/>
      <c r="FO65531" s="9" t="n"/>
      <c r="FP65531" s="9" t="n"/>
      <c r="FQ65531" s="9" t="n"/>
      <c r="FR65531" s="9" t="n"/>
      <c r="FS65531" s="9" t="n"/>
      <c r="FT65531" s="9" t="n"/>
      <c r="FU65531" s="9" t="n"/>
      <c r="FV65531" s="9" t="n"/>
      <c r="FW65531" s="9" t="n"/>
      <c r="FX65531" s="9" t="n"/>
      <c r="FY65531" s="9" t="n"/>
      <c r="FZ65531" s="9" t="n"/>
      <c r="GA65531" s="9" t="n"/>
      <c r="GB65531" s="9" t="n"/>
      <c r="GC65531" s="9" t="n"/>
      <c r="GD65531" s="9" t="n"/>
      <c r="GE65531" s="9" t="n"/>
      <c r="GF65531" s="9" t="n"/>
      <c r="GG65531" s="9" t="n"/>
      <c r="GH65531" s="9" t="n"/>
      <c r="GI65531" s="9" t="n"/>
      <c r="GJ65531" s="9" t="n"/>
      <c r="GK65531" s="9" t="n"/>
      <c r="GL65531" s="9" t="n"/>
      <c r="GM65531" s="9" t="n"/>
      <c r="GN65531" s="9" t="n"/>
      <c r="GO65531" s="9" t="n"/>
      <c r="GP65531" s="9" t="n"/>
      <c r="GQ65531" s="9" t="n"/>
      <c r="GR65531" s="9" t="n"/>
      <c r="GS65531" s="9" t="n"/>
      <c r="GT65531" s="9" t="n"/>
      <c r="GU65531" s="9" t="n"/>
      <c r="GV65531" s="9" t="n"/>
      <c r="GW65531" s="9" t="n"/>
      <c r="GX65531" s="9" t="n"/>
      <c r="GY65531" s="9" t="n"/>
      <c r="GZ65531" s="9" t="n"/>
      <c r="HA65531" s="9" t="n"/>
      <c r="HB65531" s="9" t="n"/>
      <c r="HC65531" s="9" t="n"/>
      <c r="HD65531" s="9" t="n"/>
      <c r="HE65531" s="9" t="n"/>
      <c r="HF65531" s="9" t="n"/>
      <c r="HG65531" s="9" t="n"/>
      <c r="HH65531" s="9" t="n"/>
      <c r="HI65531" s="9" t="n"/>
      <c r="HJ65531" s="9" t="n"/>
      <c r="HK65531" s="9" t="n"/>
      <c r="HL65531" s="9" t="n"/>
      <c r="HM65531" s="9" t="n"/>
      <c r="HN65531" s="9" t="n"/>
      <c r="HO65531" s="9" t="n"/>
      <c r="HP65531" s="9" t="n"/>
      <c r="HQ65531" s="9" t="n"/>
      <c r="HR65531" s="9" t="n"/>
      <c r="HS65531" s="9" t="n"/>
      <c r="HT65531" s="9" t="n"/>
      <c r="HU65531" s="9" t="n"/>
      <c r="HV65531" s="9" t="n"/>
      <c r="HW65531" s="9" t="n"/>
      <c r="HX65531" s="9" t="n"/>
      <c r="HY65531" s="9" t="n"/>
      <c r="HZ65531" s="9" t="n"/>
      <c r="IA65531" s="9" t="n"/>
      <c r="IB65531" s="9" t="n"/>
      <c r="IC65531" s="9" t="n"/>
      <c r="ID65531" s="9" t="n"/>
      <c r="IE65531" s="9" t="n"/>
      <c r="IF65531" s="9" t="n"/>
      <c r="IG65531" s="9" t="n"/>
      <c r="IH65531" s="9" t="n"/>
      <c r="II65531" s="9" t="n"/>
      <c r="IJ65531" s="9" t="n"/>
      <c r="IK65531" s="9" t="n"/>
      <c r="IL65531" s="9" t="n"/>
      <c r="IM65531" s="9" t="n"/>
      <c r="IN65531" s="9" t="n"/>
      <c r="IO65531" s="9" t="n"/>
      <c r="IP65531" s="9" t="n"/>
      <c r="IQ65531" s="9" t="n"/>
      <c r="IR65531" s="9" t="n"/>
      <c r="IS65531" s="9" t="n"/>
      <c r="IT65531" s="9" t="n"/>
      <c r="IU65531" s="9" t="n"/>
    </row>
    <row r="65532" ht="16.5" customHeight="1">
      <c r="A65532" s="46" t="n"/>
      <c r="B65532" s="46" t="n"/>
      <c r="C65532" s="46" t="n"/>
      <c r="D65532" s="54" t="n"/>
      <c r="E65532" s="46" t="n"/>
      <c r="F65532" s="12" t="n"/>
      <c r="G65532" s="12" t="n"/>
      <c r="H65532" s="12" t="n"/>
      <c r="I65532" s="48" t="n"/>
      <c r="J65532" s="18" t="n"/>
      <c r="K65532" s="18" t="n"/>
      <c r="L65532" s="18" t="n"/>
      <c r="M65532" s="18" t="n"/>
      <c r="N65532" s="35" t="n"/>
      <c r="O65532" s="36" t="n"/>
      <c r="P65532" s="37" t="n"/>
      <c r="Q65532" s="38" t="n"/>
      <c r="R65532" s="39" t="n"/>
      <c r="S65532" s="40" t="n"/>
      <c r="T65532" s="41" t="n"/>
      <c r="U65532" s="42" t="n"/>
      <c r="V65532" s="12" t="n"/>
      <c r="W65532" s="12" t="n"/>
      <c r="X65532" s="12" t="n"/>
      <c r="Y65532" s="12" t="n"/>
      <c r="Z65532" s="9" t="n"/>
      <c r="AA65532" s="52" t="n"/>
      <c r="AB65532" s="9" t="n"/>
      <c r="AC65532" s="9" t="n"/>
      <c r="AD65532" s="9" t="n"/>
      <c r="AE65532" s="9" t="n"/>
      <c r="AF65532" s="9" t="n"/>
      <c r="AG65532" s="9" t="n"/>
      <c r="AH65532" s="9" t="n"/>
      <c r="AI65532" s="9" t="n"/>
      <c r="AJ65532" s="9" t="n"/>
      <c r="AK65532" s="9" t="n"/>
      <c r="AL65532" s="9" t="n"/>
      <c r="AM65532" s="9" t="n"/>
      <c r="AN65532" s="9" t="n"/>
      <c r="AO65532" s="9" t="n"/>
      <c r="AP65532" s="9" t="n"/>
      <c r="AQ65532" s="9" t="n"/>
      <c r="AR65532" s="9" t="n"/>
      <c r="AS65532" s="9" t="n"/>
      <c r="AT65532" s="9" t="n"/>
      <c r="AU65532" s="9" t="n"/>
      <c r="AV65532" s="9" t="n"/>
      <c r="AW65532" s="9" t="n"/>
      <c r="AX65532" s="9" t="n"/>
      <c r="AY65532" s="9" t="n"/>
      <c r="AZ65532" s="9" t="n"/>
      <c r="BA65532" s="9" t="n"/>
      <c r="BB65532" s="9" t="n"/>
      <c r="BC65532" s="9" t="n"/>
      <c r="BD65532" s="9" t="n"/>
      <c r="BE65532" s="9" t="n"/>
      <c r="BF65532" s="9" t="n"/>
      <c r="BG65532" s="9" t="n"/>
      <c r="BH65532" s="9" t="n"/>
      <c r="BI65532" s="9" t="n"/>
      <c r="BJ65532" s="9" t="n"/>
      <c r="BK65532" s="9" t="n"/>
      <c r="BL65532" s="9" t="n"/>
      <c r="BM65532" s="9" t="n"/>
      <c r="BN65532" s="9" t="n"/>
      <c r="BO65532" s="9" t="n"/>
      <c r="BP65532" s="9" t="n"/>
      <c r="BQ65532" s="9" t="n"/>
      <c r="BR65532" s="9" t="n"/>
      <c r="BS65532" s="9" t="n"/>
      <c r="BT65532" s="9" t="n"/>
      <c r="BU65532" s="9" t="n"/>
      <c r="BV65532" s="9" t="n"/>
      <c r="BW65532" s="9" t="n"/>
      <c r="BX65532" s="9" t="n"/>
      <c r="BY65532" s="9" t="n"/>
      <c r="BZ65532" s="9" t="n"/>
      <c r="CA65532" s="9" t="n"/>
      <c r="CB65532" s="9" t="n"/>
      <c r="CC65532" s="9" t="n"/>
      <c r="CD65532" s="9" t="n"/>
      <c r="CE65532" s="9" t="n"/>
      <c r="CF65532" s="9" t="n"/>
      <c r="CG65532" s="9" t="n"/>
      <c r="CH65532" s="9" t="n"/>
      <c r="CI65532" s="9" t="n"/>
      <c r="CJ65532" s="9" t="n"/>
      <c r="CK65532" s="9" t="n"/>
      <c r="CL65532" s="9" t="n"/>
      <c r="CM65532" s="9" t="n"/>
      <c r="CN65532" s="9" t="n"/>
      <c r="CO65532" s="9" t="n"/>
      <c r="CP65532" s="9" t="n"/>
      <c r="CQ65532" s="9" t="n"/>
      <c r="CR65532" s="9" t="n"/>
      <c r="CS65532" s="9" t="n"/>
      <c r="CT65532" s="9" t="n"/>
      <c r="CU65532" s="9" t="n"/>
      <c r="CV65532" s="9" t="n"/>
      <c r="CW65532" s="9" t="n"/>
      <c r="CX65532" s="9" t="n"/>
      <c r="CY65532" s="9" t="n"/>
      <c r="CZ65532" s="9" t="n"/>
      <c r="DA65532" s="9" t="n"/>
      <c r="DB65532" s="9" t="n"/>
      <c r="DC65532" s="9" t="n"/>
      <c r="DD65532" s="9" t="n"/>
      <c r="DE65532" s="9" t="n"/>
      <c r="DF65532" s="9" t="n"/>
      <c r="DG65532" s="9" t="n"/>
      <c r="DH65532" s="9" t="n"/>
      <c r="DI65532" s="9" t="n"/>
      <c r="DJ65532" s="9" t="n"/>
      <c r="DK65532" s="9" t="n"/>
      <c r="DL65532" s="9" t="n"/>
      <c r="DM65532" s="9" t="n"/>
      <c r="DN65532" s="9" t="n"/>
      <c r="DO65532" s="9" t="n"/>
      <c r="DP65532" s="9" t="n"/>
      <c r="DQ65532" s="9" t="n"/>
      <c r="DR65532" s="9" t="n"/>
      <c r="DS65532" s="9" t="n"/>
      <c r="DT65532" s="9" t="n"/>
      <c r="DU65532" s="9" t="n"/>
      <c r="DV65532" s="9" t="n"/>
      <c r="DW65532" s="9" t="n"/>
      <c r="DX65532" s="9" t="n"/>
      <c r="DY65532" s="9" t="n"/>
      <c r="DZ65532" s="9" t="n"/>
      <c r="EA65532" s="9" t="n"/>
      <c r="EB65532" s="9" t="n"/>
      <c r="EC65532" s="9" t="n"/>
      <c r="ED65532" s="9" t="n"/>
      <c r="EE65532" s="9" t="n"/>
      <c r="EF65532" s="9" t="n"/>
      <c r="EG65532" s="9" t="n"/>
      <c r="EH65532" s="9" t="n"/>
      <c r="EI65532" s="9" t="n"/>
      <c r="EJ65532" s="9" t="n"/>
      <c r="EK65532" s="9" t="n"/>
      <c r="EL65532" s="9" t="n"/>
      <c r="EM65532" s="9" t="n"/>
      <c r="EN65532" s="9" t="n"/>
      <c r="EO65532" s="9" t="n"/>
      <c r="EP65532" s="9" t="n"/>
      <c r="EQ65532" s="9" t="n"/>
      <c r="ER65532" s="9" t="n"/>
      <c r="ES65532" s="9" t="n"/>
      <c r="ET65532" s="9" t="n"/>
      <c r="EU65532" s="9" t="n"/>
      <c r="EV65532" s="9" t="n"/>
      <c r="EW65532" s="9" t="n"/>
      <c r="EX65532" s="9" t="n"/>
      <c r="EY65532" s="9" t="n"/>
      <c r="EZ65532" s="9" t="n"/>
      <c r="FA65532" s="9" t="n"/>
      <c r="FB65532" s="9" t="n"/>
      <c r="FC65532" s="9" t="n"/>
      <c r="FD65532" s="9" t="n"/>
      <c r="FE65532" s="9" t="n"/>
      <c r="FF65532" s="9" t="n"/>
      <c r="FG65532" s="9" t="n"/>
      <c r="FH65532" s="9" t="n"/>
      <c r="FI65532" s="9" t="n"/>
      <c r="FJ65532" s="9" t="n"/>
      <c r="FK65532" s="9" t="n"/>
      <c r="FL65532" s="9" t="n"/>
      <c r="FM65532" s="9" t="n"/>
      <c r="FN65532" s="9" t="n"/>
      <c r="FO65532" s="9" t="n"/>
      <c r="FP65532" s="9" t="n"/>
      <c r="FQ65532" s="9" t="n"/>
      <c r="FR65532" s="9" t="n"/>
      <c r="FS65532" s="9" t="n"/>
      <c r="FT65532" s="9" t="n"/>
      <c r="FU65532" s="9" t="n"/>
      <c r="FV65532" s="9" t="n"/>
      <c r="FW65532" s="9" t="n"/>
      <c r="FX65532" s="9" t="n"/>
      <c r="FY65532" s="9" t="n"/>
      <c r="FZ65532" s="9" t="n"/>
      <c r="GA65532" s="9" t="n"/>
      <c r="GB65532" s="9" t="n"/>
      <c r="GC65532" s="9" t="n"/>
      <c r="GD65532" s="9" t="n"/>
      <c r="GE65532" s="9" t="n"/>
      <c r="GF65532" s="9" t="n"/>
      <c r="GG65532" s="9" t="n"/>
      <c r="GH65532" s="9" t="n"/>
      <c r="GI65532" s="9" t="n"/>
      <c r="GJ65532" s="9" t="n"/>
      <c r="GK65532" s="9" t="n"/>
      <c r="GL65532" s="9" t="n"/>
      <c r="GM65532" s="9" t="n"/>
      <c r="GN65532" s="9" t="n"/>
      <c r="GO65532" s="9" t="n"/>
      <c r="GP65532" s="9" t="n"/>
      <c r="GQ65532" s="9" t="n"/>
      <c r="GR65532" s="9" t="n"/>
      <c r="GS65532" s="9" t="n"/>
      <c r="GT65532" s="9" t="n"/>
      <c r="GU65532" s="9" t="n"/>
      <c r="GV65532" s="9" t="n"/>
      <c r="GW65532" s="9" t="n"/>
      <c r="GX65532" s="9" t="n"/>
      <c r="GY65532" s="9" t="n"/>
      <c r="GZ65532" s="9" t="n"/>
      <c r="HA65532" s="9" t="n"/>
      <c r="HB65532" s="9" t="n"/>
      <c r="HC65532" s="9" t="n"/>
      <c r="HD65532" s="9" t="n"/>
      <c r="HE65532" s="9" t="n"/>
      <c r="HF65532" s="9" t="n"/>
      <c r="HG65532" s="9" t="n"/>
      <c r="HH65532" s="9" t="n"/>
      <c r="HI65532" s="9" t="n"/>
      <c r="HJ65532" s="9" t="n"/>
      <c r="HK65532" s="9" t="n"/>
      <c r="HL65532" s="9" t="n"/>
      <c r="HM65532" s="9" t="n"/>
      <c r="HN65532" s="9" t="n"/>
      <c r="HO65532" s="9" t="n"/>
      <c r="HP65532" s="9" t="n"/>
      <c r="HQ65532" s="9" t="n"/>
      <c r="HR65532" s="9" t="n"/>
      <c r="HS65532" s="9" t="n"/>
      <c r="HT65532" s="9" t="n"/>
      <c r="HU65532" s="9" t="n"/>
      <c r="HV65532" s="9" t="n"/>
      <c r="HW65532" s="9" t="n"/>
      <c r="HX65532" s="9" t="n"/>
      <c r="HY65532" s="9" t="n"/>
      <c r="HZ65532" s="9" t="n"/>
      <c r="IA65532" s="9" t="n"/>
      <c r="IB65532" s="9" t="n"/>
      <c r="IC65532" s="9" t="n"/>
      <c r="ID65532" s="9" t="n"/>
      <c r="IE65532" s="9" t="n"/>
      <c r="IF65532" s="9" t="n"/>
      <c r="IG65532" s="9" t="n"/>
      <c r="IH65532" s="9" t="n"/>
      <c r="II65532" s="9" t="n"/>
      <c r="IJ65532" s="9" t="n"/>
      <c r="IK65532" s="9" t="n"/>
      <c r="IL65532" s="9" t="n"/>
      <c r="IM65532" s="9" t="n"/>
      <c r="IN65532" s="9" t="n"/>
      <c r="IO65532" s="9" t="n"/>
      <c r="IP65532" s="9" t="n"/>
      <c r="IQ65532" s="9" t="n"/>
      <c r="IR65532" s="9" t="n"/>
      <c r="IS65532" s="9" t="n"/>
      <c r="IT65532" s="9" t="n"/>
      <c r="IU65532" s="9" t="n"/>
    </row>
    <row r="65533" ht="16.5" customHeight="1">
      <c r="A65533" s="46" t="n"/>
      <c r="B65533" s="46" t="n"/>
      <c r="C65533" s="46" t="n"/>
      <c r="D65533" s="54" t="n"/>
      <c r="E65533" s="46" t="n"/>
      <c r="F65533" s="12" t="n"/>
      <c r="G65533" s="12" t="n"/>
      <c r="H65533" s="12" t="n"/>
      <c r="I65533" s="48" t="n"/>
      <c r="J65533" s="18" t="n"/>
      <c r="K65533" s="18" t="n"/>
      <c r="L65533" s="18" t="n"/>
      <c r="M65533" s="18" t="n"/>
      <c r="N65533" s="35" t="n"/>
      <c r="O65533" s="36" t="n"/>
      <c r="P65533" s="37" t="n"/>
      <c r="Q65533" s="38" t="n"/>
      <c r="R65533" s="39" t="n"/>
      <c r="S65533" s="40" t="n"/>
      <c r="T65533" s="41" t="n"/>
      <c r="U65533" s="42" t="n"/>
      <c r="V65533" s="12" t="n"/>
      <c r="W65533" s="12" t="n"/>
      <c r="X65533" s="12" t="n"/>
      <c r="Y65533" s="12" t="n"/>
      <c r="Z65533" s="9" t="n"/>
      <c r="AA65533" s="52" t="n"/>
      <c r="AB65533" s="9" t="n"/>
      <c r="AC65533" s="9" t="n"/>
      <c r="AD65533" s="9" t="n"/>
      <c r="AE65533" s="9" t="n"/>
      <c r="AF65533" s="9" t="n"/>
      <c r="AG65533" s="9" t="n"/>
      <c r="AH65533" s="9" t="n"/>
      <c r="AI65533" s="9" t="n"/>
      <c r="AJ65533" s="9" t="n"/>
      <c r="AK65533" s="9" t="n"/>
      <c r="AL65533" s="9" t="n"/>
      <c r="AM65533" s="9" t="n"/>
      <c r="AN65533" s="9" t="n"/>
      <c r="AO65533" s="9" t="n"/>
      <c r="AP65533" s="9" t="n"/>
      <c r="AQ65533" s="9" t="n"/>
      <c r="AR65533" s="9" t="n"/>
      <c r="AS65533" s="9" t="n"/>
      <c r="AT65533" s="9" t="n"/>
      <c r="AU65533" s="9" t="n"/>
      <c r="AV65533" s="9" t="n"/>
      <c r="AW65533" s="9" t="n"/>
      <c r="AX65533" s="9" t="n"/>
      <c r="AY65533" s="9" t="n"/>
      <c r="AZ65533" s="9" t="n"/>
      <c r="BA65533" s="9" t="n"/>
      <c r="BB65533" s="9" t="n"/>
      <c r="BC65533" s="9" t="n"/>
      <c r="BD65533" s="9" t="n"/>
      <c r="BE65533" s="9" t="n"/>
      <c r="BF65533" s="9" t="n"/>
      <c r="BG65533" s="9" t="n"/>
      <c r="BH65533" s="9" t="n"/>
      <c r="BI65533" s="9" t="n"/>
      <c r="BJ65533" s="9" t="n"/>
      <c r="BK65533" s="9" t="n"/>
      <c r="BL65533" s="9" t="n"/>
      <c r="BM65533" s="9" t="n"/>
      <c r="BN65533" s="9" t="n"/>
      <c r="BO65533" s="9" t="n"/>
      <c r="BP65533" s="9" t="n"/>
      <c r="BQ65533" s="9" t="n"/>
      <c r="BR65533" s="9" t="n"/>
      <c r="BS65533" s="9" t="n"/>
      <c r="BT65533" s="9" t="n"/>
      <c r="BU65533" s="9" t="n"/>
      <c r="BV65533" s="9" t="n"/>
      <c r="BW65533" s="9" t="n"/>
      <c r="BX65533" s="9" t="n"/>
      <c r="BY65533" s="9" t="n"/>
      <c r="BZ65533" s="9" t="n"/>
      <c r="CA65533" s="9" t="n"/>
      <c r="CB65533" s="9" t="n"/>
      <c r="CC65533" s="9" t="n"/>
      <c r="CD65533" s="9" t="n"/>
      <c r="CE65533" s="9" t="n"/>
      <c r="CF65533" s="9" t="n"/>
      <c r="CG65533" s="9" t="n"/>
      <c r="CH65533" s="9" t="n"/>
      <c r="CI65533" s="9" t="n"/>
      <c r="CJ65533" s="9" t="n"/>
      <c r="CK65533" s="9" t="n"/>
      <c r="CL65533" s="9" t="n"/>
      <c r="CM65533" s="9" t="n"/>
      <c r="CN65533" s="9" t="n"/>
      <c r="CO65533" s="9" t="n"/>
      <c r="CP65533" s="9" t="n"/>
      <c r="CQ65533" s="9" t="n"/>
      <c r="CR65533" s="9" t="n"/>
      <c r="CS65533" s="9" t="n"/>
      <c r="CT65533" s="9" t="n"/>
      <c r="CU65533" s="9" t="n"/>
      <c r="CV65533" s="9" t="n"/>
      <c r="CW65533" s="9" t="n"/>
      <c r="CX65533" s="9" t="n"/>
      <c r="CY65533" s="9" t="n"/>
      <c r="CZ65533" s="9" t="n"/>
      <c r="DA65533" s="9" t="n"/>
      <c r="DB65533" s="9" t="n"/>
      <c r="DC65533" s="9" t="n"/>
      <c r="DD65533" s="9" t="n"/>
      <c r="DE65533" s="9" t="n"/>
      <c r="DF65533" s="9" t="n"/>
      <c r="DG65533" s="9" t="n"/>
      <c r="DH65533" s="9" t="n"/>
      <c r="DI65533" s="9" t="n"/>
      <c r="DJ65533" s="9" t="n"/>
      <c r="DK65533" s="9" t="n"/>
      <c r="DL65533" s="9" t="n"/>
      <c r="DM65533" s="9" t="n"/>
      <c r="DN65533" s="9" t="n"/>
      <c r="DO65533" s="9" t="n"/>
      <c r="DP65533" s="9" t="n"/>
      <c r="DQ65533" s="9" t="n"/>
      <c r="DR65533" s="9" t="n"/>
      <c r="DS65533" s="9" t="n"/>
      <c r="DT65533" s="9" t="n"/>
      <c r="DU65533" s="9" t="n"/>
      <c r="DV65533" s="9" t="n"/>
      <c r="DW65533" s="9" t="n"/>
      <c r="DX65533" s="9" t="n"/>
      <c r="DY65533" s="9" t="n"/>
      <c r="DZ65533" s="9" t="n"/>
      <c r="EA65533" s="9" t="n"/>
      <c r="EB65533" s="9" t="n"/>
      <c r="EC65533" s="9" t="n"/>
      <c r="ED65533" s="9" t="n"/>
      <c r="EE65533" s="9" t="n"/>
      <c r="EF65533" s="9" t="n"/>
      <c r="EG65533" s="9" t="n"/>
      <c r="EH65533" s="9" t="n"/>
      <c r="EI65533" s="9" t="n"/>
      <c r="EJ65533" s="9" t="n"/>
      <c r="EK65533" s="9" t="n"/>
      <c r="EL65533" s="9" t="n"/>
      <c r="EM65533" s="9" t="n"/>
      <c r="EN65533" s="9" t="n"/>
      <c r="EO65533" s="9" t="n"/>
      <c r="EP65533" s="9" t="n"/>
      <c r="EQ65533" s="9" t="n"/>
      <c r="ER65533" s="9" t="n"/>
      <c r="ES65533" s="9" t="n"/>
      <c r="ET65533" s="9" t="n"/>
      <c r="EU65533" s="9" t="n"/>
      <c r="EV65533" s="9" t="n"/>
      <c r="EW65533" s="9" t="n"/>
      <c r="EX65533" s="9" t="n"/>
      <c r="EY65533" s="9" t="n"/>
      <c r="EZ65533" s="9" t="n"/>
      <c r="FA65533" s="9" t="n"/>
      <c r="FB65533" s="9" t="n"/>
      <c r="FC65533" s="9" t="n"/>
      <c r="FD65533" s="9" t="n"/>
      <c r="FE65533" s="9" t="n"/>
      <c r="FF65533" s="9" t="n"/>
      <c r="FG65533" s="9" t="n"/>
      <c r="FH65533" s="9" t="n"/>
      <c r="FI65533" s="9" t="n"/>
      <c r="FJ65533" s="9" t="n"/>
      <c r="FK65533" s="9" t="n"/>
      <c r="FL65533" s="9" t="n"/>
      <c r="FM65533" s="9" t="n"/>
      <c r="FN65533" s="9" t="n"/>
      <c r="FO65533" s="9" t="n"/>
      <c r="FP65533" s="9" t="n"/>
      <c r="FQ65533" s="9" t="n"/>
      <c r="FR65533" s="9" t="n"/>
      <c r="FS65533" s="9" t="n"/>
      <c r="FT65533" s="9" t="n"/>
      <c r="FU65533" s="9" t="n"/>
      <c r="FV65533" s="9" t="n"/>
      <c r="FW65533" s="9" t="n"/>
      <c r="FX65533" s="9" t="n"/>
      <c r="FY65533" s="9" t="n"/>
      <c r="FZ65533" s="9" t="n"/>
      <c r="GA65533" s="9" t="n"/>
      <c r="GB65533" s="9" t="n"/>
      <c r="GC65533" s="9" t="n"/>
      <c r="GD65533" s="9" t="n"/>
      <c r="GE65533" s="9" t="n"/>
      <c r="GF65533" s="9" t="n"/>
      <c r="GG65533" s="9" t="n"/>
      <c r="GH65533" s="9" t="n"/>
      <c r="GI65533" s="9" t="n"/>
      <c r="GJ65533" s="9" t="n"/>
      <c r="GK65533" s="9" t="n"/>
      <c r="GL65533" s="9" t="n"/>
      <c r="GM65533" s="9" t="n"/>
      <c r="GN65533" s="9" t="n"/>
      <c r="GO65533" s="9" t="n"/>
      <c r="GP65533" s="9" t="n"/>
      <c r="GQ65533" s="9" t="n"/>
      <c r="GR65533" s="9" t="n"/>
      <c r="GS65533" s="9" t="n"/>
      <c r="GT65533" s="9" t="n"/>
      <c r="GU65533" s="9" t="n"/>
      <c r="GV65533" s="9" t="n"/>
      <c r="GW65533" s="9" t="n"/>
      <c r="GX65533" s="9" t="n"/>
      <c r="GY65533" s="9" t="n"/>
      <c r="GZ65533" s="9" t="n"/>
      <c r="HA65533" s="9" t="n"/>
      <c r="HB65533" s="9" t="n"/>
      <c r="HC65533" s="9" t="n"/>
      <c r="HD65533" s="9" t="n"/>
      <c r="HE65533" s="9" t="n"/>
      <c r="HF65533" s="9" t="n"/>
      <c r="HG65533" s="9" t="n"/>
      <c r="HH65533" s="9" t="n"/>
      <c r="HI65533" s="9" t="n"/>
      <c r="HJ65533" s="9" t="n"/>
      <c r="HK65533" s="9" t="n"/>
      <c r="HL65533" s="9" t="n"/>
      <c r="HM65533" s="9" t="n"/>
      <c r="HN65533" s="9" t="n"/>
      <c r="HO65533" s="9" t="n"/>
      <c r="HP65533" s="9" t="n"/>
      <c r="HQ65533" s="9" t="n"/>
      <c r="HR65533" s="9" t="n"/>
      <c r="HS65533" s="9" t="n"/>
      <c r="HT65533" s="9" t="n"/>
      <c r="HU65533" s="9" t="n"/>
      <c r="HV65533" s="9" t="n"/>
      <c r="HW65533" s="9" t="n"/>
      <c r="HX65533" s="9" t="n"/>
      <c r="HY65533" s="9" t="n"/>
      <c r="HZ65533" s="9" t="n"/>
      <c r="IA65533" s="9" t="n"/>
      <c r="IB65533" s="9" t="n"/>
      <c r="IC65533" s="9" t="n"/>
      <c r="ID65533" s="9" t="n"/>
      <c r="IE65533" s="9" t="n"/>
      <c r="IF65533" s="9" t="n"/>
      <c r="IG65533" s="9" t="n"/>
      <c r="IH65533" s="9" t="n"/>
      <c r="II65533" s="9" t="n"/>
      <c r="IJ65533" s="9" t="n"/>
      <c r="IK65533" s="9" t="n"/>
      <c r="IL65533" s="9" t="n"/>
      <c r="IM65533" s="9" t="n"/>
      <c r="IN65533" s="9" t="n"/>
      <c r="IO65533" s="9" t="n"/>
      <c r="IP65533" s="9" t="n"/>
      <c r="IQ65533" s="9" t="n"/>
      <c r="IR65533" s="9" t="n"/>
      <c r="IS65533" s="9" t="n"/>
      <c r="IT65533" s="9" t="n"/>
      <c r="IU65533" s="9" t="n"/>
    </row>
    <row r="65534" ht="16.5" customHeight="1">
      <c r="A65534" s="46" t="n"/>
      <c r="B65534" s="46" t="n"/>
      <c r="C65534" s="46" t="n"/>
      <c r="D65534" s="54" t="n"/>
      <c r="E65534" s="46" t="n"/>
      <c r="F65534" s="12" t="n"/>
      <c r="G65534" s="12" t="n"/>
      <c r="H65534" s="12" t="n"/>
      <c r="I65534" s="48" t="n"/>
      <c r="J65534" s="18" t="n"/>
      <c r="K65534" s="18" t="n"/>
      <c r="L65534" s="18" t="n"/>
      <c r="M65534" s="18" t="n"/>
      <c r="N65534" s="35" t="n"/>
      <c r="O65534" s="36" t="n"/>
      <c r="P65534" s="37" t="n"/>
      <c r="Q65534" s="38" t="n"/>
      <c r="R65534" s="39" t="n"/>
      <c r="S65534" s="40" t="n"/>
      <c r="T65534" s="41" t="n"/>
      <c r="U65534" s="42" t="n"/>
      <c r="V65534" s="12" t="n"/>
      <c r="W65534" s="12" t="n"/>
      <c r="X65534" s="12" t="n"/>
      <c r="Y65534" s="12" t="n"/>
      <c r="Z65534" s="9" t="n"/>
      <c r="AA65534" s="52" t="n"/>
      <c r="AB65534" s="9" t="n"/>
      <c r="AC65534" s="9" t="n"/>
      <c r="AD65534" s="9" t="n"/>
      <c r="AE65534" s="9" t="n"/>
      <c r="AF65534" s="9" t="n"/>
      <c r="AG65534" s="9" t="n"/>
      <c r="AH65534" s="9" t="n"/>
      <c r="AI65534" s="9" t="n"/>
      <c r="AJ65534" s="9" t="n"/>
      <c r="AK65534" s="9" t="n"/>
      <c r="AL65534" s="9" t="n"/>
      <c r="AM65534" s="9" t="n"/>
      <c r="AN65534" s="9" t="n"/>
      <c r="AO65534" s="9" t="n"/>
      <c r="AP65534" s="9" t="n"/>
      <c r="AQ65534" s="9" t="n"/>
      <c r="AR65534" s="9" t="n"/>
      <c r="AS65534" s="9" t="n"/>
      <c r="AT65534" s="9" t="n"/>
      <c r="AU65534" s="9" t="n"/>
      <c r="AV65534" s="9" t="n"/>
      <c r="AW65534" s="9" t="n"/>
      <c r="AX65534" s="9" t="n"/>
      <c r="AY65534" s="9" t="n"/>
      <c r="AZ65534" s="9" t="n"/>
      <c r="BA65534" s="9" t="n"/>
      <c r="BB65534" s="9" t="n"/>
      <c r="BC65534" s="9" t="n"/>
      <c r="BD65534" s="9" t="n"/>
      <c r="BE65534" s="9" t="n"/>
      <c r="BF65534" s="9" t="n"/>
      <c r="BG65534" s="9" t="n"/>
      <c r="BH65534" s="9" t="n"/>
      <c r="BI65534" s="9" t="n"/>
      <c r="BJ65534" s="9" t="n"/>
      <c r="BK65534" s="9" t="n"/>
      <c r="BL65534" s="9" t="n"/>
      <c r="BM65534" s="9" t="n"/>
      <c r="BN65534" s="9" t="n"/>
      <c r="BO65534" s="9" t="n"/>
      <c r="BP65534" s="9" t="n"/>
      <c r="BQ65534" s="9" t="n"/>
      <c r="BR65534" s="9" t="n"/>
      <c r="BS65534" s="9" t="n"/>
      <c r="BT65534" s="9" t="n"/>
      <c r="BU65534" s="9" t="n"/>
      <c r="BV65534" s="9" t="n"/>
      <c r="BW65534" s="9" t="n"/>
      <c r="BX65534" s="9" t="n"/>
      <c r="BY65534" s="9" t="n"/>
      <c r="BZ65534" s="9" t="n"/>
      <c r="CA65534" s="9" t="n"/>
      <c r="CB65534" s="9" t="n"/>
      <c r="CC65534" s="9" t="n"/>
      <c r="CD65534" s="9" t="n"/>
      <c r="CE65534" s="9" t="n"/>
      <c r="CF65534" s="9" t="n"/>
      <c r="CG65534" s="9" t="n"/>
      <c r="CH65534" s="9" t="n"/>
      <c r="CI65534" s="9" t="n"/>
      <c r="CJ65534" s="9" t="n"/>
      <c r="CK65534" s="9" t="n"/>
      <c r="CL65534" s="9" t="n"/>
      <c r="CM65534" s="9" t="n"/>
      <c r="CN65534" s="9" t="n"/>
      <c r="CO65534" s="9" t="n"/>
      <c r="CP65534" s="9" t="n"/>
      <c r="CQ65534" s="9" t="n"/>
      <c r="CR65534" s="9" t="n"/>
      <c r="CS65534" s="9" t="n"/>
      <c r="CT65534" s="9" t="n"/>
      <c r="CU65534" s="9" t="n"/>
      <c r="CV65534" s="9" t="n"/>
      <c r="CW65534" s="9" t="n"/>
      <c r="CX65534" s="9" t="n"/>
      <c r="CY65534" s="9" t="n"/>
      <c r="CZ65534" s="9" t="n"/>
      <c r="DA65534" s="9" t="n"/>
      <c r="DB65534" s="9" t="n"/>
      <c r="DC65534" s="9" t="n"/>
      <c r="DD65534" s="9" t="n"/>
      <c r="DE65534" s="9" t="n"/>
      <c r="DF65534" s="9" t="n"/>
      <c r="DG65534" s="9" t="n"/>
      <c r="DH65534" s="9" t="n"/>
      <c r="DI65534" s="9" t="n"/>
      <c r="DJ65534" s="9" t="n"/>
      <c r="DK65534" s="9" t="n"/>
      <c r="DL65534" s="9" t="n"/>
      <c r="DM65534" s="9" t="n"/>
      <c r="DN65534" s="9" t="n"/>
      <c r="DO65534" s="9" t="n"/>
      <c r="DP65534" s="9" t="n"/>
      <c r="DQ65534" s="9" t="n"/>
      <c r="DR65534" s="9" t="n"/>
      <c r="DS65534" s="9" t="n"/>
      <c r="DT65534" s="9" t="n"/>
      <c r="DU65534" s="9" t="n"/>
      <c r="DV65534" s="9" t="n"/>
      <c r="DW65534" s="9" t="n"/>
      <c r="DX65534" s="9" t="n"/>
      <c r="DY65534" s="9" t="n"/>
      <c r="DZ65534" s="9" t="n"/>
      <c r="EA65534" s="9" t="n"/>
      <c r="EB65534" s="9" t="n"/>
      <c r="EC65534" s="9" t="n"/>
      <c r="ED65534" s="9" t="n"/>
      <c r="EE65534" s="9" t="n"/>
      <c r="EF65534" s="9" t="n"/>
      <c r="EG65534" s="9" t="n"/>
      <c r="EH65534" s="9" t="n"/>
      <c r="EI65534" s="9" t="n"/>
      <c r="EJ65534" s="9" t="n"/>
      <c r="EK65534" s="9" t="n"/>
      <c r="EL65534" s="9" t="n"/>
      <c r="EM65534" s="9" t="n"/>
      <c r="EN65534" s="9" t="n"/>
      <c r="EO65534" s="9" t="n"/>
      <c r="EP65534" s="9" t="n"/>
      <c r="EQ65534" s="9" t="n"/>
      <c r="ER65534" s="9" t="n"/>
      <c r="ES65534" s="9" t="n"/>
      <c r="ET65534" s="9" t="n"/>
      <c r="EU65534" s="9" t="n"/>
      <c r="EV65534" s="9" t="n"/>
      <c r="EW65534" s="9" t="n"/>
      <c r="EX65534" s="9" t="n"/>
      <c r="EY65534" s="9" t="n"/>
      <c r="EZ65534" s="9" t="n"/>
      <c r="FA65534" s="9" t="n"/>
      <c r="FB65534" s="9" t="n"/>
      <c r="FC65534" s="9" t="n"/>
      <c r="FD65534" s="9" t="n"/>
      <c r="FE65534" s="9" t="n"/>
      <c r="FF65534" s="9" t="n"/>
      <c r="FG65534" s="9" t="n"/>
      <c r="FH65534" s="9" t="n"/>
      <c r="FI65534" s="9" t="n"/>
      <c r="FJ65534" s="9" t="n"/>
      <c r="FK65534" s="9" t="n"/>
      <c r="FL65534" s="9" t="n"/>
      <c r="FM65534" s="9" t="n"/>
      <c r="FN65534" s="9" t="n"/>
      <c r="FO65534" s="9" t="n"/>
      <c r="FP65534" s="9" t="n"/>
      <c r="FQ65534" s="9" t="n"/>
      <c r="FR65534" s="9" t="n"/>
      <c r="FS65534" s="9" t="n"/>
      <c r="FT65534" s="9" t="n"/>
      <c r="FU65534" s="9" t="n"/>
      <c r="FV65534" s="9" t="n"/>
      <c r="FW65534" s="9" t="n"/>
      <c r="FX65534" s="9" t="n"/>
      <c r="FY65534" s="9" t="n"/>
      <c r="FZ65534" s="9" t="n"/>
      <c r="GA65534" s="9" t="n"/>
      <c r="GB65534" s="9" t="n"/>
      <c r="GC65534" s="9" t="n"/>
      <c r="GD65534" s="9" t="n"/>
      <c r="GE65534" s="9" t="n"/>
      <c r="GF65534" s="9" t="n"/>
      <c r="GG65534" s="9" t="n"/>
      <c r="GH65534" s="9" t="n"/>
      <c r="GI65534" s="9" t="n"/>
      <c r="GJ65534" s="9" t="n"/>
      <c r="GK65534" s="9" t="n"/>
      <c r="GL65534" s="9" t="n"/>
      <c r="GM65534" s="9" t="n"/>
      <c r="GN65534" s="9" t="n"/>
      <c r="GO65534" s="9" t="n"/>
      <c r="GP65534" s="9" t="n"/>
      <c r="GQ65534" s="9" t="n"/>
      <c r="GR65534" s="9" t="n"/>
      <c r="GS65534" s="9" t="n"/>
      <c r="GT65534" s="9" t="n"/>
      <c r="GU65534" s="9" t="n"/>
      <c r="GV65534" s="9" t="n"/>
      <c r="GW65534" s="9" t="n"/>
      <c r="GX65534" s="9" t="n"/>
      <c r="GY65534" s="9" t="n"/>
      <c r="GZ65534" s="9" t="n"/>
      <c r="HA65534" s="9" t="n"/>
      <c r="HB65534" s="9" t="n"/>
      <c r="HC65534" s="9" t="n"/>
      <c r="HD65534" s="9" t="n"/>
      <c r="HE65534" s="9" t="n"/>
      <c r="HF65534" s="9" t="n"/>
      <c r="HG65534" s="9" t="n"/>
      <c r="HH65534" s="9" t="n"/>
      <c r="HI65534" s="9" t="n"/>
      <c r="HJ65534" s="9" t="n"/>
      <c r="HK65534" s="9" t="n"/>
      <c r="HL65534" s="9" t="n"/>
      <c r="HM65534" s="9" t="n"/>
      <c r="HN65534" s="9" t="n"/>
      <c r="HO65534" s="9" t="n"/>
      <c r="HP65534" s="9" t="n"/>
      <c r="HQ65534" s="9" t="n"/>
      <c r="HR65534" s="9" t="n"/>
      <c r="HS65534" s="9" t="n"/>
      <c r="HT65534" s="9" t="n"/>
      <c r="HU65534" s="9" t="n"/>
      <c r="HV65534" s="9" t="n"/>
      <c r="HW65534" s="9" t="n"/>
      <c r="HX65534" s="9" t="n"/>
      <c r="HY65534" s="9" t="n"/>
      <c r="HZ65534" s="9" t="n"/>
      <c r="IA65534" s="9" t="n"/>
      <c r="IB65534" s="9" t="n"/>
      <c r="IC65534" s="9" t="n"/>
      <c r="ID65534" s="9" t="n"/>
      <c r="IE65534" s="9" t="n"/>
      <c r="IF65534" s="9" t="n"/>
      <c r="IG65534" s="9" t="n"/>
      <c r="IH65534" s="9" t="n"/>
      <c r="II65534" s="9" t="n"/>
      <c r="IJ65534" s="9" t="n"/>
      <c r="IK65534" s="9" t="n"/>
      <c r="IL65534" s="9" t="n"/>
      <c r="IM65534" s="9" t="n"/>
      <c r="IN65534" s="9" t="n"/>
      <c r="IO65534" s="9" t="n"/>
      <c r="IP65534" s="9" t="n"/>
      <c r="IQ65534" s="9" t="n"/>
      <c r="IR65534" s="9" t="n"/>
      <c r="IS65534" s="9" t="n"/>
      <c r="IT65534" s="9" t="n"/>
      <c r="IU65534" s="9" t="n"/>
    </row>
    <row r="65535" ht="16.5" customHeight="1">
      <c r="A65535" s="46" t="n"/>
      <c r="B65535" s="46" t="n"/>
      <c r="C65535" s="46" t="n"/>
      <c r="D65535" s="54" t="n"/>
      <c r="E65535" s="46" t="n"/>
      <c r="F65535" s="12" t="n"/>
      <c r="G65535" s="12" t="n"/>
      <c r="H65535" s="12" t="n"/>
      <c r="I65535" s="48" t="n"/>
      <c r="J65535" s="18" t="n"/>
      <c r="K65535" s="18" t="n"/>
      <c r="L65535" s="18" t="n"/>
      <c r="M65535" s="18" t="n"/>
      <c r="N65535" s="35" t="n"/>
      <c r="O65535" s="36" t="n"/>
      <c r="P65535" s="37" t="n"/>
      <c r="Q65535" s="38" t="n"/>
      <c r="R65535" s="39" t="n"/>
      <c r="S65535" s="40" t="n"/>
      <c r="T65535" s="41" t="n"/>
      <c r="U65535" s="42" t="n"/>
      <c r="V65535" s="12" t="n"/>
      <c r="W65535" s="12" t="n"/>
      <c r="X65535" s="12" t="n"/>
      <c r="Y65535" s="12" t="n"/>
      <c r="Z65535" s="9" t="n"/>
      <c r="AA65535" s="52" t="n"/>
      <c r="AB65535" s="9" t="n"/>
      <c r="AC65535" s="9" t="n"/>
      <c r="AD65535" s="9" t="n"/>
      <c r="AE65535" s="9" t="n"/>
      <c r="AF65535" s="9" t="n"/>
      <c r="AG65535" s="9" t="n"/>
      <c r="AH65535" s="9" t="n"/>
      <c r="AI65535" s="9" t="n"/>
      <c r="AJ65535" s="9" t="n"/>
      <c r="AK65535" s="9" t="n"/>
      <c r="AL65535" s="9" t="n"/>
      <c r="AM65535" s="9" t="n"/>
      <c r="AN65535" s="9" t="n"/>
      <c r="AO65535" s="9" t="n"/>
      <c r="AP65535" s="9" t="n"/>
      <c r="AQ65535" s="9" t="n"/>
      <c r="AR65535" s="9" t="n"/>
      <c r="AS65535" s="9" t="n"/>
      <c r="AT65535" s="9" t="n"/>
      <c r="AU65535" s="9" t="n"/>
      <c r="AV65535" s="9" t="n"/>
      <c r="AW65535" s="9" t="n"/>
      <c r="AX65535" s="9" t="n"/>
      <c r="AY65535" s="9" t="n"/>
      <c r="AZ65535" s="9" t="n"/>
      <c r="BA65535" s="9" t="n"/>
      <c r="BB65535" s="9" t="n"/>
      <c r="BC65535" s="9" t="n"/>
      <c r="BD65535" s="9" t="n"/>
      <c r="BE65535" s="9" t="n"/>
      <c r="BF65535" s="9" t="n"/>
      <c r="BG65535" s="9" t="n"/>
      <c r="BH65535" s="9" t="n"/>
      <c r="BI65535" s="9" t="n"/>
      <c r="BJ65535" s="9" t="n"/>
      <c r="BK65535" s="9" t="n"/>
      <c r="BL65535" s="9" t="n"/>
      <c r="BM65535" s="9" t="n"/>
      <c r="BN65535" s="9" t="n"/>
      <c r="BO65535" s="9" t="n"/>
      <c r="BP65535" s="9" t="n"/>
      <c r="BQ65535" s="9" t="n"/>
      <c r="BR65535" s="9" t="n"/>
      <c r="BS65535" s="9" t="n"/>
      <c r="BT65535" s="9" t="n"/>
      <c r="BU65535" s="9" t="n"/>
      <c r="BV65535" s="9" t="n"/>
      <c r="BW65535" s="9" t="n"/>
      <c r="BX65535" s="9" t="n"/>
      <c r="BY65535" s="9" t="n"/>
      <c r="BZ65535" s="9" t="n"/>
      <c r="CA65535" s="9" t="n"/>
      <c r="CB65535" s="9" t="n"/>
      <c r="CC65535" s="9" t="n"/>
      <c r="CD65535" s="9" t="n"/>
      <c r="CE65535" s="9" t="n"/>
      <c r="CF65535" s="9" t="n"/>
      <c r="CG65535" s="9" t="n"/>
      <c r="CH65535" s="9" t="n"/>
      <c r="CI65535" s="9" t="n"/>
      <c r="CJ65535" s="9" t="n"/>
      <c r="CK65535" s="9" t="n"/>
      <c r="CL65535" s="9" t="n"/>
      <c r="CM65535" s="9" t="n"/>
      <c r="CN65535" s="9" t="n"/>
      <c r="CO65535" s="9" t="n"/>
      <c r="CP65535" s="9" t="n"/>
      <c r="CQ65535" s="9" t="n"/>
      <c r="CR65535" s="9" t="n"/>
      <c r="CS65535" s="9" t="n"/>
      <c r="CT65535" s="9" t="n"/>
      <c r="CU65535" s="9" t="n"/>
      <c r="CV65535" s="9" t="n"/>
      <c r="CW65535" s="9" t="n"/>
      <c r="CX65535" s="9" t="n"/>
      <c r="CY65535" s="9" t="n"/>
      <c r="CZ65535" s="9" t="n"/>
      <c r="DA65535" s="9" t="n"/>
      <c r="DB65535" s="9" t="n"/>
      <c r="DC65535" s="9" t="n"/>
      <c r="DD65535" s="9" t="n"/>
      <c r="DE65535" s="9" t="n"/>
      <c r="DF65535" s="9" t="n"/>
      <c r="DG65535" s="9" t="n"/>
      <c r="DH65535" s="9" t="n"/>
      <c r="DI65535" s="9" t="n"/>
      <c r="DJ65535" s="9" t="n"/>
      <c r="DK65535" s="9" t="n"/>
      <c r="DL65535" s="9" t="n"/>
      <c r="DM65535" s="9" t="n"/>
      <c r="DN65535" s="9" t="n"/>
      <c r="DO65535" s="9" t="n"/>
      <c r="DP65535" s="9" t="n"/>
      <c r="DQ65535" s="9" t="n"/>
      <c r="DR65535" s="9" t="n"/>
      <c r="DS65535" s="9" t="n"/>
      <c r="DT65535" s="9" t="n"/>
      <c r="DU65535" s="9" t="n"/>
      <c r="DV65535" s="9" t="n"/>
      <c r="DW65535" s="9" t="n"/>
      <c r="DX65535" s="9" t="n"/>
      <c r="DY65535" s="9" t="n"/>
      <c r="DZ65535" s="9" t="n"/>
      <c r="EA65535" s="9" t="n"/>
      <c r="EB65535" s="9" t="n"/>
      <c r="EC65535" s="9" t="n"/>
      <c r="ED65535" s="9" t="n"/>
      <c r="EE65535" s="9" t="n"/>
      <c r="EF65535" s="9" t="n"/>
      <c r="EG65535" s="9" t="n"/>
      <c r="EH65535" s="9" t="n"/>
      <c r="EI65535" s="9" t="n"/>
      <c r="EJ65535" s="9" t="n"/>
      <c r="EK65535" s="9" t="n"/>
      <c r="EL65535" s="9" t="n"/>
      <c r="EM65535" s="9" t="n"/>
      <c r="EN65535" s="9" t="n"/>
      <c r="EO65535" s="9" t="n"/>
      <c r="EP65535" s="9" t="n"/>
      <c r="EQ65535" s="9" t="n"/>
      <c r="ER65535" s="9" t="n"/>
      <c r="ES65535" s="9" t="n"/>
      <c r="ET65535" s="9" t="n"/>
      <c r="EU65535" s="9" t="n"/>
      <c r="EV65535" s="9" t="n"/>
      <c r="EW65535" s="9" t="n"/>
      <c r="EX65535" s="9" t="n"/>
      <c r="EY65535" s="9" t="n"/>
      <c r="EZ65535" s="9" t="n"/>
      <c r="FA65535" s="9" t="n"/>
      <c r="FB65535" s="9" t="n"/>
      <c r="FC65535" s="9" t="n"/>
      <c r="FD65535" s="9" t="n"/>
      <c r="FE65535" s="9" t="n"/>
      <c r="FF65535" s="9" t="n"/>
      <c r="FG65535" s="9" t="n"/>
      <c r="FH65535" s="9" t="n"/>
      <c r="FI65535" s="9" t="n"/>
      <c r="FJ65535" s="9" t="n"/>
      <c r="FK65535" s="9" t="n"/>
      <c r="FL65535" s="9" t="n"/>
      <c r="FM65535" s="9" t="n"/>
      <c r="FN65535" s="9" t="n"/>
      <c r="FO65535" s="9" t="n"/>
      <c r="FP65535" s="9" t="n"/>
      <c r="FQ65535" s="9" t="n"/>
      <c r="FR65535" s="9" t="n"/>
      <c r="FS65535" s="9" t="n"/>
      <c r="FT65535" s="9" t="n"/>
      <c r="FU65535" s="9" t="n"/>
      <c r="FV65535" s="9" t="n"/>
      <c r="FW65535" s="9" t="n"/>
      <c r="FX65535" s="9" t="n"/>
      <c r="FY65535" s="9" t="n"/>
      <c r="FZ65535" s="9" t="n"/>
      <c r="GA65535" s="9" t="n"/>
      <c r="GB65535" s="9" t="n"/>
      <c r="GC65535" s="9" t="n"/>
      <c r="GD65535" s="9" t="n"/>
      <c r="GE65535" s="9" t="n"/>
      <c r="GF65535" s="9" t="n"/>
      <c r="GG65535" s="9" t="n"/>
      <c r="GH65535" s="9" t="n"/>
      <c r="GI65535" s="9" t="n"/>
      <c r="GJ65535" s="9" t="n"/>
      <c r="GK65535" s="9" t="n"/>
      <c r="GL65535" s="9" t="n"/>
      <c r="GM65535" s="9" t="n"/>
      <c r="GN65535" s="9" t="n"/>
      <c r="GO65535" s="9" t="n"/>
      <c r="GP65535" s="9" t="n"/>
      <c r="GQ65535" s="9" t="n"/>
      <c r="GR65535" s="9" t="n"/>
      <c r="GS65535" s="9" t="n"/>
      <c r="GT65535" s="9" t="n"/>
      <c r="GU65535" s="9" t="n"/>
      <c r="GV65535" s="9" t="n"/>
      <c r="GW65535" s="9" t="n"/>
      <c r="GX65535" s="9" t="n"/>
      <c r="GY65535" s="9" t="n"/>
      <c r="GZ65535" s="9" t="n"/>
      <c r="HA65535" s="9" t="n"/>
      <c r="HB65535" s="9" t="n"/>
      <c r="HC65535" s="9" t="n"/>
      <c r="HD65535" s="9" t="n"/>
      <c r="HE65535" s="9" t="n"/>
      <c r="HF65535" s="9" t="n"/>
      <c r="HG65535" s="9" t="n"/>
      <c r="HH65535" s="9" t="n"/>
      <c r="HI65535" s="9" t="n"/>
      <c r="HJ65535" s="9" t="n"/>
      <c r="HK65535" s="9" t="n"/>
      <c r="HL65535" s="9" t="n"/>
      <c r="HM65535" s="9" t="n"/>
      <c r="HN65535" s="9" t="n"/>
      <c r="HO65535" s="9" t="n"/>
      <c r="HP65535" s="9" t="n"/>
      <c r="HQ65535" s="9" t="n"/>
      <c r="HR65535" s="9" t="n"/>
      <c r="HS65535" s="9" t="n"/>
      <c r="HT65535" s="9" t="n"/>
      <c r="HU65535" s="9" t="n"/>
      <c r="HV65535" s="9" t="n"/>
      <c r="HW65535" s="9" t="n"/>
      <c r="HX65535" s="9" t="n"/>
      <c r="HY65535" s="9" t="n"/>
      <c r="HZ65535" s="9" t="n"/>
      <c r="IA65535" s="9" t="n"/>
      <c r="IB65535" s="9" t="n"/>
      <c r="IC65535" s="9" t="n"/>
      <c r="ID65535" s="9" t="n"/>
      <c r="IE65535" s="9" t="n"/>
      <c r="IF65535" s="9" t="n"/>
      <c r="IG65535" s="9" t="n"/>
      <c r="IH65535" s="9" t="n"/>
      <c r="II65535" s="9" t="n"/>
      <c r="IJ65535" s="9" t="n"/>
      <c r="IK65535" s="9" t="n"/>
      <c r="IL65535" s="9" t="n"/>
      <c r="IM65535" s="9" t="n"/>
      <c r="IN65535" s="9" t="n"/>
      <c r="IO65535" s="9" t="n"/>
      <c r="IP65535" s="9" t="n"/>
      <c r="IQ65535" s="9" t="n"/>
      <c r="IR65535" s="9" t="n"/>
      <c r="IS65535" s="9" t="n"/>
      <c r="IT65535" s="9" t="n"/>
      <c r="IU65535" s="9" t="n"/>
    </row>
    <row r="65536" ht="16.5" customHeight="1">
      <c r="A65536" s="46" t="n"/>
      <c r="B65536" s="46" t="n"/>
      <c r="C65536" s="46" t="n"/>
      <c r="D65536" s="54" t="n"/>
      <c r="E65536" s="46" t="n"/>
      <c r="F65536" s="14" t="n"/>
      <c r="G65536" s="14" t="n"/>
      <c r="H65536" s="14" t="n"/>
      <c r="I65536" s="48" t="n"/>
      <c r="J65536" s="19" t="n"/>
      <c r="K65536" s="19" t="n"/>
      <c r="L65536" s="19" t="n"/>
      <c r="M65536" s="19" t="n"/>
      <c r="N65536" s="35" t="n"/>
      <c r="O65536" s="36" t="n"/>
      <c r="P65536" s="37" t="n"/>
      <c r="Q65536" s="38" t="n"/>
      <c r="R65536" s="39" t="n"/>
      <c r="S65536" s="40" t="n"/>
      <c r="T65536" s="41" t="n"/>
      <c r="U65536" s="42" t="n"/>
      <c r="V65536" s="14" t="n"/>
      <c r="W65536" s="14" t="n"/>
      <c r="X65536" s="14" t="n"/>
      <c r="Y65536" s="14" t="n"/>
      <c r="Z65536" s="9" t="n"/>
      <c r="AA65536" s="52" t="n"/>
      <c r="AB65536" s="9" t="n"/>
      <c r="AC65536" s="9" t="n"/>
      <c r="AD65536" s="9" t="n"/>
      <c r="AE65536" s="9" t="n"/>
      <c r="AF65536" s="9" t="n"/>
      <c r="AG65536" s="9" t="n"/>
      <c r="AH65536" s="9" t="n"/>
      <c r="AI65536" s="9" t="n"/>
      <c r="AJ65536" s="9" t="n"/>
      <c r="AK65536" s="9" t="n"/>
      <c r="AL65536" s="9" t="n"/>
      <c r="AM65536" s="9" t="n"/>
      <c r="AN65536" s="9" t="n"/>
      <c r="AO65536" s="9" t="n"/>
      <c r="AP65536" s="9" t="n"/>
      <c r="AQ65536" s="9" t="n"/>
      <c r="AR65536" s="9" t="n"/>
      <c r="AS65536" s="9" t="n"/>
      <c r="AT65536" s="9" t="n"/>
      <c r="AU65536" s="9" t="n"/>
      <c r="AV65536" s="9" t="n"/>
      <c r="AW65536" s="9" t="n"/>
      <c r="AX65536" s="9" t="n"/>
      <c r="AY65536" s="9" t="n"/>
      <c r="AZ65536" s="9" t="n"/>
      <c r="BA65536" s="9" t="n"/>
      <c r="BB65536" s="9" t="n"/>
      <c r="BC65536" s="9" t="n"/>
      <c r="BD65536" s="9" t="n"/>
      <c r="BE65536" s="9" t="n"/>
      <c r="BF65536" s="9" t="n"/>
      <c r="BG65536" s="9" t="n"/>
      <c r="BH65536" s="9" t="n"/>
      <c r="BI65536" s="9" t="n"/>
      <c r="BJ65536" s="9" t="n"/>
      <c r="BK65536" s="9" t="n"/>
      <c r="BL65536" s="9" t="n"/>
      <c r="BM65536" s="9" t="n"/>
      <c r="BN65536" s="9" t="n"/>
      <c r="BO65536" s="9" t="n"/>
      <c r="BP65536" s="9" t="n"/>
      <c r="BQ65536" s="9" t="n"/>
      <c r="BR65536" s="9" t="n"/>
      <c r="BS65536" s="9" t="n"/>
      <c r="BT65536" s="9" t="n"/>
      <c r="BU65536" s="9" t="n"/>
      <c r="BV65536" s="9" t="n"/>
      <c r="BW65536" s="9" t="n"/>
      <c r="BX65536" s="9" t="n"/>
      <c r="BY65536" s="9" t="n"/>
      <c r="BZ65536" s="9" t="n"/>
      <c r="CA65536" s="9" t="n"/>
      <c r="CB65536" s="9" t="n"/>
      <c r="CC65536" s="9" t="n"/>
      <c r="CD65536" s="9" t="n"/>
      <c r="CE65536" s="9" t="n"/>
      <c r="CF65536" s="9" t="n"/>
      <c r="CG65536" s="9" t="n"/>
      <c r="CH65536" s="9" t="n"/>
      <c r="CI65536" s="9" t="n"/>
      <c r="CJ65536" s="9" t="n"/>
      <c r="CK65536" s="9" t="n"/>
      <c r="CL65536" s="9" t="n"/>
      <c r="CM65536" s="9" t="n"/>
      <c r="CN65536" s="9" t="n"/>
      <c r="CO65536" s="9" t="n"/>
      <c r="CP65536" s="9" t="n"/>
      <c r="CQ65536" s="9" t="n"/>
      <c r="CR65536" s="9" t="n"/>
      <c r="CS65536" s="9" t="n"/>
      <c r="CT65536" s="9" t="n"/>
      <c r="CU65536" s="9" t="n"/>
      <c r="CV65536" s="9" t="n"/>
      <c r="CW65536" s="9" t="n"/>
      <c r="CX65536" s="9" t="n"/>
      <c r="CY65536" s="9" t="n"/>
      <c r="CZ65536" s="9" t="n"/>
      <c r="DA65536" s="9" t="n"/>
      <c r="DB65536" s="9" t="n"/>
      <c r="DC65536" s="9" t="n"/>
      <c r="DD65536" s="9" t="n"/>
      <c r="DE65536" s="9" t="n"/>
      <c r="DF65536" s="9" t="n"/>
      <c r="DG65536" s="9" t="n"/>
      <c r="DH65536" s="9" t="n"/>
      <c r="DI65536" s="9" t="n"/>
      <c r="DJ65536" s="9" t="n"/>
      <c r="DK65536" s="9" t="n"/>
      <c r="DL65536" s="9" t="n"/>
      <c r="DM65536" s="9" t="n"/>
      <c r="DN65536" s="9" t="n"/>
      <c r="DO65536" s="9" t="n"/>
      <c r="DP65536" s="9" t="n"/>
      <c r="DQ65536" s="9" t="n"/>
      <c r="DR65536" s="9" t="n"/>
      <c r="DS65536" s="9" t="n"/>
      <c r="DT65536" s="9" t="n"/>
      <c r="DU65536" s="9" t="n"/>
      <c r="DV65536" s="9" t="n"/>
      <c r="DW65536" s="9" t="n"/>
      <c r="DX65536" s="9" t="n"/>
      <c r="DY65536" s="9" t="n"/>
      <c r="DZ65536" s="9" t="n"/>
      <c r="EA65536" s="9" t="n"/>
      <c r="EB65536" s="9" t="n"/>
      <c r="EC65536" s="9" t="n"/>
      <c r="ED65536" s="9" t="n"/>
      <c r="EE65536" s="9" t="n"/>
      <c r="EF65536" s="9" t="n"/>
      <c r="EG65536" s="9" t="n"/>
      <c r="EH65536" s="9" t="n"/>
      <c r="EI65536" s="9" t="n"/>
      <c r="EJ65536" s="9" t="n"/>
      <c r="EK65536" s="9" t="n"/>
      <c r="EL65536" s="9" t="n"/>
      <c r="EM65536" s="9" t="n"/>
      <c r="EN65536" s="9" t="n"/>
      <c r="EO65536" s="9" t="n"/>
      <c r="EP65536" s="9" t="n"/>
      <c r="EQ65536" s="9" t="n"/>
      <c r="ER65536" s="9" t="n"/>
      <c r="ES65536" s="9" t="n"/>
      <c r="ET65536" s="9" t="n"/>
      <c r="EU65536" s="9" t="n"/>
      <c r="EV65536" s="9" t="n"/>
      <c r="EW65536" s="9" t="n"/>
      <c r="EX65536" s="9" t="n"/>
      <c r="EY65536" s="9" t="n"/>
      <c r="EZ65536" s="9" t="n"/>
      <c r="FA65536" s="9" t="n"/>
      <c r="FB65536" s="9" t="n"/>
      <c r="FC65536" s="9" t="n"/>
      <c r="FD65536" s="9" t="n"/>
      <c r="FE65536" s="9" t="n"/>
      <c r="FF65536" s="9" t="n"/>
      <c r="FG65536" s="9" t="n"/>
      <c r="FH65536" s="9" t="n"/>
      <c r="FI65536" s="9" t="n"/>
      <c r="FJ65536" s="9" t="n"/>
      <c r="FK65536" s="9" t="n"/>
      <c r="FL65536" s="9" t="n"/>
      <c r="FM65536" s="9" t="n"/>
      <c r="FN65536" s="9" t="n"/>
      <c r="FO65536" s="9" t="n"/>
      <c r="FP65536" s="9" t="n"/>
      <c r="FQ65536" s="9" t="n"/>
      <c r="FR65536" s="9" t="n"/>
      <c r="FS65536" s="9" t="n"/>
      <c r="FT65536" s="9" t="n"/>
      <c r="FU65536" s="9" t="n"/>
      <c r="FV65536" s="9" t="n"/>
      <c r="FW65536" s="9" t="n"/>
      <c r="FX65536" s="9" t="n"/>
      <c r="FY65536" s="9" t="n"/>
      <c r="FZ65536" s="9" t="n"/>
      <c r="GA65536" s="9" t="n"/>
      <c r="GB65536" s="9" t="n"/>
      <c r="GC65536" s="9" t="n"/>
      <c r="GD65536" s="9" t="n"/>
      <c r="GE65536" s="9" t="n"/>
      <c r="GF65536" s="9" t="n"/>
      <c r="GG65536" s="9" t="n"/>
      <c r="GH65536" s="9" t="n"/>
      <c r="GI65536" s="9" t="n"/>
      <c r="GJ65536" s="9" t="n"/>
      <c r="GK65536" s="9" t="n"/>
      <c r="GL65536" s="9" t="n"/>
      <c r="GM65536" s="9" t="n"/>
      <c r="GN65536" s="9" t="n"/>
      <c r="GO65536" s="9" t="n"/>
      <c r="GP65536" s="9" t="n"/>
      <c r="GQ65536" s="9" t="n"/>
      <c r="GR65536" s="9" t="n"/>
      <c r="GS65536" s="9" t="n"/>
      <c r="GT65536" s="9" t="n"/>
      <c r="GU65536" s="9" t="n"/>
      <c r="GV65536" s="9" t="n"/>
      <c r="GW65536" s="9" t="n"/>
      <c r="GX65536" s="9" t="n"/>
      <c r="GY65536" s="9" t="n"/>
      <c r="GZ65536" s="9" t="n"/>
      <c r="HA65536" s="9" t="n"/>
      <c r="HB65536" s="9" t="n"/>
      <c r="HC65536" s="9" t="n"/>
      <c r="HD65536" s="9" t="n"/>
      <c r="HE65536" s="9" t="n"/>
      <c r="HF65536" s="9" t="n"/>
      <c r="HG65536" s="9" t="n"/>
      <c r="HH65536" s="9" t="n"/>
      <c r="HI65536" s="9" t="n"/>
      <c r="HJ65536" s="9" t="n"/>
      <c r="HK65536" s="9" t="n"/>
      <c r="HL65536" s="9" t="n"/>
      <c r="HM65536" s="9" t="n"/>
      <c r="HN65536" s="9" t="n"/>
      <c r="HO65536" s="9" t="n"/>
      <c r="HP65536" s="9" t="n"/>
      <c r="HQ65536" s="9" t="n"/>
      <c r="HR65536" s="9" t="n"/>
      <c r="HS65536" s="9" t="n"/>
      <c r="HT65536" s="9" t="n"/>
      <c r="HU65536" s="9" t="n"/>
      <c r="HV65536" s="9" t="n"/>
      <c r="HW65536" s="9" t="n"/>
      <c r="HX65536" s="9" t="n"/>
      <c r="HY65536" s="9" t="n"/>
      <c r="HZ65536" s="9" t="n"/>
      <c r="IA65536" s="9" t="n"/>
      <c r="IB65536" s="9" t="n"/>
      <c r="IC65536" s="9" t="n"/>
      <c r="ID65536" s="9" t="n"/>
      <c r="IE65536" s="9" t="n"/>
      <c r="IF65536" s="9" t="n"/>
      <c r="IG65536" s="9" t="n"/>
      <c r="IH65536" s="9" t="n"/>
      <c r="II65536" s="9" t="n"/>
      <c r="IJ65536" s="9" t="n"/>
      <c r="IK65536" s="9" t="n"/>
      <c r="IL65536" s="9" t="n"/>
      <c r="IM65536" s="9" t="n"/>
      <c r="IN65536" s="9" t="n"/>
      <c r="IO65536" s="9" t="n"/>
      <c r="IP65536" s="9" t="n"/>
      <c r="IQ65536" s="9" t="n"/>
      <c r="IR65536" s="9" t="n"/>
      <c r="IS65536" s="9" t="n"/>
      <c r="IT65536" s="9" t="n"/>
      <c r="IU65536" s="9" t="n"/>
    </row>
  </sheetData>
  <autoFilter ref="A1:AA1"/>
  <pageMargins left="1" right="1" top="1.666666666666667" bottom="1.666666666666667" header="1" footer="1"/>
  <pageSetup orientation="portrait" fitToHeight="0" fitToWidth="0" cellComments="asDisplayed"/>
  <headerFooter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2026-04-22T14:47:43Z</dcterms:created>
  <dcterms:modified xmlns:dcterms="http://purl.org/dc/terms/" xmlns:xsi="http://www.w3.org/2001/XMLSchema-instance" xsi:type="dcterms:W3CDTF">2026-05-08T20:24:48Z</dcterms:modified>
  <cp:lastModifiedBy>LSP</cp:lastModifiedBy>
  <cp:lastPrinted>2026-04-22T15:20:35Z</cp:lastPrinted>
</cp:coreProperties>
</file>